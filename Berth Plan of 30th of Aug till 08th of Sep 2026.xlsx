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gt-my.sharepoint.com/personal/reham_almakran_rsgt_com/Documents/Desktop/"/>
    </mc:Choice>
  </mc:AlternateContent>
  <xr:revisionPtr revIDLastSave="4" documentId="8_{4A430B97-63FC-4D1E-AAF2-69B936E5C868}" xr6:coauthVersionLast="47" xr6:coauthVersionMax="47" xr10:uidLastSave="{EED72149-57AC-4B50-9465-6BF0A683B874}"/>
  <bookViews>
    <workbookView xWindow="28680" yWindow="-930" windowWidth="29040" windowHeight="15720" tabRatio="640" xr2:uid="{00000000-000D-0000-FFFF-FFFF00000000}"/>
  </bookViews>
  <sheets>
    <sheet name="MAIN BERTH PLAN" sheetId="114" r:id="rId1"/>
    <sheet name="EXCEPTION VESSELS DETAILS" sheetId="57" r:id="rId2"/>
    <sheet name="BERTHING WAITING LIST " sheetId="108" r:id="rId3"/>
    <sheet name="OMITING VESSELS" sheetId="11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a" localSheetId="0">'MAIN BERTH PLAN'!#REF!</definedName>
    <definedName name="\a">#REF!</definedName>
    <definedName name="\aa" localSheetId="0">'MAIN BERTH PLAN'!#REF!</definedName>
    <definedName name="\aa">#REF!</definedName>
    <definedName name="\p" localSheetId="0">'MAIN BERTH PLAN'!#REF!</definedName>
    <definedName name="\p">#REF!</definedName>
    <definedName name="\q" localSheetId="0">'MAIN BERTH PLAN'!#REF!</definedName>
    <definedName name="\q">#REF!</definedName>
    <definedName name="\R" localSheetId="0">'MAIN BERTH PLAN'!#REF!</definedName>
    <definedName name="\R">#REF!</definedName>
    <definedName name="\u" localSheetId="0">'MAIN BERTH PLAN'!#REF!</definedName>
    <definedName name="\u">#REF!</definedName>
    <definedName name="\w" localSheetId="0">'MAIN BERTH PLAN'!#REF!</definedName>
    <definedName name="\w">#REF!</definedName>
    <definedName name="\x" localSheetId="0">'MAIN BERTH PLAN'!#REF!</definedName>
    <definedName name="\x">#REF!</definedName>
    <definedName name="\z" localSheetId="0">'MAIN BERTH PLAN'!#REF!</definedName>
    <definedName name="\z">#REF!</definedName>
    <definedName name="_1_1월_Query" localSheetId="0">'MAIN BERTH PLAN'!#REF!</definedName>
    <definedName name="_1_1월_Query">#REF!</definedName>
    <definedName name="_10_6월_Query" localSheetId="0">'MAIN BERTH PLAN'!#REF!</definedName>
    <definedName name="_10_6월_Query">#REF!</definedName>
    <definedName name="_100" localSheetId="0">'MAIN BERTH PLAN'!#REF!</definedName>
    <definedName name="_100">#REF!</definedName>
    <definedName name="_101" localSheetId="0">'MAIN BERTH PLAN'!#REF!</definedName>
    <definedName name="_101">#REF!</definedName>
    <definedName name="_102" localSheetId="0" hidden="1">'MAIN BERTH PLAN'!#REF!</definedName>
    <definedName name="_102" hidden="1">#REF!</definedName>
    <definedName name="_103" localSheetId="0">'MAIN BERTH PLAN'!#REF!</definedName>
    <definedName name="_103">#REF!</definedName>
    <definedName name="_104" localSheetId="0">'MAIN BERTH PLAN'!#REF!</definedName>
    <definedName name="_104">#REF!</definedName>
    <definedName name="_105" localSheetId="0">'MAIN BERTH PLAN'!#REF!</definedName>
    <definedName name="_105">#REF!</definedName>
    <definedName name="_106" localSheetId="0">'MAIN BERTH PLAN'!#REF!</definedName>
    <definedName name="_106">#REF!</definedName>
    <definedName name="_11_7월_Query" localSheetId="0">'MAIN BERTH PLAN'!#REF!</definedName>
    <definedName name="_11_7월_Query">#REF!</definedName>
    <definedName name="_12_8월_Query" localSheetId="0">'MAIN BERTH PLAN'!#REF!</definedName>
    <definedName name="_12_8월_Query">#REF!</definedName>
    <definedName name="_13_9월_Query" localSheetId="0">'MAIN BERTH PLAN'!#REF!</definedName>
    <definedName name="_13_9월_Query">#REF!</definedName>
    <definedName name="_14uÞOUðuueßAÞAIee_YA" localSheetId="0">[1]수입!#REF!</definedName>
    <definedName name="_14uÞOUðuueßAÞAIee_YA">[1]수입!#REF!</definedName>
    <definedName name="_2_2002_4분기_지중해" localSheetId="0">'MAIN BERTH PLAN'!#REF!</definedName>
    <definedName name="_2_2002_4분기_지중해">#REF!</definedName>
    <definedName name="_3_2월_Query" localSheetId="0">'MAIN BERTH PLAN'!#REF!</definedName>
    <definedName name="_3_2월_Query">#REF!</definedName>
    <definedName name="_4_3분기_월별_Query" localSheetId="0">'MAIN BERTH PLAN'!#REF!</definedName>
    <definedName name="_4_3분기_월별_Query">#REF!</definedName>
    <definedName name="_5_3분기까지_4분기취합_Query" localSheetId="0">'MAIN BERTH PLAN'!#REF!</definedName>
    <definedName name="_5_3분기까지_4분기취합_Query">#REF!</definedName>
    <definedName name="_6_3분기합_Query" localSheetId="0">'MAIN BERTH PLAN'!#REF!</definedName>
    <definedName name="_6_3분기합_Query">#REF!</definedName>
    <definedName name="_7_3월_Query" localSheetId="0">'MAIN BERTH PLAN'!#REF!</definedName>
    <definedName name="_7_3월_Query">#REF!</definedName>
    <definedName name="_8_4월_Query" localSheetId="0">'MAIN BERTH PLAN'!#REF!</definedName>
    <definedName name="_8_4월_Query">#REF!</definedName>
    <definedName name="_9_5월_Query" localSheetId="0">'MAIN BERTH PLAN'!#REF!</definedName>
    <definedName name="_9_5월_Query">#REF!</definedName>
    <definedName name="_AEX1" localSheetId="0">'MAIN BERTH PLAN'!#REF!</definedName>
    <definedName name="_AEX1">#REF!</definedName>
    <definedName name="_AEX2" localSheetId="0">'MAIN BERTH PLAN'!#REF!</definedName>
    <definedName name="_AEX2">#REF!</definedName>
    <definedName name="_AMX1" localSheetId="0">'MAIN BERTH PLAN'!#REF!</definedName>
    <definedName name="_AMX1">#REF!</definedName>
    <definedName name="_AMX3" localSheetId="0">'MAIN BERTH PLAN'!#REF!</definedName>
    <definedName name="_AMX3">#REF!</definedName>
    <definedName name="_BEX2" localSheetId="0">'MAIN BERTH PLAN'!#REF!</definedName>
    <definedName name="_BEX2">#REF!</definedName>
    <definedName name="_Fill" localSheetId="0" hidden="1">'MAIN BERTH PLAN'!#REF!</definedName>
    <definedName name="_Fill" hidden="1">#REF!</definedName>
    <definedName name="_xlnm._FilterDatabase" localSheetId="0" hidden="1">'MAIN BERTH PLAN'!#REF!</definedName>
    <definedName name="_grt1" localSheetId="0">'MAIN BERTH PLAN'!#REF!</definedName>
    <definedName name="_grt1">#REF!</definedName>
    <definedName name="_grt2" localSheetId="0">'MAIN BERTH PLAN'!#REF!</definedName>
    <definedName name="_grt2">#REF!</definedName>
    <definedName name="_grt3" localSheetId="0">'MAIN BERTH PLAN'!#REF!</definedName>
    <definedName name="_grt3">#REF!</definedName>
    <definedName name="_grt7" localSheetId="0">'MAIN BERTH PLAN'!#REF!</definedName>
    <definedName name="_grt7">#REF!</definedName>
    <definedName name="_Key1" localSheetId="0" hidden="1">[2]업무계획1!#REF!</definedName>
    <definedName name="_Key1" hidden="1">[2]업무계획1!#REF!</definedName>
    <definedName name="_Key2" localSheetId="0" hidden="1">'MAIN BERTH PLAN'!#REF!</definedName>
    <definedName name="_Key2" hidden="1">#REF!</definedName>
    <definedName name="_key7" localSheetId="0" hidden="1">[2]업무계획1!#REF!</definedName>
    <definedName name="_key7" hidden="1">[2]업무계획1!#REF!</definedName>
    <definedName name="_krs2">'[3]아주(03실적)'!$A$3:$O$33</definedName>
    <definedName name="_loa1" localSheetId="0">'MAIN BERTH PLAN'!#REF!</definedName>
    <definedName name="_loa1">#REF!</definedName>
    <definedName name="_loa11" localSheetId="0">'MAIN BERTH PLAN'!#REF!</definedName>
    <definedName name="_loa11">#REF!</definedName>
    <definedName name="_loa2" localSheetId="0">'MAIN BERTH PLAN'!#REF!</definedName>
    <definedName name="_loa2">#REF!</definedName>
    <definedName name="_loa3" localSheetId="0">'MAIN BERTH PLAN'!#REF!</definedName>
    <definedName name="_loa3">#REF!</definedName>
    <definedName name="_loa7" localSheetId="0">'MAIN BERTH PLAN'!#REF!</definedName>
    <definedName name="_loa7">#REF!</definedName>
    <definedName name="_loa9" localSheetId="0">'MAIN BERTH PLAN'!#REF!</definedName>
    <definedName name="_loa9">#REF!</definedName>
    <definedName name="_Mth99">[4]Revenue!$D$6</definedName>
    <definedName name="_nb1999" localSheetId="0">'[5]NB-MKT'!#REF!</definedName>
    <definedName name="_nb1999">'[5]NB-MKT'!#REF!</definedName>
    <definedName name="_nb2099" localSheetId="0">'[5]NB-MKT'!#REF!</definedName>
    <definedName name="_nb2099">'[5]NB-MKT'!#REF!</definedName>
    <definedName name="_nrt2" localSheetId="0">'MAIN BERTH PLAN'!#REF!</definedName>
    <definedName name="_nrt2">#REF!</definedName>
    <definedName name="_nrt3" localSheetId="0">'MAIN BERTH PLAN'!#REF!</definedName>
    <definedName name="_nrt3">#REF!</definedName>
    <definedName name="_nrt7" localSheetId="0">'MAIN BERTH PLAN'!#REF!</definedName>
    <definedName name="_nrt7">#REF!</definedName>
    <definedName name="_nrt9" localSheetId="0">'MAIN BERTH PLAN'!#REF!</definedName>
    <definedName name="_nrt9">#REF!</definedName>
    <definedName name="_Order1" hidden="1">255</definedName>
    <definedName name="_Order2" hidden="1">0</definedName>
    <definedName name="_P1" localSheetId="0">'MAIN BERTH PLAN'!#REF!</definedName>
    <definedName name="_P1">#REF!</definedName>
    <definedName name="_P11" localSheetId="0">'MAIN BERTH PLAN'!#REF!</definedName>
    <definedName name="_P11">#REF!</definedName>
    <definedName name="_P2" localSheetId="0">'MAIN BERTH PLAN'!#REF!</definedName>
    <definedName name="_P2">#REF!</definedName>
    <definedName name="_P3" localSheetId="0">'MAIN BERTH PLAN'!#REF!</definedName>
    <definedName name="_P3">#REF!</definedName>
    <definedName name="_P7" localSheetId="0">'MAIN BERTH PLAN'!#REF!</definedName>
    <definedName name="_P7">#REF!</definedName>
    <definedName name="_p8" localSheetId="0">'MAIN BERTH PLAN'!#REF!</definedName>
    <definedName name="_p8">#REF!</definedName>
    <definedName name="_PM1" localSheetId="0">'MAIN BERTH PLAN'!#REF!</definedName>
    <definedName name="_PM1">#REF!</definedName>
    <definedName name="_pm3" localSheetId="0">'MAIN BERTH PLAN'!#REF!</definedName>
    <definedName name="_pm3">#REF!</definedName>
    <definedName name="_pnw5" localSheetId="0">'MAIN BERTH PLAN'!#REF!</definedName>
    <definedName name="_pnw5">#REF!</definedName>
    <definedName name="_pnw7" localSheetId="0">'MAIN BERTH PLAN'!#REF!</definedName>
    <definedName name="_pnw7">#REF!</definedName>
    <definedName name="_PS1" localSheetId="0">'MAIN BERTH PLAN'!#REF!</definedName>
    <definedName name="_PS1">#REF!</definedName>
    <definedName name="_ps6" localSheetId="0">'MAIN BERTH PLAN'!#REF!</definedName>
    <definedName name="_ps6">#REF!</definedName>
    <definedName name="_Sen1" localSheetId="0">'MAIN BERTH PLAN'!#REF!</definedName>
    <definedName name="_Sen1">#REF!</definedName>
    <definedName name="_Sen2" localSheetId="0">'MAIN BERTH PLAN'!#REF!</definedName>
    <definedName name="_Sen2">#REF!</definedName>
    <definedName name="_Sen3" localSheetId="0">'MAIN BERTH PLAN'!#REF!</definedName>
    <definedName name="_Sen3">#REF!</definedName>
    <definedName name="_sen6" localSheetId="0">'MAIN BERTH PLAN'!#REF!</definedName>
    <definedName name="_sen6">#REF!</definedName>
    <definedName name="_Sort" localSheetId="0" hidden="1">'MAIN BERTH PLAN'!#REF!</definedName>
    <definedName name="_Sort" hidden="1">#REF!</definedName>
    <definedName name="_TP1" localSheetId="0">'MAIN BERTH PLAN'!#REF!</definedName>
    <definedName name="_TP1">#REF!</definedName>
    <definedName name="_yr1997" localSheetId="0">'MAIN BERTH PLAN'!#REF!</definedName>
    <definedName name="_yr1997">#REF!</definedName>
    <definedName name="_yr1998" localSheetId="0">'MAIN BERTH PLAN'!#REF!</definedName>
    <definedName name="_yr1998">#REF!</definedName>
    <definedName name="_yr1999" localSheetId="0">'MAIN BERTH PLAN'!#REF!</definedName>
    <definedName name="_yr1999">#REF!</definedName>
    <definedName name="a" localSheetId="0">'MAIN BERTH PLAN'!#REF!</definedName>
    <definedName name="a">#REF!</definedName>
    <definedName name="A300_600" localSheetId="0">'MAIN BERTH PLAN'!#REF!</definedName>
    <definedName name="A300_600">#REF!</definedName>
    <definedName name="AA" localSheetId="0">'MAIN BERTH PLAN'!#REF!</definedName>
    <definedName name="AA">#REF!</definedName>
    <definedName name="AAA" localSheetId="0">'[6]지방,해외배부'!#REF!</definedName>
    <definedName name="AAA">'[6]지방,해외배부'!#REF!</definedName>
    <definedName name="AAAA" localSheetId="0" hidden="1">{"adj95mult",#N/A,FALSE,"COMPCO";"adj95est",#N/A,FALSE,"COMPCO"}</definedName>
    <definedName name="AAAA" hidden="1">{"adj95mult",#N/A,FALSE,"COMPCO";"adj95est",#N/A,FALSE,"COMPCO"}</definedName>
    <definedName name="AAAAAAAAAAAAAAAAA" localSheetId="0">'MAIN BERTH PLAN'!#REF!</definedName>
    <definedName name="AAAAAAAAAAAAAAAAA">#REF!</definedName>
    <definedName name="AAX" localSheetId="0">'MAIN BERTH PLAN'!#REF!</definedName>
    <definedName name="AAX">#REF!</definedName>
    <definedName name="AB" localSheetId="0">'MAIN BERTH PLAN'!#REF!</definedName>
    <definedName name="AB">#REF!</definedName>
    <definedName name="abc" localSheetId="0">'MAIN BERTH PLAN'!#REF!</definedName>
    <definedName name="abc">#REF!</definedName>
    <definedName name="ABS" localSheetId="0">'MAIN BERTH PLAN'!#REF!</definedName>
    <definedName name="ABS">#REF!</definedName>
    <definedName name="Account" localSheetId="0">'MAIN BERTH PLAN'!#REF!</definedName>
    <definedName name="Account">#REF!</definedName>
    <definedName name="Actual96">'[7]PivotTable $'!$D$7:$D$800</definedName>
    <definedName name="ADM">[8]비용항목!$C$92</definedName>
    <definedName name="ADR" localSheetId="0">'MAIN BERTH PLAN'!#REF!</definedName>
    <definedName name="ADR">#REF!</definedName>
    <definedName name="ADX" localSheetId="0">'MAIN BERTH PLAN'!#REF!</definedName>
    <definedName name="ADX">#REF!</definedName>
    <definedName name="AE" localSheetId="0">'MAIN BERTH PLAN'!#REF!</definedName>
    <definedName name="AE">#REF!</definedName>
    <definedName name="AE_1" localSheetId="0">'MAIN BERTH PLAN'!#REF!</definedName>
    <definedName name="AE_1">#REF!</definedName>
    <definedName name="AE_2" localSheetId="0">'MAIN BERTH PLAN'!#REF!</definedName>
    <definedName name="AE_2">#REF!</definedName>
    <definedName name="AE_3" localSheetId="0">'MAIN BERTH PLAN'!#REF!</definedName>
    <definedName name="AE_3">#REF!</definedName>
    <definedName name="AE_4" localSheetId="0">'MAIN BERTH PLAN'!#REF!</definedName>
    <definedName name="AE_4">#REF!</definedName>
    <definedName name="AE_5" localSheetId="0">'MAIN BERTH PLAN'!#REF!</definedName>
    <definedName name="AE_5">#REF!</definedName>
    <definedName name="AE_6" localSheetId="0">'MAIN BERTH PLAN'!#REF!</definedName>
    <definedName name="AE_6">#REF!</definedName>
    <definedName name="AE_7" localSheetId="0">'MAIN BERTH PLAN'!#REF!</definedName>
    <definedName name="AE_7">#REF!</definedName>
    <definedName name="AE_8" localSheetId="0">'MAIN BERTH PLAN'!#REF!</definedName>
    <definedName name="AE_8">#REF!</definedName>
    <definedName name="AE2000_1">'[9]Scenario 1 - with HMM'!$B$3:$D$20</definedName>
    <definedName name="ae2000_2" localSheetId="0">'MAIN BERTH PLAN'!#REF!</definedName>
    <definedName name="ae2000_2">#REF!</definedName>
    <definedName name="ae2000_3" localSheetId="0">'MAIN BERTH PLAN'!#REF!</definedName>
    <definedName name="ae2000_3">#REF!</definedName>
    <definedName name="ae2000_3a" localSheetId="0">'MAIN BERTH PLAN'!#REF!</definedName>
    <definedName name="ae2000_3a">#REF!</definedName>
    <definedName name="ae2000q4_3a" localSheetId="0">'MAIN BERTH PLAN'!#REF!</definedName>
    <definedName name="ae2000q4_3a">#REF!</definedName>
    <definedName name="ae2001_1">'[9]Scenario 1 - with HMM'!$H$3:$J$20</definedName>
    <definedName name="ae2001_3a" localSheetId="0">'MAIN BERTH PLAN'!#REF!</definedName>
    <definedName name="ae2001_3a">#REF!</definedName>
    <definedName name="ae20013q_3a" localSheetId="0">'MAIN BERTH PLAN'!#REF!</definedName>
    <definedName name="ae20013q_3a">#REF!</definedName>
    <definedName name="ae2001Q1_3a" localSheetId="0">'MAIN BERTH PLAN'!#REF!</definedName>
    <definedName name="ae2001Q1_3a">#REF!</definedName>
    <definedName name="ae2001q2_3a" localSheetId="0">'MAIN BERTH PLAN'!#REF!</definedName>
    <definedName name="ae2001q2_3a">#REF!</definedName>
    <definedName name="ae2001q4_3a" localSheetId="0">'MAIN BERTH PLAN'!#REF!</definedName>
    <definedName name="ae2001q4_3a">#REF!</definedName>
    <definedName name="AEC" localSheetId="0">'MAIN BERTH PLAN'!#REF!</definedName>
    <definedName name="AEC">#REF!</definedName>
    <definedName name="AES_1" localSheetId="0">'MAIN BERTH PLAN'!#REF!</definedName>
    <definedName name="AES_1">#REF!</definedName>
    <definedName name="AES_2" localSheetId="0">'MAIN BERTH PLAN'!#REF!</definedName>
    <definedName name="AES_2">#REF!</definedName>
    <definedName name="AEX" localSheetId="0">'MAIN BERTH PLAN'!#REF!</definedName>
    <definedName name="AEX">#REF!</definedName>
    <definedName name="AEX_CKY" localSheetId="0">'MAIN BERTH PLAN'!#REF!</definedName>
    <definedName name="AEX_CKY">#REF!</definedName>
    <definedName name="AEX_GA" localSheetId="0">'MAIN BERTH PLAN'!#REF!</definedName>
    <definedName name="AEX_GA">#REF!</definedName>
    <definedName name="AEXEB_1">'[10]AEX(E)'!$A$8:$IV$8</definedName>
    <definedName name="AEXEB_10">'[10]AEX(E)'!$A$56:$IV$56</definedName>
    <definedName name="AEXEB_11">'[10]AEX(E)'!$A$62:$IV$62</definedName>
    <definedName name="AEXEB_12">'[10]AEX(E)'!$A$67:$IV$67</definedName>
    <definedName name="AEXEB_2">'[10]AEX(E)'!$A$13:$IV$13</definedName>
    <definedName name="AEXEB_3">'[10]AEX(E)'!$A$19:$IV$19</definedName>
    <definedName name="AEXEB_4">'[10]AEX(E)'!$A$24:$IV$24</definedName>
    <definedName name="AEXEB_5">'[10]AEX(E)'!$A$29:$IV$29</definedName>
    <definedName name="AEXEB_6">'[10]AEX(E)'!$A$35:$IV$35</definedName>
    <definedName name="AEXEB_7">'[10]AEX(E)'!$A$40:$IV$40</definedName>
    <definedName name="AEXEB_8">'[10]AEX(E)'!$A$46:$IV$46</definedName>
    <definedName name="AEXEB_9">'[10]AEX(E)'!$A$51:$IV$51</definedName>
    <definedName name="AEXWB_1">'[10]AEX(W)'!$A$8:$IV$8</definedName>
    <definedName name="AEXWB_10">'[10]AEX(W)'!$A$56:$IV$56</definedName>
    <definedName name="AEXWB_11">'[10]AEX(W)'!$A$62:$IV$62</definedName>
    <definedName name="AEXWB_12">'[10]AEX(W)'!$A$67:$IV$67</definedName>
    <definedName name="AEXWB_2">'[10]AEX(W)'!$A$13:$IV$13</definedName>
    <definedName name="AEXWB_3">'[10]AEX(W)'!$A$19:$IV$19</definedName>
    <definedName name="AEXWB_4">'[10]AEX(W)'!$A$24:$IV$24</definedName>
    <definedName name="AEXWB_5">'[10]AEX(W)'!$A$29:$IV$29</definedName>
    <definedName name="AEXWB_6">'[10]AEX(W)'!$A$35:$IV$35</definedName>
    <definedName name="AEXWB_7">'[10]AEX(W)'!$A$40:$IV$40</definedName>
    <definedName name="AEXWB_8">'[10]AEX(W)'!$A$46:$IV$46</definedName>
    <definedName name="AEXWB_9">'[10]AEX(W)'!$A$51:$IV$51</definedName>
    <definedName name="AL_File">[11]Makro1!$B$1</definedName>
    <definedName name="Allocations" localSheetId="0">'MAIN BERTH PLAN'!#REF!</definedName>
    <definedName name="Allocations">#REF!</definedName>
    <definedName name="AMA" localSheetId="0">'MAIN BERTH PLAN'!#REF!</definedName>
    <definedName name="AMA">#REF!</definedName>
    <definedName name="AMAX" localSheetId="0">'MAIN BERTH PLAN'!#REF!</definedName>
    <definedName name="AMAX">#REF!</definedName>
    <definedName name="AME" localSheetId="0">'MAIN BERTH PLAN'!#REF!</definedName>
    <definedName name="AME">#REF!</definedName>
    <definedName name="AMM_PMTyr" localSheetId="0">'MAIN BERTH PLAN'!#REF!</definedName>
    <definedName name="AMM_PMTyr">#REF!</definedName>
    <definedName name="Amortization">[12]OpSum!$A$48:$IV$48</definedName>
    <definedName name="AMP" localSheetId="0">'MAIN BERTH PLAN'!#REF!</definedName>
    <definedName name="AMP">#REF!</definedName>
    <definedName name="AMS" localSheetId="0">'MAIN BERTH PLAN'!#REF!</definedName>
    <definedName name="AMS">#REF!</definedName>
    <definedName name="AMSEB_1">'[10]AMS(E)'!$A$8:$IV$8</definedName>
    <definedName name="AMSEB_10">'[10]AMS(E)'!$A$56:$IV$56</definedName>
    <definedName name="AMSEB_11">'[10]AMS(E)'!$A$62:$IV$62</definedName>
    <definedName name="AMSEB_12">'[10]AMS(E)'!$A$67:$IV$67</definedName>
    <definedName name="AMSEB_2">'[10]AMS(E)'!$A$13:$IV$13</definedName>
    <definedName name="AMSEB_3">'[10]AMS(E)'!$A$19:$IV$19</definedName>
    <definedName name="AMSEB_4">'[10]AMS(E)'!$A$24:$IV$24</definedName>
    <definedName name="AMSEB_5">'[10]AMS(E)'!$A$29:$IV$29</definedName>
    <definedName name="AMSEB_6">'[10]AMS(E)'!$A$35:$IV$35</definedName>
    <definedName name="AMSEB_7">'[10]AMS(E)'!$A$40:$IV$40</definedName>
    <definedName name="AMSEB_8">'[10]AMS(E)'!$A$46:$IV$46</definedName>
    <definedName name="AMSEB_9">'[10]AMS(E)'!$A$51:$IV$51</definedName>
    <definedName name="AMSWB_1">'[10]AMS(W)'!$A$8:$IV$8</definedName>
    <definedName name="AMSWB_10">'[10]AMS(W)'!$A$56:$IV$56</definedName>
    <definedName name="AMSWB_11">'[10]AMS(W)'!$A$62:$IV$62</definedName>
    <definedName name="AMSWB_12">'[10]AMS(W)'!$A$67:$IV$67</definedName>
    <definedName name="AMSWB_2">'[10]AMS(W)'!$A$13:$IV$13</definedName>
    <definedName name="AMSWB_3">'[10]AMS(W)'!$A$19:$IV$19</definedName>
    <definedName name="AMSWB_4">'[10]AMS(W)'!$A$24:$IV$24</definedName>
    <definedName name="AMSWB_5">'[10]AMS(W)'!$A$29:$IV$29</definedName>
    <definedName name="AMSWB_6">'[10]AMS(W)'!$A$35:$IV$35</definedName>
    <definedName name="AMSWB_7">'[10]AMS(W)'!$A$40:$IV$40</definedName>
    <definedName name="AMSWB_8">'[10]AMS(W)'!$A$46:$IV$46</definedName>
    <definedName name="AMSWB_9">'[10]AMS(W)'!$A$51:$IV$51</definedName>
    <definedName name="AMX" localSheetId="0">'MAIN BERTH PLAN'!#REF!</definedName>
    <definedName name="AMX">#REF!</definedName>
    <definedName name="and" localSheetId="0">'MAIN BERTH PLAN'!#REF!</definedName>
    <definedName name="and">#REF!</definedName>
    <definedName name="Annual_Growth_Rate" localSheetId="0">'MAIN BERTH PLAN'!#REF!</definedName>
    <definedName name="Annual_Growth_Rate">#REF!</definedName>
    <definedName name="AOB" localSheetId="0" hidden="1">{"adj95mult",#N/A,FALSE,"COMPCO";"adj95est",#N/A,FALSE,"COMPCO"}</definedName>
    <definedName name="AOB" hidden="1">{"adj95mult",#N/A,FALSE,"COMPCO";"adj95est",#N/A,FALSE,"COMPCO"}</definedName>
    <definedName name="ap" localSheetId="0">'MAIN BERTH PLAN'!#REF!</definedName>
    <definedName name="ap">#REF!</definedName>
    <definedName name="apd" localSheetId="0">'MAIN BERTH PLAN'!#REF!</definedName>
    <definedName name="apd">#REF!</definedName>
    <definedName name="Apr" localSheetId="0">'MAIN BERTH PLAN'!#REF!</definedName>
    <definedName name="Apr">#REF!</definedName>
    <definedName name="APX" localSheetId="0">'MAIN BERTH PLAN'!#REF!</definedName>
    <definedName name="APX">#REF!</definedName>
    <definedName name="APXEB_1">'[10]APX(E)'!$A$8:$IV$8</definedName>
    <definedName name="APXEB_10">'[10]APX(E)'!$A$56:$IV$56</definedName>
    <definedName name="APXEB_11">'[10]APX(E)'!$A$62:$IV$62</definedName>
    <definedName name="APXEB_12">'[10]APX(E)'!$A$67:$IV$67</definedName>
    <definedName name="APXEB_2">'[10]APX(E)'!$A$13:$IV$13</definedName>
    <definedName name="APXEB_3">'[10]APX(E)'!$A$19:$IV$19</definedName>
    <definedName name="APXEB_4">'[10]APX(E)'!$A$24:$IV$24</definedName>
    <definedName name="APXEB_5">'[10]APX(E)'!$A$29:$IV$29</definedName>
    <definedName name="APXEB_6">'[10]APX(E)'!$A$35:$IV$35</definedName>
    <definedName name="APXEB_7">'[10]APX(E)'!$A$40:$IV$40</definedName>
    <definedName name="APXEB_8">'[10]APX(E)'!$A$46:$IV$46</definedName>
    <definedName name="APXEB_9">'[10]APX(E)'!$A$51:$IV$51</definedName>
    <definedName name="APXWB_1">'[10]APX(W)'!$A$8:$IV$8</definedName>
    <definedName name="APXWB_10">'[10]APX(W)'!$A$56:$IV$56</definedName>
    <definedName name="APXWB_11">'[10]APX(W)'!$A$62:$IV$62</definedName>
    <definedName name="APXWB_12">'[10]APX(W)'!$A$67:$IV$67</definedName>
    <definedName name="APXWB_2">'[10]APX(W)'!$A$13:$IV$13</definedName>
    <definedName name="APXWB_3">'[10]APX(W)'!$A$19:$IV$19</definedName>
    <definedName name="APXWB_4">'[10]APX(W)'!$A$24:$IV$24</definedName>
    <definedName name="APXWB_5">'[10]APX(W)'!$A$29:$IV$29</definedName>
    <definedName name="APXWB_6">'[10]APX(W)'!$A$35:$IV$35</definedName>
    <definedName name="APXWB_7">'[10]APX(W)'!$A$40:$IV$40</definedName>
    <definedName name="APXWB_8">'[10]APX(W)'!$A$46:$IV$46</definedName>
    <definedName name="APXWB_9">'[10]APX(W)'!$A$51:$IV$51</definedName>
    <definedName name="AS" localSheetId="0">'MAIN BERTH PLAN'!#REF!</definedName>
    <definedName name="AS">#REF!</definedName>
    <definedName name="ASGASHIPDATA" localSheetId="0">'MAIN BERTH PLAN'!#REF!</definedName>
    <definedName name="ASGASHIPDATA">#REF!</definedName>
    <definedName name="ASIA">'[13]BUNKER 소모량'!$D$6:$E$59</definedName>
    <definedName name="Assetclass">'[14]Asset Plan 476F'!$E$114:$E$132</definedName>
    <definedName name="ATSEB_1">'[10]ATS(E)'!$A$8:$IV$8</definedName>
    <definedName name="ATSEB_10">'[10]ATS(E)'!$A$56:$IV$56</definedName>
    <definedName name="ATSEB_11">'[10]ATS(E)'!$A$62:$IV$62</definedName>
    <definedName name="ATSEB_12">'[10]ATS(E)'!$A$67:$IV$67</definedName>
    <definedName name="ATSEB_2">'[10]ATS(E)'!$A$13:$IV$13</definedName>
    <definedName name="ATSEB_3">'[10]ATS(E)'!$A$19:$IV$19</definedName>
    <definedName name="ATSEB_4">'[10]ATS(E)'!$A$24:$IV$24</definedName>
    <definedName name="ATSEB_5">'[10]ATS(E)'!$A$29:$IV$29</definedName>
    <definedName name="ATSEB_6">'[10]ATS(E)'!$A$35:$IV$35</definedName>
    <definedName name="ATSEB_7">'[10]ATS(E)'!$A$40:$IV$40</definedName>
    <definedName name="ATSEB_8">'[10]ATS(E)'!$A$46:$IV$46</definedName>
    <definedName name="ATSEB_9">'[10]ATS(E)'!$A$51:$IV$51</definedName>
    <definedName name="ATSWB_1">'[10]ATS(W)'!$A$8:$IV$8</definedName>
    <definedName name="ATSWB_10">'[10]ATS(W)'!$A$56:$IV$56</definedName>
    <definedName name="ATSWB_11">'[10]ATS(W)'!$A$62:$IV$62</definedName>
    <definedName name="ATSWB_12">'[10]ATS(W)'!$A$67:$IV$67</definedName>
    <definedName name="ATSWB_2">'[10]ATS(W)'!$A$13:$IV$13</definedName>
    <definedName name="ATSWB_3">'[10]ATS(W)'!$A$19:$IV$19</definedName>
    <definedName name="ATSWB_4">'[10]ATS(W)'!$A$24:$IV$24</definedName>
    <definedName name="ATSWB_5">'[10]ATS(W)'!$A$29:$IV$29</definedName>
    <definedName name="ATSWB_6">'[10]ATS(W)'!$A$35:$IV$35</definedName>
    <definedName name="ATSWB_7">'[10]ATS(W)'!$A$40:$IV$40</definedName>
    <definedName name="ATSWB_8">'[10]ATS(W)'!$A$46:$IV$46</definedName>
    <definedName name="ATSWB_9">'[10]ATS(W)'!$A$51:$IV$51</definedName>
    <definedName name="Aug" localSheetId="0">'MAIN BERTH PLAN'!#REF!</definedName>
    <definedName name="Aug">#REF!</definedName>
    <definedName name="AUSTRALIA" localSheetId="0">'MAIN BERTH PLAN'!#REF!</definedName>
    <definedName name="AUSTRALIA">#REF!</definedName>
    <definedName name="Av_hours_per_day" localSheetId="0">'MAIN BERTH PLAN'!#REF!</definedName>
    <definedName name="Av_hours_per_day">#REF!</definedName>
    <definedName name="Av_QC_Dep" localSheetId="0">'MAIN BERTH PLAN'!#REF!</definedName>
    <definedName name="Av_QC_Dep">#REF!</definedName>
    <definedName name="Av_Vessel_Length" localSheetId="0">'MAIN BERTH PLAN'!#REF!</definedName>
    <definedName name="Av_Vessel_Length">#REF!</definedName>
    <definedName name="avgexchangerate">[15]Assumptions!$A$29:$IV$29</definedName>
    <definedName name="B" localSheetId="0">'[16]지방,해외배부'!#REF!</definedName>
    <definedName name="B">'[16]지방,해외배부'!#REF!</definedName>
    <definedName name="B_A단가">[8]비용항목!$C$17</definedName>
    <definedName name="B_B단가">[8]비용항목!$C$18</definedName>
    <definedName name="b_Z___?MP1765" localSheetId="0">'MAIN BERTH PLAN'!#REF!</definedName>
    <definedName name="b_Z___?MP1765">#REF!</definedName>
    <definedName name="Bank_Proceeds" localSheetId="0">'MAIN BERTH PLAN'!#REF!</definedName>
    <definedName name="Bank_Proceeds">#REF!</definedName>
    <definedName name="Bank_SellYr" localSheetId="0">'MAIN BERTH PLAN'!#REF!</definedName>
    <definedName name="Bank_SellYr">#REF!</definedName>
    <definedName name="bBack" hidden="1">TRUE</definedName>
    <definedName name="bBackHomePage" hidden="1">TRUE</definedName>
    <definedName name="bbb">[17]DATA!$AK$6:$AN$102</definedName>
    <definedName name="bcrclcl100rt" localSheetId="0">'[18]9-1차이내역'!#REF!</definedName>
    <definedName name="bcrclcl100rt">'[18]9-1차이내역'!#REF!</definedName>
    <definedName name="bcrclcl100rtrkrk" localSheetId="0">'[18]9-1차이내역'!#REF!</definedName>
    <definedName name="bcrclcl100rtrkrk">'[18]9-1차이내역'!#REF!</definedName>
    <definedName name="Berth_Utilisation" localSheetId="0">'MAIN BERTH PLAN'!#REF!</definedName>
    <definedName name="Berth_Utilisation">#REF!</definedName>
    <definedName name="BEX" localSheetId="0">'MAIN BERTH PLAN'!#REF!</definedName>
    <definedName name="BEX">#REF!</definedName>
    <definedName name="bPreview" hidden="1">TRUE</definedName>
    <definedName name="bPrint" hidden="1">TRUE</definedName>
    <definedName name="bs20011분기환율" localSheetId="0">'MAIN BERTH PLAN'!#REF!</definedName>
    <definedName name="bs20011분기환율">#REF!</definedName>
    <definedName name="BSA" localSheetId="0">'MAIN BERTH PLAN'!#REF!</definedName>
    <definedName name="BSA">#REF!</definedName>
    <definedName name="BS환율" localSheetId="0">'MAIN BERTH PLAN'!#REF!</definedName>
    <definedName name="BS환율">#REF!</definedName>
    <definedName name="Buildingbaseprice" localSheetId="0">[19]Capex!#REF!</definedName>
    <definedName name="Buildingbaseprice">[19]Capex!#REF!</definedName>
    <definedName name="Bulk_Scrap" localSheetId="0">'MAIN BERTH PLAN'!#REF!</definedName>
    <definedName name="Bulk_Scrap">#REF!</definedName>
    <definedName name="BUNKER">'[20]BUNKER 소모량'!$D$6:$E$59</definedName>
    <definedName name="BUNKER_ALLOC" localSheetId="0">'MAIN BERTH PLAN'!#REF!</definedName>
    <definedName name="BUNKER_ALLOC">#REF!</definedName>
    <definedName name="BUNKER_ALLOC_PAX" localSheetId="0">'MAIN BERTH PLAN'!#REF!</definedName>
    <definedName name="BUNKER_ALLOC_PAX">#REF!</definedName>
    <definedName name="BUNKER_ALLOC_VW" localSheetId="0">'MAIN BERTH PLAN'!#REF!</definedName>
    <definedName name="BUNKER_ALLOC_VW">#REF!</definedName>
    <definedName name="BUNKER_PRICE" localSheetId="0">'MAIN BERTH PLAN'!#REF!</definedName>
    <definedName name="BUNKER_PRICE">#REF!</definedName>
    <definedName name="BUNKER2001Q1">[21]DATA!$X$6:$X$68</definedName>
    <definedName name="bZoom" hidden="1">FALSE</definedName>
    <definedName name="calls1" localSheetId="0">'MAIN BERTH PLAN'!#REF!</definedName>
    <definedName name="calls1">#REF!</definedName>
    <definedName name="capa">'[22]F.TYPE PNW'!$A$4:$F$30</definedName>
    <definedName name="Capacities" localSheetId="0">'MAIN BERTH PLAN'!#REF!</definedName>
    <definedName name="Capacities">#REF!</definedName>
    <definedName name="Capacity" localSheetId="0">'MAIN BERTH PLAN'!#REF!</definedName>
    <definedName name="Capacity">#REF!</definedName>
    <definedName name="Capex">[12]OpSum!$A$52:$IV$52</definedName>
    <definedName name="capex_inflation" localSheetId="0">'MAIN BERTH PLAN'!#REF!</definedName>
    <definedName name="capex_inflation">#REF!</definedName>
    <definedName name="Case" localSheetId="0">'MAIN BERTH PLAN'!#REF!</definedName>
    <definedName name="Case">#REF!</definedName>
    <definedName name="Categories1">[23]B_CHART!$CI$9:$DJ$9</definedName>
    <definedName name="Categories6">[24]B_CHART!$CI$193:$DJ$193</definedName>
    <definedName name="CEM" localSheetId="0">'MAIN BERTH PLAN'!#REF!</definedName>
    <definedName name="CEM">#REF!</definedName>
    <definedName name="CEU" localSheetId="0">'MAIN BERTH PLAN'!#REF!</definedName>
    <definedName name="CEU">#REF!</definedName>
    <definedName name="CEU_2" localSheetId="0">'MAIN BERTH PLAN'!#REF!</definedName>
    <definedName name="CEU_2">#REF!</definedName>
    <definedName name="CEX" localSheetId="0">'MAIN BERTH PLAN'!#REF!</definedName>
    <definedName name="CEX">#REF!</definedName>
    <definedName name="CEX_HJ" localSheetId="0">'MAIN BERTH PLAN'!#REF!</definedName>
    <definedName name="CEX_HJ">#REF!</definedName>
    <definedName name="CEXEB_1">'[10]CEX(E)'!$A$8:$IV$8</definedName>
    <definedName name="CEXEB_10">'[10]CEX(E)'!$A$56:$IV$56</definedName>
    <definedName name="CEXEB_11">'[10]CEX(E)'!$A$62:$IV$62</definedName>
    <definedName name="CEXEB_12">'[10]CEX(E)'!$A$67:$IV$67</definedName>
    <definedName name="CEXEB_2">'[10]CEX(E)'!$A$13:$IV$13</definedName>
    <definedName name="CEXEB_3">'[10]CEX(E)'!$A$19:$IV$19</definedName>
    <definedName name="CEXEB_4">'[10]CEX(E)'!$A$24:$IV$24</definedName>
    <definedName name="CEXEB_5">'[10]CEX(E)'!$A$29:$IV$29</definedName>
    <definedName name="CEXEB_6">'[10]CEX(E)'!$A$35:$IV$35</definedName>
    <definedName name="CEXEB_7">'[10]CEX(E)'!$A$40:$IV$40</definedName>
    <definedName name="CEXEB_8">'[10]CEX(E)'!$A$46:$IV$46</definedName>
    <definedName name="CEXEB_9">'[10]CEX(E)'!$A$51:$IV$51</definedName>
    <definedName name="CEXWB_1">'[10]CEX(W)'!$A$8:$IV$8</definedName>
    <definedName name="CEXWB_10">'[10]CEX(W)'!$A$56:$IV$56</definedName>
    <definedName name="CEXWB_11">'[10]CEX(W)'!$A$62:$IV$62</definedName>
    <definedName name="CEXWB_12">'[10]CEX(W)'!$A$67:$IV$67</definedName>
    <definedName name="CEXWB_2">'[10]CEX(W)'!$A$13:$IV$13</definedName>
    <definedName name="CEXWB_3">'[10]CEX(W)'!$A$19:$IV$19</definedName>
    <definedName name="CEXWB_4">'[10]CEX(W)'!$A$24:$IV$24</definedName>
    <definedName name="CEXWB_5">'[10]CEX(W)'!$A$29:$IV$29</definedName>
    <definedName name="CEXWB_6">'[10]CEX(W)'!$A$35:$IV$35</definedName>
    <definedName name="CEXWB_7">'[10]CEX(W)'!$A$40:$IV$40</definedName>
    <definedName name="CEXWB_8">'[10]CEX(W)'!$A$46:$IV$46</definedName>
    <definedName name="CEXWB_9">'[10]CEX(W)'!$A$51:$IV$51</definedName>
    <definedName name="Chemical_Scrap" localSheetId="0">'MAIN BERTH PLAN'!#REF!</definedName>
    <definedName name="Chemical_Scrap">#REF!</definedName>
    <definedName name="class" localSheetId="0">'MAIN BERTH PLAN'!#REF!</definedName>
    <definedName name="class">#REF!</definedName>
    <definedName name="CnEnd">[25]Assumptions!$G$18</definedName>
    <definedName name="Cntrs" localSheetId="0">'MAIN BERTH PLAN'!#REF!</definedName>
    <definedName name="Cntrs">#REF!</definedName>
    <definedName name="CorpTax" localSheetId="0">'MAIN BERTH PLAN'!#REF!</definedName>
    <definedName name="CorpTax">#REF!</definedName>
    <definedName name="cost_inflation" localSheetId="0">'MAIN BERTH PLAN'!#REF!</definedName>
    <definedName name="cost_inflation">#REF!</definedName>
    <definedName name="Cost_of_Sales">[12]OpSum!$A$35:$IV$35</definedName>
    <definedName name="Costs_sensitivity" localSheetId="0">'MAIN BERTH PLAN'!#REF!</definedName>
    <definedName name="Costs_sensitivity">#REF!</definedName>
    <definedName name="CPOCIFBase" localSheetId="0">[19]Scenarios!#REF!</definedName>
    <definedName name="CPOCIFBase">[19]Scenarios!#REF!</definedName>
    <definedName name="CPOCIFOptimistic" localSheetId="0">[19]Scenarios!#REF!</definedName>
    <definedName name="CPOCIFOptimistic">[19]Scenarios!#REF!</definedName>
    <definedName name="CPOCIFPessimistic">[19]Scenarios!#REF!</definedName>
    <definedName name="Crane_Utilisation" localSheetId="0">'MAIN BERTH PLAN'!#REF!</definedName>
    <definedName name="Crane_Utilisation">#REF!</definedName>
    <definedName name="_xlnm.Criteria" localSheetId="0">'MAIN BERTH PLAN'!#REF!</definedName>
    <definedName name="_xlnm.Criteria">#REF!</definedName>
    <definedName name="Critical_impact_factor" localSheetId="0">'MAIN BERTH PLAN'!#REF!</definedName>
    <definedName name="Critical_impact_factor">#REF!</definedName>
    <definedName name="CST_180" localSheetId="0">'MAIN BERTH PLAN'!#REF!</definedName>
    <definedName name="CST_180">#REF!</definedName>
    <definedName name="CST_380" localSheetId="0">'MAIN BERTH PLAN'!#REF!</definedName>
    <definedName name="CST_380">#REF!</definedName>
    <definedName name="Currency" localSheetId="0">'MAIN BERTH PLAN'!#REF!</definedName>
    <definedName name="Currency">#REF!</definedName>
    <definedName name="d">#N/A</definedName>
    <definedName name="DATA" localSheetId="0">'MAIN BERTH PLAN'!#REF!</definedName>
    <definedName name="DATA">#REF!</definedName>
    <definedName name="_xlnm.Database" localSheetId="0">'MAIN BERTH PLAN'!#REF!</definedName>
    <definedName name="_xlnm.Database">#REF!</definedName>
    <definedName name="DATEN" localSheetId="0">'MAIN BERTH PLAN'!#REF!</definedName>
    <definedName name="DATEN">#REF!</definedName>
    <definedName name="Days" localSheetId="0">'MAIN BERTH PLAN'!#REF!</definedName>
    <definedName name="Days">#REF!</definedName>
    <definedName name="DB" localSheetId="0">'MAIN BERTH PLAN'!#REF!</definedName>
    <definedName name="DB">#REF!</definedName>
    <definedName name="DBFJQ" localSheetId="0">'MAIN BERTH PLAN'!#REF!</definedName>
    <definedName name="DBFJQ">#REF!</definedName>
    <definedName name="dd" localSheetId="0">'MAIN BERTH PLAN'!#REF!</definedName>
    <definedName name="dd">#REF!</definedName>
    <definedName name="DD_years" localSheetId="0">'MAIN BERTH PLAN'!#REF!</definedName>
    <definedName name="DD_years">#REF!</definedName>
    <definedName name="ddd" localSheetId="0" hidden="1">{"adj95mult",#N/A,FALSE,"COMPCO";"adj95est",#N/A,FALSE,"COMPCO"}</definedName>
    <definedName name="ddd" hidden="1">{"adj95mult",#N/A,FALSE,"COMPCO";"adj95est",#N/A,FALSE,"COMPCO"}</definedName>
    <definedName name="dddd" localSheetId="0" hidden="1">{"mult96",#N/A,FALSE,"PETCOMP";"est96",#N/A,FALSE,"PETCOMP";"mult95",#N/A,FALSE,"PETCOMP";"est95",#N/A,FALSE,"PETCOMP";"multltm",#N/A,FALSE,"PETCOMP";"resultltm",#N/A,FALSE,"PETCOMP"}</definedName>
    <definedName name="dddd" hidden="1">{"mult96",#N/A,FALSE,"PETCOMP";"est96",#N/A,FALSE,"PETCOMP";"mult95",#N/A,FALSE,"PETCOMP";"est95",#N/A,FALSE,"PETCOMP";"multltm",#N/A,FALSE,"PETCOMP";"resultltm",#N/A,FALSE,"PETCOMP"}</definedName>
    <definedName name="Dec" localSheetId="0">'MAIN BERTH PLAN'!#REF!</definedName>
    <definedName name="Dec">#REF!</definedName>
    <definedName name="DEC.GH" localSheetId="0">'MAIN BERTH PLAN'!#REF!</definedName>
    <definedName name="DEC.GH">#REF!</definedName>
    <definedName name="Depn">[12]OpSum!$A$47:$IV$47</definedName>
    <definedName name="dese" localSheetId="0" hidden="1">{"adj95mult",#N/A,FALSE,"COMPCO";"adj95est",#N/A,FALSE,"COMPCO"}</definedName>
    <definedName name="dese" hidden="1">{"adj95mult",#N/A,FALSE,"COMPCO";"adj95est",#N/A,FALSE,"COMPCO"}</definedName>
    <definedName name="Discount_Rate">[12]ControlPanel!$E$28</definedName>
    <definedName name="dk" localSheetId="0" hidden="1">{"adj95mult",#N/A,FALSE,"COMPCO";"adj95est",#N/A,FALSE,"COMPCO"}</definedName>
    <definedName name="dk" hidden="1">{"adj95mult",#N/A,FALSE,"COMPCO";"adj95est",#N/A,FALSE,"COMPCO"}</definedName>
    <definedName name="dlack">[26]수입!#REF!</definedName>
    <definedName name="draft1" localSheetId="0">'MAIN BERTH PLAN'!#REF!</definedName>
    <definedName name="draft1">#REF!</definedName>
    <definedName name="draft2" localSheetId="0">'MAIN BERTH PLAN'!#REF!</definedName>
    <definedName name="draft2">#REF!</definedName>
    <definedName name="draft3" localSheetId="0">'MAIN BERTH PLAN'!#REF!</definedName>
    <definedName name="draft3">#REF!</definedName>
    <definedName name="DRAFTSURVEY" localSheetId="0">'[27]DRAFTSURVEY '!#REF!</definedName>
    <definedName name="DRAFTSURVEY">'[27]DRAFTSURVEY '!#REF!</definedName>
    <definedName name="DRAGON" localSheetId="0">'MAIN BERTH PLAN'!#REF!</definedName>
    <definedName name="DRAGON">#REF!</definedName>
    <definedName name="Druckbereich_MI" localSheetId="0">'MAIN BERTH PLAN'!#REF!</definedName>
    <definedName name="Druckbereich_MI">#REF!</definedName>
    <definedName name="e" localSheetId="0" hidden="1">{"EVA",#N/A,FALSE,"EVA";"WACC",#N/A,FALSE,"WACC"}</definedName>
    <definedName name="e" hidden="1">{"EVA",#N/A,FALSE,"EVA";"WACC",#N/A,FALSE,"WACC"}</definedName>
    <definedName name="EBITDA_Mulitplier">[12]ControlPanel!$E$29</definedName>
    <definedName name="ECS" localSheetId="0">'MAIN BERTH PLAN'!#REF!</definedName>
    <definedName name="ECS">#REF!</definedName>
    <definedName name="ecs2000_1">'[9]Scenario 1 - with HMM'!$B$86:$D$89</definedName>
    <definedName name="ecs2000_3a" localSheetId="0">'MAIN BERTH PLAN'!#REF!</definedName>
    <definedName name="ecs2000_3a">#REF!</definedName>
    <definedName name="ecs2000q4_3a" localSheetId="0">'MAIN BERTH PLAN'!#REF!</definedName>
    <definedName name="ecs2000q4_3a">#REF!</definedName>
    <definedName name="ecs2001_1">'[9]Scenario 1 - with HMM'!$H$86:$J$89</definedName>
    <definedName name="ecs2001q1_3a" localSheetId="0">'MAIN BERTH PLAN'!#REF!</definedName>
    <definedName name="ecs2001q1_3a">#REF!</definedName>
    <definedName name="ecs2001q2_3a" localSheetId="0">'MAIN BERTH PLAN'!#REF!</definedName>
    <definedName name="ecs2001q2_3a">#REF!</definedName>
    <definedName name="ecs2001q3_3a" localSheetId="0">'MAIN BERTH PLAN'!#REF!</definedName>
    <definedName name="ecs2001q3_3a">#REF!</definedName>
    <definedName name="ecs2001q4_3a" localSheetId="0">'MAIN BERTH PLAN'!#REF!</definedName>
    <definedName name="ecs2001q4_3a">#REF!</definedName>
    <definedName name="ecs2002q4_3a" localSheetId="0">'MAIN BERTH PLAN'!#REF!</definedName>
    <definedName name="ecs2002q4_3a">#REF!</definedName>
    <definedName name="EMA" localSheetId="0">'MAIN BERTH PLAN'!#REF!</definedName>
    <definedName name="EMA">#REF!</definedName>
    <definedName name="EPIC3" localSheetId="0">'MAIN BERTH PLAN'!#REF!</definedName>
    <definedName name="EPIC3">#REF!</definedName>
    <definedName name="EUR" localSheetId="0">'MAIN BERTH PLAN'!#REF!</definedName>
    <definedName name="EUR">#REF!</definedName>
    <definedName name="excel">#N/A</definedName>
    <definedName name="exchange_rate" localSheetId="0">'MAIN BERTH PLAN'!#REF!</definedName>
    <definedName name="exchange_rate">#REF!</definedName>
    <definedName name="EXCHRATE" localSheetId="0">'MAIN BERTH PLAN'!#REF!</definedName>
    <definedName name="EXCHRATE">#REF!</definedName>
    <definedName name="EXCHRATEGA">'[28]Exchange Rates-GA'!$A$5:$C$75</definedName>
    <definedName name="Extended" localSheetId="0">'MAIN BERTH PLAN'!#REF!</definedName>
    <definedName name="Extended">#REF!</definedName>
    <definedName name="EXU" localSheetId="0">'[29]VSL PARTICULARS'!#REF!</definedName>
    <definedName name="EXU">'[29]VSL PARTICULARS'!#REF!</definedName>
    <definedName name="F_B">[8]비용항목!$C$4</definedName>
    <definedName name="F_B원가">[8]비용항목!$C$19</definedName>
    <definedName name="F_number" localSheetId="0">'MAIN BERTH PLAN'!#REF!</definedName>
    <definedName name="F_number">#REF!</definedName>
    <definedName name="FAL" localSheetId="0">'MAIN BERTH PLAN'!#REF!</definedName>
    <definedName name="FAL">#REF!</definedName>
    <definedName name="Feb" localSheetId="0">'MAIN BERTH PLAN'!#REF!</definedName>
    <definedName name="Feb">#REF!</definedName>
    <definedName name="FEM" localSheetId="0">'MAIN BERTH PLAN'!#REF!</definedName>
    <definedName name="FEM">#REF!</definedName>
    <definedName name="FES" localSheetId="0">'MAIN BERTH PLAN'!#REF!</definedName>
    <definedName name="FES">#REF!</definedName>
    <definedName name="FEX" localSheetId="0">'MAIN BERTH PLAN'!#REF!</definedName>
    <definedName name="FEX">#REF!</definedName>
    <definedName name="fg1314TBTB4RTDKDKDKRT" localSheetId="0">'MAIN BERTH PLAN'!#REF!</definedName>
    <definedName name="fg1314TBTB4RTDKDKDKRT">#REF!</definedName>
    <definedName name="fg13TBTB6RTDKDK" localSheetId="0">'MAIN BERTH PLAN'!#REF!</definedName>
    <definedName name="fg13TBTB6RTDKDK">#REF!</definedName>
    <definedName name="FG13tbtbspspspsprtdkdk" localSheetId="0">'MAIN BERTH PLAN'!#REF!</definedName>
    <definedName name="FG13tbtbspspspsprtdkdk">#REF!</definedName>
    <definedName name="fg20TBTB5RTDKDK" localSheetId="0">[30]학교기부!#REF!</definedName>
    <definedName name="fg20TBTB5RTDKDK">[30]학교기부!#REF!</definedName>
    <definedName name="FG22TBTB3RTDKDKDK">[31]차수!#REF!</definedName>
    <definedName name="FG28TBTB4RTDK" localSheetId="0">'MAIN BERTH PLAN'!#REF!</definedName>
    <definedName name="FG28TBTB4RTDK">#REF!</definedName>
    <definedName name="FG44TBTB4RTDKDK" localSheetId="0">'MAIN BERTH PLAN'!#REF!</definedName>
    <definedName name="FG44TBTB4RTDKDK">#REF!</definedName>
    <definedName name="FG46TBTB4RTDKDK" localSheetId="0">'MAIN BERTH PLAN'!#REF!</definedName>
    <definedName name="FG46TBTB4RTDKDK">#REF!</definedName>
    <definedName name="fgh" localSheetId="0" hidden="1">{"adj95mult",#N/A,FALSE,"COMPCO";"adj95est",#N/A,FALSE,"COMPCO"}</definedName>
    <definedName name="fgh" hidden="1">{"adj95mult",#N/A,FALSE,"COMPCO";"adj95est",#N/A,FALSE,"COMPCO"}</definedName>
    <definedName name="FIND" localSheetId="0">'MAIN BERTH PLAN'!#REF!</definedName>
    <definedName name="FIND">#REF!</definedName>
    <definedName name="FinYrEnd" localSheetId="0">'MAIN BERTH PLAN'!#REF!</definedName>
    <definedName name="FinYrEnd">#REF!</definedName>
    <definedName name="FLEET_SPEC" localSheetId="0">'MAIN BERTH PLAN'!#REF!</definedName>
    <definedName name="FLEET_SPEC">#REF!</definedName>
    <definedName name="FLOATEL_MGT">[8]비용항목!$C$89</definedName>
    <definedName name="FLOATEL_급식비">[8]비용항목!$C$72</definedName>
    <definedName name="FLOATELD_E선용품">[8]비용항목!$G$17</definedName>
    <definedName name="FLOATELGO소모량">[8]비용항목!$C$14</definedName>
    <definedName name="FLOATELUNIFORM">[8]비용항목!$G$23</definedName>
    <definedName name="FLOATEL개발선원비">[8]비용항목!$C$48</definedName>
    <definedName name="FLOATEL개발선원수">[8]비용항목!$C$53</definedName>
    <definedName name="FLOATEL고정비">[8]비용항목!$G$103</definedName>
    <definedName name="FLOATEL공연기자재비">[8]비용항목!$G$12</definedName>
    <definedName name="FLOATEL관광조장수">[8]비용항목!$C$59</definedName>
    <definedName name="FLOATEL선박보험">[8]비용항목!$G$30</definedName>
    <definedName name="FLOATEL선원교체비">[8]비용항목!$C$66</definedName>
    <definedName name="FLOATEL선주사선원수">[8]비용항목!$C$29</definedName>
    <definedName name="FLOATEL소모품비">[8]비용항목!$C$96</definedName>
    <definedName name="FLOATEL수리비">[8]비용항목!$G$79</definedName>
    <definedName name="FLOATEL승객수">[8]비용항목!$G$95</definedName>
    <definedName name="FLOATEL식당이용선원수">[8]비용항목!$C$77</definedName>
    <definedName name="FLOATEL연예인선원비">[8]비용항목!$C$36</definedName>
    <definedName name="FLOATEL연예인수">[8]비용항목!$C$42</definedName>
    <definedName name="FLOATEL오물수거비">[8]비용항목!$G$53</definedName>
    <definedName name="FLOATEL용선료">[8]비용항목!$G$70</definedName>
    <definedName name="FLOATEL집기비품">[8]비용항목!$G$6</definedName>
    <definedName name="FLOATEL청수비">[8]비용항목!$G$47</definedName>
    <definedName name="FLOATEL항차수">[8]비용항목!$G$86</definedName>
    <definedName name="FNames" localSheetId="0">'MAIN BERTH PLAN'!#REF!</definedName>
    <definedName name="FNames">#REF!</definedName>
    <definedName name="FRW" localSheetId="0" hidden="1">{"adj95mult",#N/A,FALSE,"COMPCO";"adj95est",#N/A,FALSE,"COMPCO"}</definedName>
    <definedName name="FRW" hidden="1">{"adj95mult",#N/A,FALSE,"COMPCO";"adj95est",#N/A,FALSE,"COMPCO"}</definedName>
    <definedName name="G.RCPIX" localSheetId="0">[32]NS!$J$82:$AB$82</definedName>
    <definedName name="G.RCPIX">[32]NS!$J$82:$AB$82</definedName>
    <definedName name="GCC_sensitivity" localSheetId="0">'MAIN BERTH PLAN'!#REF!</definedName>
    <definedName name="GCC_sensitivity">#REF!</definedName>
    <definedName name="GCP" localSheetId="0">'MAIN BERTH PLAN'!#REF!</definedName>
    <definedName name="GCP">#REF!</definedName>
    <definedName name="GCTHeadcount">'[33]GCT Model'!$E$14:$X$33</definedName>
    <definedName name="GFRoyalty_sensitivity" localSheetId="0">'MAIN BERTH PLAN'!#REF!</definedName>
    <definedName name="GFRoyalty_sensitivity">#REF!</definedName>
    <definedName name="gg" localSheetId="0" hidden="1">{"adj95mult",#N/A,FALSE,"COMPCO";"adj95est",#N/A,FALSE,"COMPCO"}</definedName>
    <definedName name="gg" hidden="1">{"adj95mult",#N/A,FALSE,"COMPCO";"adj95est",#N/A,FALSE,"COMPCO"}</definedName>
    <definedName name="GGGG" localSheetId="0" hidden="1">{"EVA",#N/A,FALSE,"EVA";"WACC",#N/A,FALSE,"WACC"}</definedName>
    <definedName name="GGGG" hidden="1">{"EVA",#N/A,FALSE,"EVA";"WACC",#N/A,FALSE,"WACC"}</definedName>
    <definedName name="Global" localSheetId="0" hidden="1">{"adj95mult",#N/A,FALSE,"COMPCO";"adj95est",#N/A,FALSE,"COMPCO"}</definedName>
    <definedName name="Global" hidden="1">{"adj95mult",#N/A,FALSE,"COMPCO";"adj95est",#N/A,FALSE,"COMPCO"}</definedName>
    <definedName name="GO단가">[8]비용항목!$C$10</definedName>
    <definedName name="GPShare_sensitivity" localSheetId="0">'MAIN BERTH PLAN'!#REF!</definedName>
    <definedName name="GPShare_sensitivity">#REF!</definedName>
    <definedName name="GSC" localSheetId="0">'MAIN BERTH PLAN'!#REF!</definedName>
    <definedName name="GSC">#REF!</definedName>
    <definedName name="gyhf" localSheetId="0">'MAIN BERTH PLAN'!#REF!</definedName>
    <definedName name="gyhf">#REF!</definedName>
    <definedName name="h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_105호_필리핀해원_승선전_교육_부원_11명__5_13__해무부회의실" localSheetId="0">'MAIN BERTH PLAN'!#REF!</definedName>
    <definedName name="H_105호_필리핀해원_승선전_교육_부원_11명__5_13__해무부회의실">#REF!</definedName>
    <definedName name="Ham" localSheetId="0">'MAIN BERTH PLAN'!#REF!</definedName>
    <definedName name="Ham">#REF!</definedName>
    <definedName name="han" localSheetId="0">'MAIN BERTH PLAN'!#REF!</definedName>
    <definedName name="han">#REF!</definedName>
    <definedName name="handling_cost" localSheetId="0">'MAIN BERTH PLAN'!#REF!</definedName>
    <definedName name="handling_cost">#REF!</definedName>
    <definedName name="harbor" localSheetId="0">'MAIN BERTH PLAN'!#REF!</definedName>
    <definedName name="harbor">#REF!</definedName>
    <definedName name="HD_CON6_CKM" localSheetId="0">'MAIN BERTH PLAN'!#REF!</definedName>
    <definedName name="HD_CON6_CKM">#REF!</definedName>
    <definedName name="Headcount">'[33]CT Head Count'!$F$5:$Y$179</definedName>
    <definedName name="Heavyvehiclesbaseprice" localSheetId="0">[19]Capex!#REF!</definedName>
    <definedName name="Heavyvehiclesbaseprice">[19]Capex!#REF!</definedName>
    <definedName name="hhhh" localSheetId="0" hidden="1">{"EVA",#N/A,FALSE,"EVA";"WACC",#N/A,FALSE,"WACC"}</definedName>
    <definedName name="hhhh" hidden="1">{"EVA",#N/A,FALSE,"EVA";"WACC",#N/A,FALSE,"WACC"}</definedName>
    <definedName name="HII구분손익" localSheetId="0">'MAIN BERTH PLAN'!#REF!</definedName>
    <definedName name="HII구분손익">#REF!</definedName>
    <definedName name="hj" localSheetId="0">'MAIN BERTH PLAN'!#REF!</definedName>
    <definedName name="hj">#REF!</definedName>
    <definedName name="HJ_HVY" localSheetId="0">'MAIN BERTH PLAN'!#REF!</definedName>
    <definedName name="HJ_HVY">#REF!</definedName>
    <definedName name="hoot" localSheetId="0" hidden="1">{"DCF","UPSIDE CASE",FALSE,"Sheet1";"DCF","BASE CASE",FALSE,"Sheet1";"DCF","DOWNSIDE CASE",FALSE,"Sheet1"}</definedName>
    <definedName name="hoot" hidden="1">{"DCF","UPSIDE CASE",FALSE,"Sheet1";"DCF","BASE CASE",FALSE,"Sheet1";"DCF","DOWNSIDE CASE",FALSE,"Sheet1"}</definedName>
    <definedName name="Housefurniturebaseprice">[19]Capex!#REF!</definedName>
    <definedName name="IB" localSheetId="0">'MAIN BERTH PLAN'!#REF!</definedName>
    <definedName name="IB">#REF!</definedName>
    <definedName name="insrow" localSheetId="0">'MAIN BERTH PLAN'!#REF!</definedName>
    <definedName name="insrow">#REF!</definedName>
    <definedName name="interest">#N/A</definedName>
    <definedName name="InterestIncomeDiff">'[25]Cash Cascade'!$D$194</definedName>
    <definedName name="ISE" localSheetId="0">'MAIN BERTH PLAN'!#REF!</definedName>
    <definedName name="ISE">#REF!</definedName>
    <definedName name="IS환율" localSheetId="0">'MAIN BERTH PLAN'!#REF!</definedName>
    <definedName name="IS환율">#REF!</definedName>
    <definedName name="Jan" localSheetId="0">'MAIN BERTH PLAN'!#REF!</definedName>
    <definedName name="Jan">#REF!</definedName>
    <definedName name="JEX" localSheetId="0">'MAIN BERTH PLAN'!#REF!</definedName>
    <definedName name="JEX">#REF!</definedName>
    <definedName name="JEXEB_1">'[10]JEX(E)'!$A$8:$IV$8</definedName>
    <definedName name="JEXEB_10">'[10]JEX(E)'!$A$56:$IV$56</definedName>
    <definedName name="JEXEB_11">'[10]JEX(E)'!$A$62:$IV$62</definedName>
    <definedName name="JEXEB_12">'[10]JEX(E)'!$A$67:$IV$67</definedName>
    <definedName name="JEXEB_2">'[10]JEX(E)'!$A$13:$IV$13</definedName>
    <definedName name="JEXEB_3">'[10]JEX(E)'!$A$19:$IV$19</definedName>
    <definedName name="JEXEB_4">'[10]JEX(E)'!$A$24:$IV$24</definedName>
    <definedName name="JEXEB_5">'[10]JEX(E)'!$A$29:$IV$29</definedName>
    <definedName name="JEXEB_6">'[10]JEX(E)'!$A$35:$IV$35</definedName>
    <definedName name="JEXEB_7">'[10]JEX(E)'!$A$40:$IV$40</definedName>
    <definedName name="JEXEB_8">'[10]JEX(E)'!$A$46:$IV$46</definedName>
    <definedName name="JEXEB_9">'[10]JEX(E)'!$A$51:$IV$51</definedName>
    <definedName name="JEXWB_1">'[10]JEX(W)'!$A$8:$IV$8</definedName>
    <definedName name="JEXWB_10">'[10]JEX(W)'!$A$56:$IV$56</definedName>
    <definedName name="JEXWB_11">'[10]JEX(W)'!$A$62:$IV$62</definedName>
    <definedName name="JEXWB_12">'[10]JEX(W)'!$A$67:$IV$67</definedName>
    <definedName name="JEXWB_2">'[10]JEX(W)'!$A$13:$IV$13</definedName>
    <definedName name="JEXWB_3">'[10]JEX(W)'!$A$19:$IV$19</definedName>
    <definedName name="JEXWB_4">'[10]JEX(W)'!$A$24:$IV$24</definedName>
    <definedName name="JEXWB_5">'[10]JEX(W)'!$A$29:$IV$29</definedName>
    <definedName name="JEXWB_6">'[10]JEX(W)'!$A$35:$IV$35</definedName>
    <definedName name="JEXWB_7">'[10]JEX(W)'!$A$40:$IV$40</definedName>
    <definedName name="JEXWB_8">'[10]JEX(W)'!$A$46:$IV$46</definedName>
    <definedName name="JEXWB_9">'[10]JEX(W)'!$A$51:$IV$51</definedName>
    <definedName name="jhgmg" localSheetId="0">'MAIN BERTH PLAN'!#REF!</definedName>
    <definedName name="jhgmg">#REF!</definedName>
    <definedName name="jj" localSheetId="0" hidden="1">{"adj95mult",#N/A,FALSE,"COMPCO";"adj95est",#N/A,FALSE,"COMPCO"}</definedName>
    <definedName name="jj" hidden="1">{"adj95mult",#N/A,FALSE,"COMPCO";"adj95est",#N/A,FALSE,"COMPCO"}</definedName>
    <definedName name="Jul" localSheetId="0">'MAIN BERTH PLAN'!#REF!</definedName>
    <definedName name="Jul">#REF!</definedName>
    <definedName name="Jun" localSheetId="0">'MAIN BERTH PLAN'!#REF!</definedName>
    <definedName name="Jun">#REF!</definedName>
    <definedName name="Kernelprice" localSheetId="0">[19]Assumptions!#REF!</definedName>
    <definedName name="Kernelprice">[19]Assumptions!#REF!</definedName>
    <definedName name="kk" localSheetId="0" hidden="1">{"mult96",#N/A,FALSE,"PETCOMP";"est96",#N/A,FALSE,"PETCOMP";"mult95",#N/A,FALSE,"PETCOMP";"est95",#N/A,FALSE,"PETCOMP";"multltm",#N/A,FALSE,"PETCOMP";"resultltm",#N/A,FALSE,"PETCOMP"}</definedName>
    <definedName name="kk" hidden="1">{"mult96",#N/A,FALSE,"PETCOMP";"est96",#N/A,FALSE,"PETCOMP";"mult95",#N/A,FALSE,"PETCOMP";"est95",#N/A,FALSE,"PETCOMP";"multltm",#N/A,FALSE,"PETCOMP";"resultltm",#N/A,FALSE,"PETCOMP"}</definedName>
    <definedName name="kkk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kk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ORPEN대리점">[8]비용항목!$G$43</definedName>
    <definedName name="KRW" localSheetId="0">'MAIN BERTH PLAN'!#REF!</definedName>
    <definedName name="KRW">#REF!</definedName>
    <definedName name="l">#N/A</definedName>
    <definedName name="LAS">[34]LAS!$A$5:$H$84</definedName>
    <definedName name="LAX">[35]lax!$A$1:$J$1682</definedName>
    <definedName name="LIBOR" localSheetId="0">'MAIN BERTH PLAN'!#REF!</definedName>
    <definedName name="LIBOR">#REF!</definedName>
    <definedName name="Lines" localSheetId="0">'MAIN BERTH PLAN'!#REF!</definedName>
    <definedName name="Lines">#REF!</definedName>
    <definedName name="LION" localSheetId="0">'MAIN BERTH PLAN'!#REF!</definedName>
    <definedName name="LION">#REF!</definedName>
    <definedName name="list00" localSheetId="0">'MAIN BERTH PLAN'!#REF!</definedName>
    <definedName name="list00">#REF!</definedName>
    <definedName name="list9" localSheetId="0">'MAIN BERTH PLAN'!#REF!</definedName>
    <definedName name="list9">#REF!</definedName>
    <definedName name="local" localSheetId="0">'MAIN BERTH PLAN'!#REF!</definedName>
    <definedName name="local">#REF!</definedName>
    <definedName name="LOOP1" localSheetId="0">'MAIN BERTH PLAN'!#REF!</definedName>
    <definedName name="LOOP1">#REF!</definedName>
    <definedName name="LOOP2" localSheetId="0">'MAIN BERTH PLAN'!#REF!</definedName>
    <definedName name="LOOP2">#REF!</definedName>
    <definedName name="LOOP3" localSheetId="0">'MAIN BERTH PLAN'!#REF!</definedName>
    <definedName name="LOOP3">#REF!</definedName>
    <definedName name="LOOP4" localSheetId="0">'MAIN BERTH PLAN'!#REF!</definedName>
    <definedName name="LOOP4">#REF!</definedName>
    <definedName name="LOOP5" localSheetId="0">'MAIN BERTH PLAN'!#REF!</definedName>
    <definedName name="LOOP5">#REF!</definedName>
    <definedName name="LOOP6" localSheetId="0">'MAIN BERTH PLAN'!#REF!</definedName>
    <definedName name="LOOP6">#REF!</definedName>
    <definedName name="LOOP7" localSheetId="0">'MAIN BERTH PLAN'!#REF!</definedName>
    <definedName name="LOOP7">#REF!</definedName>
    <definedName name="LOOPF" localSheetId="0">'MAIN BERTH PLAN'!#REF!</definedName>
    <definedName name="LOOPF">#REF!</definedName>
    <definedName name="LsTable" localSheetId="0">'MAIN BERTH PLAN'!#REF!</definedName>
    <definedName name="LsTable">#REF!</definedName>
    <definedName name="Makro2">[11]Makro1!$A$1</definedName>
    <definedName name="Makro3" localSheetId="0">'MAIN BERTH PLAN'!#REF!</definedName>
    <definedName name="Makro3">#REF!</definedName>
    <definedName name="Makro4" localSheetId="0">'MAIN BERTH PLAN'!#REF!</definedName>
    <definedName name="Makro4">#REF!</definedName>
    <definedName name="Mar" localSheetId="0">'MAIN BERTH PLAN'!#REF!</definedName>
    <definedName name="Mar">#REF!</definedName>
    <definedName name="MAX" localSheetId="0">'MAIN BERTH PLAN'!#REF!</definedName>
    <definedName name="MAX">#REF!</definedName>
    <definedName name="max2000_1">'[9]Scenario 1 - with HMM'!$B$100:$D$102</definedName>
    <definedName name="max2000_3a" localSheetId="0">'MAIN BERTH PLAN'!#REF!</definedName>
    <definedName name="max2000_3a">#REF!</definedName>
    <definedName name="max2001_1">'[9]Scenario 1 - with HMM'!$H$100:$J$103</definedName>
    <definedName name="max2001_3a" localSheetId="0">'MAIN BERTH PLAN'!#REF!</definedName>
    <definedName name="max2001_3a">#REF!</definedName>
    <definedName name="May" localSheetId="0">'MAIN BERTH PLAN'!#REF!</definedName>
    <definedName name="May">#REF!</definedName>
    <definedName name="MDO_MGO" localSheetId="0">'MAIN BERTH PLAN'!#REF!</definedName>
    <definedName name="MDO_MGO">#REF!</definedName>
    <definedName name="MED" localSheetId="0">'MAIN BERTH PLAN'!#REF!</definedName>
    <definedName name="MED">#REF!</definedName>
    <definedName name="Med2000_1">'[9]Scenario 1 - with HMM'!$B$30:$D$35</definedName>
    <definedName name="med2000_3a" localSheetId="0">'MAIN BERTH PLAN'!#REF!</definedName>
    <definedName name="med2000_3a">#REF!</definedName>
    <definedName name="med2001_1">'[9]Scenario 1 - with HMM'!$H$30:$J$34</definedName>
    <definedName name="med2001_3a" localSheetId="0">'MAIN BERTH PLAN'!#REF!</definedName>
    <definedName name="med2001_3a">#REF!</definedName>
    <definedName name="menu" localSheetId="0">'MAIN BERTH PLAN'!#REF!</definedName>
    <definedName name="menu">#REF!</definedName>
    <definedName name="MEX" localSheetId="0">'MAIN BERTH PLAN'!#REF!</definedName>
    <definedName name="MEX">#REF!</definedName>
    <definedName name="MF_sensitivity" localSheetId="0">'MAIN BERTH PLAN'!#REF!</definedName>
    <definedName name="MF_sensitivity">#REF!</definedName>
    <definedName name="MIN" localSheetId="0">'MAIN BERTH PLAN'!#REF!</definedName>
    <definedName name="MIN">#REF!</definedName>
    <definedName name="MnPrYr">[25]Assumptions!$G$25</definedName>
    <definedName name="ModelStart">[25]Assumptions!$G$13</definedName>
    <definedName name="Month">"data"</definedName>
    <definedName name="month_comm">'[33]Validation lists'!$AC$6:$AD$17</definedName>
    <definedName name="Ms" localSheetId="0">'MAIN BERTH PLAN'!#REF!</definedName>
    <definedName name="Ms">#REF!</definedName>
    <definedName name="MSC" localSheetId="0" hidden="1">{"adj95mult",#N/A,FALSE,"COMPCO";"adj95est",#N/A,FALSE,"COMPCO"}</definedName>
    <definedName name="MSC" hidden="1">{"adj95mult",#N/A,FALSE,"COMPCO";"adj95est",#N/A,FALSE,"COMPCO"}</definedName>
    <definedName name="MSE_AcqDate" localSheetId="0">'MAIN BERTH PLAN'!#REF!</definedName>
    <definedName name="MSE_AcqDate">#REF!</definedName>
    <definedName name="MSE_AcqYr" localSheetId="0">'MAIN BERTH PLAN'!#REF!</definedName>
    <definedName name="MSE_AcqYr">#REF!</definedName>
    <definedName name="MSE_Price" localSheetId="0">'MAIN BERTH PLAN'!#REF!</definedName>
    <definedName name="MSE_Price">#REF!</definedName>
    <definedName name="MSL비교" localSheetId="0" hidden="1">{"adj95mult",#N/A,FALSE,"COMPCO";"adj95est",#N/A,FALSE,"COMPCO"}</definedName>
    <definedName name="MSL비교" hidden="1">{"adj95mult",#N/A,FALSE,"COMPCO";"adj95est",#N/A,FALSE,"COMPCO"}</definedName>
    <definedName name="Mth00">[4]Revenue!$E$6</definedName>
    <definedName name="MYR" localSheetId="0">'MAIN BERTH PLAN'!#REF!</definedName>
    <definedName name="MYR">#REF!</definedName>
    <definedName name="NAME" localSheetId="0">'MAIN BERTH PLAN'!#REF!</definedName>
    <definedName name="NAME">#REF!</definedName>
    <definedName name="NAP" localSheetId="0">'MAIN BERTH PLAN'!#REF!</definedName>
    <definedName name="NAP">#REF!</definedName>
    <definedName name="nb_1999" localSheetId="0">'[5]NB-MKT'!#REF!</definedName>
    <definedName name="nb_1999">'[5]NB-MKT'!#REF!</definedName>
    <definedName name="NCX" localSheetId="0">'MAIN BERTH PLAN'!#REF!</definedName>
    <definedName name="NCX">#REF!</definedName>
    <definedName name="new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ew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n" localSheetId="0" hidden="1">{"mult96",#N/A,FALSE,"PETCOMP";"est96",#N/A,FALSE,"PETCOMP";"mult95",#N/A,FALSE,"PETCOMP";"est95",#N/A,FALSE,"PETCOMP";"multltm",#N/A,FALSE,"PETCOMP";"resultltm",#N/A,FALSE,"PETCOMP"}</definedName>
    <definedName name="nn" hidden="1">{"mult96",#N/A,FALSE,"PETCOMP";"est96",#N/A,FALSE,"PETCOMP";"mult95",#N/A,FALSE,"PETCOMP";"est95",#N/A,FALSE,"PETCOMP";"multltm",#N/A,FALSE,"PETCOMP";"resultltm",#N/A,FALSE,"PETCOMP"}</definedName>
    <definedName name="NO." localSheetId="0">'MAIN BERTH PLAN'!#REF!</definedName>
    <definedName name="NO.">#REF!</definedName>
    <definedName name="No._of_days_in_a_year" localSheetId="0">'MAIN BERTH PLAN'!#REF!</definedName>
    <definedName name="No._of_days_in_a_year">#REF!</definedName>
    <definedName name="No._of_dwell_days" localSheetId="0">'MAIN BERTH PLAN'!#REF!</definedName>
    <definedName name="No._of_dwell_days">#REF!</definedName>
    <definedName name="No_months_per_year" localSheetId="0">'MAIN BERTH PLAN'!#REF!</definedName>
    <definedName name="No_months_per_year">#REF!</definedName>
    <definedName name="normal" localSheetId="0">'MAIN BERTH PLAN'!#REF!</definedName>
    <definedName name="normal">#REF!</definedName>
    <definedName name="Nov" localSheetId="0">'MAIN BERTH PLAN'!#REF!</definedName>
    <definedName name="Nov">#REF!</definedName>
    <definedName name="NUE" localSheetId="0">'MAIN BERTH PLAN'!#REF!</definedName>
    <definedName name="NUE">#REF!</definedName>
    <definedName name="numberofship" localSheetId="0">'MAIN BERTH PLAN'!#REF!</definedName>
    <definedName name="numberofship">#REF!</definedName>
    <definedName name="NURJAMAN" localSheetId="0">'MAIN BERTH PLAN'!#REF!</definedName>
    <definedName name="NURJAMAN">#REF!</definedName>
    <definedName name="O" localSheetId="0">{"DCF","UPSIDE CASE",FALSE,"Sheet1";"DCF","BASE CASE",FALSE,"Sheet1";"DCF","DOWNSIDE CASE",FALSE,"Sheet1"}</definedName>
    <definedName name="O">{"DCF","UPSIDE CASE",FALSE,"Sheet1";"DCF","BASE CASE",FALSE,"Sheet1";"DCF","DOWNSIDE CASE",FALSE,"Sheet1"}</definedName>
    <definedName name="Oct" localSheetId="0">'MAIN BERTH PLAN'!#REF!</definedName>
    <definedName name="Oct">#REF!</definedName>
    <definedName name="OFF" localSheetId="0">'MAIN BERTH PLAN'!#REF!</definedName>
    <definedName name="OFF">#REF!</definedName>
    <definedName name="Officefurniturebaseprice" localSheetId="0">[19]Capex!#REF!</definedName>
    <definedName name="Officefurniturebaseprice">[19]Capex!#REF!</definedName>
    <definedName name="oiu" localSheetId="0">'MAIN BERTH PLAN'!#REF!</definedName>
    <definedName name="oiu">#REF!</definedName>
    <definedName name="Op_Costs">[12]OpSum!$A$41:$IV$41</definedName>
    <definedName name="opgmgn" localSheetId="0">'MAIN BERTH PLAN'!#REF!</definedName>
    <definedName name="opgmgn">#REF!</definedName>
    <definedName name="OpnPeriod">[25]Assumptions!$G$29</definedName>
    <definedName name="OPO" localSheetId="2">[36]!OPO</definedName>
    <definedName name="OPO" localSheetId="0">[36]!OPO</definedName>
    <definedName name="OPO" localSheetId="3">[36]!OPO</definedName>
    <definedName name="OPO">[36]!OPO</definedName>
    <definedName name="optr">'[21]04 Profile'!$P$3:$P$19</definedName>
    <definedName name="ORIGIN별성장" localSheetId="0">'[37]지방,해외배부'!#REF!</definedName>
    <definedName name="ORIGIN별성장">'[37]지방,해외배부'!#REF!</definedName>
    <definedName name="Othermachinerybaseprice" localSheetId="0">[19]Capex!#REF!</definedName>
    <definedName name="Othermachinerybaseprice">[19]Capex!#REF!</definedName>
    <definedName name="P" localSheetId="0">'MAIN BERTH PLAN'!#REF!</definedName>
    <definedName name="P">#REF!</definedName>
    <definedName name="PAKISTAN" localSheetId="0">'MAIN BERTH PLAN'!#REF!</definedName>
    <definedName name="PAKISTAN">#REF!</definedName>
    <definedName name="PDE" localSheetId="0">'MAIN BERTH PLAN'!#REF!</definedName>
    <definedName name="PDE">#REF!</definedName>
    <definedName name="PDS" localSheetId="0">'MAIN BERTH PLAN'!#REF!</definedName>
    <definedName name="PDS">#REF!</definedName>
    <definedName name="Peak_factor" localSheetId="0">'MAIN BERTH PLAN'!#REF!</definedName>
    <definedName name="Peak_factor">#REF!</definedName>
    <definedName name="Perpetual_Growth">[12]ControlPanel!$E$30</definedName>
    <definedName name="Petrol_Scrap" localSheetId="0">'MAIN BERTH PLAN'!#REF!</definedName>
    <definedName name="Petrol_Scrap">#REF!</definedName>
    <definedName name="Pilotage" localSheetId="0">'MAIN BERTH PLAN'!#REF!</definedName>
    <definedName name="Pilotage">#REF!</definedName>
    <definedName name="plan9">[38]INOBTB!$A$2:$W$19</definedName>
    <definedName name="pnw" localSheetId="0">'MAIN BERTH PLAN'!#REF!</definedName>
    <definedName name="pnw">#REF!</definedName>
    <definedName name="Podctr" localSheetId="0">'MAIN BERTH PLAN'!#REF!</definedName>
    <definedName name="Podctr">#REF!</definedName>
    <definedName name="Porctr" localSheetId="0">'MAIN BERTH PLAN'!#REF!</definedName>
    <definedName name="Porctr">#REF!</definedName>
    <definedName name="PORT_ALLOC" localSheetId="0">'MAIN BERTH PLAN'!#REF!</definedName>
    <definedName name="PORT_ALLOC">#REF!</definedName>
    <definedName name="PORT_ALLOC_PAX" localSheetId="0">'MAIN BERTH PLAN'!#REF!</definedName>
    <definedName name="PORT_ALLOC_PAX">#REF!</definedName>
    <definedName name="PORT_ALLOC_PAX_EB" localSheetId="0">'MAIN BERTH PLAN'!#REF!</definedName>
    <definedName name="PORT_ALLOC_PAX_EB">#REF!</definedName>
    <definedName name="PORT_ALLOC_PAX_WB" localSheetId="0">'MAIN BERTH PLAN'!#REF!</definedName>
    <definedName name="PORT_ALLOC_PAX_WB">#REF!</definedName>
    <definedName name="PORT_ALLOC_VW" localSheetId="0">'MAIN BERTH PLAN'!#REF!</definedName>
    <definedName name="PORT_ALLOC_VW">#REF!</definedName>
    <definedName name="PORT_COST" localSheetId="0">'MAIN BERTH PLAN'!#REF!</definedName>
    <definedName name="PORT_COST">#REF!</definedName>
    <definedName name="PORT_FIXED" localSheetId="0">'MAIN BERTH PLAN'!#REF!</definedName>
    <definedName name="PORT_FIXED">#REF!</definedName>
    <definedName name="PORT_VAR" localSheetId="0">'MAIN BERTH PLAN'!#REF!</definedName>
    <definedName name="PORT_VAR">#REF!</definedName>
    <definedName name="portcharges" localSheetId="0">'MAIN BERTH PLAN'!#REF!</definedName>
    <definedName name="portcharges">#REF!</definedName>
    <definedName name="ports">'[39]port-charges'!$A$6:$B$34</definedName>
    <definedName name="Priceperday" localSheetId="0">'MAIN BERTH PLAN'!#REF!</definedName>
    <definedName name="Priceperday">#REF!</definedName>
    <definedName name="_xlnm.Print_Area" localSheetId="2">'BERTHING WAITING LIST '!$A$1:$DH$411</definedName>
    <definedName name="_xlnm.Print_Area" localSheetId="0">'MAIN BERTH PLAN'!$A$1:$DT$133</definedName>
    <definedName name="_xlnm.Print_Area" localSheetId="3">'OMITING VESSELS'!$A$1:$DH$411</definedName>
    <definedName name="_xlnm.Print_Area">#N/A</definedName>
    <definedName name="PRINT_AREA_MI" localSheetId="0">'MAIN BERTH PLAN'!#REF!</definedName>
    <definedName name="PRINT_AREA_MI">#REF!</definedName>
    <definedName name="PRINT_AREA_MI1" localSheetId="0">'MAIN BERTH PLAN'!#REF!</definedName>
    <definedName name="PRINT_AREA_MI1">#REF!</definedName>
    <definedName name="_xlnm.Print_Titles">#N/A</definedName>
    <definedName name="print4" localSheetId="0">'MAIN BERTH PLAN'!#REF!</definedName>
    <definedName name="print4">#REF!</definedName>
    <definedName name="Project_cost_sensitivity" localSheetId="0">'MAIN BERTH PLAN'!#REF!</definedName>
    <definedName name="Project_cost_sensitivity">#REF!</definedName>
    <definedName name="ProjectName" localSheetId="0">'MAIN BERTH PLAN'!#REF!</definedName>
    <definedName name="ProjectName">#REF!</definedName>
    <definedName name="PSW" localSheetId="0">'MAIN BERTH PLAN'!#REF!</definedName>
    <definedName name="PSW">#REF!</definedName>
    <definedName name="PSX" localSheetId="0">[40]FSHPL!#REF!</definedName>
    <definedName name="PSX">[40]FSHPL!#REF!</definedName>
    <definedName name="Pusan">[35]pusan!$A$2:$H$1355</definedName>
    <definedName name="Q91A" localSheetId="0">'MAIN BERTH PLAN'!#REF!</definedName>
    <definedName name="Q91A">#REF!</definedName>
    <definedName name="q91b" localSheetId="0">'MAIN BERTH PLAN'!#REF!</definedName>
    <definedName name="q91b">#REF!</definedName>
    <definedName name="RAG">#N/A</definedName>
    <definedName name="RANGE" localSheetId="0">'MAIN BERTH PLAN'!#REF!</definedName>
    <definedName name="RANGE">#REF!</definedName>
    <definedName name="RAT" localSheetId="0">'MAIN BERTH PLAN'!#REF!</definedName>
    <definedName name="RAT">#REF!</definedName>
    <definedName name="Rate_sensitivity" localSheetId="0">'MAIN BERTH PLAN'!#REF!</definedName>
    <definedName name="Rate_sensitivity">#REF!</definedName>
    <definedName name="_xlnm.Recorder" localSheetId="0">'MAIN BERTH PLAN'!#REF!</definedName>
    <definedName name="_xlnm.Recorder">#REF!</definedName>
    <definedName name="reg">[41]region!$A$1:$B$65536</definedName>
    <definedName name="REPAY" localSheetId="0">'MAIN BERTH PLAN'!#REF!</definedName>
    <definedName name="REPAY">#REF!</definedName>
    <definedName name="RepayNew1" localSheetId="0">'MAIN BERTH PLAN'!#REF!</definedName>
    <definedName name="RepayNew1">#REF!</definedName>
    <definedName name="RepayNew2" localSheetId="0">'MAIN BERTH PLAN'!#REF!</definedName>
    <definedName name="RepayNew2">#REF!</definedName>
    <definedName name="RETAIL">[8]비용항목!$C$5</definedName>
    <definedName name="RETAIL원가">[8]비용항목!$C$20</definedName>
    <definedName name="Revenue">[12]OpSum!$A$23:$IV$23</definedName>
    <definedName name="revenue_inflation" localSheetId="0">'MAIN BERTH PLAN'!#REF!</definedName>
    <definedName name="revenue_inflation">#REF!</definedName>
    <definedName name="rggrgrgrgr" localSheetId="0" hidden="1">{"mult96",#N/A,FALSE,"PETCOMP";"est96",#N/A,FALSE,"PETCOMP";"mult95",#N/A,FALSE,"PETCOMP";"est95",#N/A,FALSE,"PETCOMP";"multltm",#N/A,FALSE,"PETCOMP";"resultltm",#N/A,FALSE,"PETCOMP"}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 localSheetId="0">'MAIN BERTH PLAN'!#REF!</definedName>
    <definedName name="Rig">#REF!</definedName>
    <definedName name="rms" localSheetId="0" hidden="1">{"adj95mult",#N/A,FALSE,"COMPCO";"adj95est",#N/A,FALSE,"COMPCO"}</definedName>
    <definedName name="rms" hidden="1">{"adj95mult",#N/A,FALSE,"COMPCO";"adj95est",#N/A,FALSE,"COMPCO"}</definedName>
    <definedName name="Rollup">'[7]PivotTable $'!$C$7:$C$800</definedName>
    <definedName name="rr" localSheetId="0">'MAIN BERTH PLAN'!#REF!</definedName>
    <definedName name="rr">#REF!</definedName>
    <definedName name="rrr" localSheetId="0" hidden="1">{"DCF","UPSIDE CASE",FALSE,"Sheet1";"DCF","BASE CASE",FALSE,"Sheet1";"DCF","DOWNSIDE CASE",FALSE,"Sheet1"}</definedName>
    <definedName name="rrr" hidden="1">{"DCF","UPSIDE CASE",FALSE,"Sheet1";"DCF","BASE CASE",FALSE,"Sheet1";"DCF","DOWNSIDE CASE",FALSE,"Sheet1"}</definedName>
    <definedName name="RTG_Max_stack_height" localSheetId="0">'MAIN BERTH PLAN'!#REF!</definedName>
    <definedName name="RTG_Max_stack_height">#REF!</definedName>
    <definedName name="Rtm" localSheetId="0">'MAIN BERTH PLAN'!#REF!</definedName>
    <definedName name="Rtm">#REF!</definedName>
    <definedName name="RTN" localSheetId="2">[36]!RTN</definedName>
    <definedName name="RTN" localSheetId="0">[36]!RTN</definedName>
    <definedName name="RTN" localSheetId="3">[36]!RTN</definedName>
    <definedName name="RTN">[36]!RTN</definedName>
    <definedName name="RTW" localSheetId="0">'MAIN BERTH PLAN'!#REF!</definedName>
    <definedName name="RTW">#REF!</definedName>
    <definedName name="rty" localSheetId="0" hidden="1">{"DCF","UPSIDE CASE",FALSE,"Sheet1";"DCF","BASE CASE",FALSE,"Sheet1";"DCF","DOWNSIDE CASE",FALSE,"Sheet1"}</definedName>
    <definedName name="rty" hidden="1">{"DCF","UPSIDE CASE",FALSE,"Sheet1";"DCF","BASE CASE",FALSE,"Sheet1";"DCF","DOWNSIDE CASE",FALSE,"Sheet1"}</definedName>
    <definedName name="s">#N/A</definedName>
    <definedName name="sa" localSheetId="0" hidden="1">{"mult96",#N/A,FALSE,"PETCOMP";"est96",#N/A,FALSE,"PETCOMP";"mult95",#N/A,FALSE,"PETCOMP";"est95",#N/A,FALSE,"PETCOMP";"multltm",#N/A,FALSE,"PETCOMP";"resultltm",#N/A,FALSE,"PETCOMP"}</definedName>
    <definedName name="sa" hidden="1">{"mult96",#N/A,FALSE,"PETCOMP";"est96",#N/A,FALSE,"PETCOMP";"mult95",#N/A,FALSE,"PETCOMP";"est95",#N/A,FALSE,"PETCOMP";"multltm",#N/A,FALSE,"PETCOMP";"resultltm",#N/A,FALSE,"PETCOMP"}</definedName>
    <definedName name="saji" localSheetId="0" hidden="1">{"adj95mult",#N/A,FALSE,"COMPCO";"adj95est",#N/A,FALSE,"COMPCO"}</definedName>
    <definedName name="saji" hidden="1">{"adj95mult",#N/A,FALSE,"COMPCO";"adj95est",#N/A,FALSE,"COMPCO"}</definedName>
    <definedName name="SalaryLevels">'[33]SPS Salary Levels'!$E$5:$Q$194</definedName>
    <definedName name="sample" localSheetId="0">'MAIN BERTH PLAN'!#REF!</definedName>
    <definedName name="sample">#REF!</definedName>
    <definedName name="SAX" localSheetId="0">'MAIN BERTH PLAN'!#REF!</definedName>
    <definedName name="SAX">#REF!</definedName>
    <definedName name="Schedule_Nr">[11]Makro1!$B$17</definedName>
    <definedName name="SCost">[21]DATA!$Q$6:$Q$104</definedName>
    <definedName name="SCX" localSheetId="0">'MAIN BERTH PLAN'!#REF!</definedName>
    <definedName name="SCX">#REF!</definedName>
    <definedName name="SCX_CKY" localSheetId="0">'MAIN BERTH PLAN'!#REF!</definedName>
    <definedName name="SCX_CKY">#REF!</definedName>
    <definedName name="SCXEB_1">'[10]SCX(E)'!$A$8:$IV$8</definedName>
    <definedName name="SCXEB_10">'[10]SCX(E)'!$A$56:$IV$56</definedName>
    <definedName name="SCXEB_11">'[10]SCX(E)'!$A$62:$IV$62</definedName>
    <definedName name="SCXEB_12">'[10]SCX(E)'!$A$67:$IV$67</definedName>
    <definedName name="SCXEB_2">'[10]SCX(E)'!$A$13:$IV$13</definedName>
    <definedName name="SCXEB_3">'[10]SCX(E)'!$A$19:$IV$19</definedName>
    <definedName name="SCXEB_4">'[10]SCX(E)'!$A$24:$IV$24</definedName>
    <definedName name="SCXEB_5">'[10]SCX(E)'!$A$29:$IV$29</definedName>
    <definedName name="SCXEB_6">'[10]SCX(E)'!$A$35:$IV$35</definedName>
    <definedName name="SCXEB_7">'[10]SCX(E)'!$A$40:$IV$40</definedName>
    <definedName name="SCXEB_8">'[10]SCX(E)'!$A$46:$IV$46</definedName>
    <definedName name="SCXEB_9">'[10]SCX(E)'!$A$51:$IV$51</definedName>
    <definedName name="SCXWB_1">'[10]SCX(W)'!$A$8:$IV$8</definedName>
    <definedName name="SCXWB_10">'[10]SCX(W)'!$A$56:$IV$56</definedName>
    <definedName name="SCXWB_11">'[10]SCX(W)'!$A$62:$IV$62</definedName>
    <definedName name="SCXWB_12">'[10]SCX(W)'!$A$67:$IV$67</definedName>
    <definedName name="SCXWB_2">'[10]SCX(W)'!$A$13:$IV$13</definedName>
    <definedName name="SCXWB_3">'[10]SCX(W)'!$A$19:$IV$19</definedName>
    <definedName name="SCXWB_4">'[10]SCX(W)'!$A$24:$IV$24</definedName>
    <definedName name="SCXWB_5">'[10]SCX(W)'!$A$29:$IV$29</definedName>
    <definedName name="SCXWB_6">'[10]SCX(W)'!$A$35:$IV$35</definedName>
    <definedName name="SCXWB_7">'[10]SCX(W)'!$A$40:$IV$40</definedName>
    <definedName name="SCXWB_8">'[10]SCX(W)'!$A$46:$IV$46</definedName>
    <definedName name="SCXWB_9">'[10]SCX(W)'!$A$51:$IV$51</definedName>
    <definedName name="sd" localSheetId="0">'MAIN BERTH PLAN'!#REF!</definedName>
    <definedName name="sd">#REF!</definedName>
    <definedName name="Sep" localSheetId="0">'MAIN BERTH PLAN'!#REF!</definedName>
    <definedName name="Sep">#REF!</definedName>
    <definedName name="SEQUENCE" localSheetId="0">'MAIN BERTH PLAN'!#REF!</definedName>
    <definedName name="SEQUENCE">#REF!</definedName>
    <definedName name="Series1Data1">[23]B_CHART!$CI$28:$DJ$28</definedName>
    <definedName name="Series1Data6">[24]B_CHART!$CI$212:$DJ$212</definedName>
    <definedName name="Series1SeriesName1">[23]B_CHART!$B$29</definedName>
    <definedName name="Series1SeriesName6">[24]B_CHART!$B$213</definedName>
    <definedName name="Series2Data1">[23]B_CHART!$CI$45:$DJ$45</definedName>
    <definedName name="Series2Data6">[24]B_CHART!$CI$229:$DJ$229</definedName>
    <definedName name="Series2SeriesName1">[23]B_CHART!$B$46</definedName>
    <definedName name="Series2SeriesName6">[24]B_CHART!$B$230</definedName>
    <definedName name="Series3Data1">[23]B_CHART!$CI$62:$DJ$62</definedName>
    <definedName name="Series3Data6">[24]B_CHART!$CI$246:$DJ$246</definedName>
    <definedName name="Series3SeriesName1">[23]B_CHART!$B$63</definedName>
    <definedName name="Series3SeriesName6">[24]B_CHART!$B$247</definedName>
    <definedName name="Sfs" localSheetId="0">'MAIN BERTH PLAN'!#REF!</definedName>
    <definedName name="Sfs">#REF!</definedName>
    <definedName name="SfTable" localSheetId="0">'MAIN BERTH PLAN'!#REF!</definedName>
    <definedName name="SfTable">#REF!</definedName>
    <definedName name="sheet3" localSheetId="0" hidden="1">{"DCF","UPSIDE CASE",FALSE,"Sheet1";"DCF","BASE CASE",FALSE,"Sheet1";"DCF","DOWNSIDE CASE",FALSE,"Sheet1"}</definedName>
    <definedName name="sheet3" hidden="1">{"DCF","UPSIDE CASE",FALSE,"Sheet1";"DCF","BASE CASE",FALSE,"Sheet1";"DCF","DOWNSIDE CASE",FALSE,"Sheet1"}</definedName>
    <definedName name="sheet4" localSheetId="0" hidden="1">{"DCF","UPSIDE CASE",FALSE,"Sheet1";"DCF","BASE CASE",FALSE,"Sheet1";"DCF","DOWNSIDE CASE",FALSE,"Sheet1"}</definedName>
    <definedName name="sheet4" hidden="1">{"DCF","UPSIDE CASE",FALSE,"Sheet1";"DCF","BASE CASE",FALSE,"Sheet1";"DCF","DOWNSIDE CASE",FALSE,"Sheet1"}</definedName>
    <definedName name="ship" localSheetId="0">'MAIN BERTH PLAN'!#REF!</definedName>
    <definedName name="ship">#REF!</definedName>
    <definedName name="SHIPDATA">[28]Shipdata!$A$6:$AD$156</definedName>
    <definedName name="SHIPDATA2005">'[42]Shipdata 2005'!$A$6:$AF$195</definedName>
    <definedName name="ShTaxDiff">'[25]Cash Cascade'!$D$190</definedName>
    <definedName name="SI20011분기환율" localSheetId="0">'MAIN BERTH PLAN'!#REF!</definedName>
    <definedName name="SI20011분기환율">#REF!</definedName>
    <definedName name="SILK" localSheetId="0">'MAIN BERTH PLAN'!#REF!</definedName>
    <definedName name="SILK">#REF!</definedName>
    <definedName name="SIM" localSheetId="2">[43]!SIM</definedName>
    <definedName name="SIM" localSheetId="0">[43]!SIM</definedName>
    <definedName name="SIM" localSheetId="3">[43]!SIM</definedName>
    <definedName name="SIM">[43]!SIM</definedName>
    <definedName name="SIMUL" localSheetId="0">'MAIN BERTH PLAN'!#REF!</definedName>
    <definedName name="SIMUL">#REF!</definedName>
    <definedName name="SJDK" localSheetId="0" hidden="1">{"EVA",#N/A,FALSE,"EVA";"WACC",#N/A,FALSE,"WACC"}</definedName>
    <definedName name="SJDK" hidden="1">{"EVA",#N/A,FALSE,"EVA";"WACC",#N/A,FALSE,"WACC"}</definedName>
    <definedName name="SLOT">'[21]04 Profile'!$Q$3:$Q$19</definedName>
    <definedName name="spread" localSheetId="0">'MAIN BERTH PLAN'!#REF!</definedName>
    <definedName name="spread">#REF!</definedName>
    <definedName name="SPRTW" localSheetId="0">'MAIN BERTH PLAN'!#REF!</definedName>
    <definedName name="SPRTW">#REF!</definedName>
    <definedName name="SPSSB_1">'[10]SPS(S)'!$A$8:$IV$8</definedName>
    <definedName name="SPSSB_10">'[10]SPS(S)'!$A$56:$IV$56</definedName>
    <definedName name="SPSSB_11">'[10]SPS(S)'!$A$62:$IV$62</definedName>
    <definedName name="SPSSB_12">'[10]SPS(S)'!$A$67:$IV$67</definedName>
    <definedName name="SPSSB_2">'[10]SPS(S)'!$A$13:$IV$13</definedName>
    <definedName name="SPSSB_3">'[10]SPS(S)'!$A$19:$IV$19</definedName>
    <definedName name="SPSSB_4">'[10]SPS(S)'!$A$24:$IV$24</definedName>
    <definedName name="SPSSB_5">'[10]SPS(S)'!$A$29:$IV$29</definedName>
    <definedName name="SPSSB_6">'[10]SPS(S)'!$A$35:$IV$35</definedName>
    <definedName name="SPSSB_7">'[10]SPS(S)'!$A$40:$IV$40</definedName>
    <definedName name="SPSSB_8">'[10]SPS(S)'!$A$46:$IV$46</definedName>
    <definedName name="SPSSB_9">'[10]SPS(S)'!$A$51:$IV$51</definedName>
    <definedName name="ss">[44]AHsbnb_2!$A$5</definedName>
    <definedName name="SSFixedAssets">[19]Capex!#REF!</definedName>
    <definedName name="SSOPUI">[19]Assumptions!#REF!</definedName>
    <definedName name="sss" localSheetId="0" hidden="1">{"adj95mult",#N/A,FALSE,"COMPCO";"adj95est",#N/A,FALSE,"COMPCO"}</definedName>
    <definedName name="sss" hidden="1">{"adj95mult",#N/A,FALSE,"COMPCO";"adj95est",#N/A,FALSE,"COMPCO"}</definedName>
    <definedName name="Staticmachinerybaseprice">[19]Capex!#REF!</definedName>
    <definedName name="StratTime" localSheetId="0">'MAIN BERTH PLAN'!#REF!</definedName>
    <definedName name="StratTime">#REF!</definedName>
    <definedName name="suez" localSheetId="0">'MAIN BERTH PLAN'!#REF!</definedName>
    <definedName name="suez">#REF!</definedName>
    <definedName name="SUNDA" localSheetId="0">'MAIN BERTH PLAN'!#REF!</definedName>
    <definedName name="SUNDA">#REF!</definedName>
    <definedName name="SUPPLYDEMAND" localSheetId="0">'MAIN BERTH PLAN'!#REF!</definedName>
    <definedName name="SUPPLYDEMAND">#REF!</definedName>
    <definedName name="SVC2000FY">[21]DATA!$R$6:$U$104</definedName>
    <definedName name="SVC2001Q1">[21]DATA!$W$6:$Z$104</definedName>
    <definedName name="SVC2001Q2">[21]DATA!$AB$6:$AE$104</definedName>
    <definedName name="SVC2001Q3">[21]DATA!$AG$6:$AJ$104</definedName>
    <definedName name="SVC2001Q4">[21]DATA!$AL$6:$AO$104</definedName>
    <definedName name="SVC2002Q1">[21]DATA!$AQ$6:$AT$104</definedName>
    <definedName name="SVC2002Q2">[21]DATA!$AV$6:$AY$104</definedName>
    <definedName name="SVC2002Q3">[21]DATA!$BA$6:$BD$104</definedName>
    <definedName name="SVC2002Q4">[21]DATA!$BF$6:$BI$104</definedName>
    <definedName name="SVC2003Q1">[21]DATA!$BK$6:$BN$104</definedName>
    <definedName name="SVC2003Q2">[21]DATA!$BP$6:$BS$104</definedName>
    <definedName name="SVC2003Q3">[21]DATA!$BU$6:$BX$104</definedName>
    <definedName name="SVC2003Q4">[21]DATA!$BZ$6:$CC$104</definedName>
    <definedName name="SVC2004Q1">[21]DATA!$CE$6:$CH$104</definedName>
    <definedName name="SVC2004Q2">[21]DATA!$CJ$6:$CM$104</definedName>
    <definedName name="SVC2004Q3">[21]DATA!$CO$6:$CR$104</definedName>
    <definedName name="SVC2004Q4">[21]DATA!$CT$6:$CW$104</definedName>
    <definedName name="TAB" localSheetId="0">'MAIN BERTH PLAN'!#REF!</definedName>
    <definedName name="TAB">#REF!</definedName>
    <definedName name="TAB_AL" localSheetId="0">'MAIN BERTH PLAN'!#REF!</definedName>
    <definedName name="TAB_AL">#REF!</definedName>
    <definedName name="TAB_BSA" localSheetId="0">'MAIN BERTH PLAN'!#REF!</definedName>
    <definedName name="TAB_BSA">#REF!</definedName>
    <definedName name="TAB_BSA1" localSheetId="0">'MAIN BERTH PLAN'!#REF!</definedName>
    <definedName name="TAB_BSA1">#REF!</definedName>
    <definedName name="Tab_CBD" localSheetId="0">'MAIN BERTH PLAN'!#REF!</definedName>
    <definedName name="Tab_CBD">#REF!</definedName>
    <definedName name="TAB_HS" localSheetId="0">'MAIN BERTH PLAN'!#REF!</definedName>
    <definedName name="TAB_HS">#REF!</definedName>
    <definedName name="TAB_IL">[45]BSA!$A$4:$N$10</definedName>
    <definedName name="TAB_LDATE" localSheetId="0">'MAIN BERTH PLAN'!#REF!</definedName>
    <definedName name="TAB_LDATE">#REF!</definedName>
    <definedName name="Table1" localSheetId="0">'MAIN BERTH PLAN'!#REF!</definedName>
    <definedName name="Table1">#REF!</definedName>
    <definedName name="TankerPMTyr" localSheetId="0">'MAIN BERTH PLAN'!#REF!</definedName>
    <definedName name="TankerPMTyr">#REF!</definedName>
    <definedName name="TAS" localSheetId="0">'MAIN BERTH PLAN'!#REF!</definedName>
    <definedName name="TAS">#REF!</definedName>
    <definedName name="tax_exemption_expires" localSheetId="0">'MAIN BERTH PLAN'!#REF!</definedName>
    <definedName name="tax_exemption_expires">#REF!</definedName>
    <definedName name="tax_exemption_limit" localSheetId="0">'MAIN BERTH PLAN'!#REF!</definedName>
    <definedName name="tax_exemption_limit">#REF!</definedName>
    <definedName name="tax_rate" localSheetId="0">'MAIN BERTH PLAN'!#REF!</definedName>
    <definedName name="tax_rate">#REF!</definedName>
    <definedName name="TaxTV">10%</definedName>
    <definedName name="TaxXL">5%</definedName>
    <definedName name="TCase" localSheetId="0">'MAIN BERTH PLAN'!#REF!</definedName>
    <definedName name="TCase">#REF!</definedName>
    <definedName name="Temp" localSheetId="0" hidden="1">{"adj95mult",#N/A,FALSE,"COMPCO";"adj95est",#N/A,FALSE,"COMPCO"}</definedName>
    <definedName name="Temp" hidden="1">{"adj95mult",#N/A,FALSE,"COMPCO";"adj95est",#N/A,FALSE,"COMPCO"}</definedName>
    <definedName name="tier" localSheetId="0">'MAIN BERTH PLAN'!#REF!</definedName>
    <definedName name="tier">#REF!</definedName>
    <definedName name="TIGER" localSheetId="0">'MAIN BERTH PLAN'!#REF!</definedName>
    <definedName name="TIGER">#REF!</definedName>
    <definedName name="Til" localSheetId="0">'MAIN BERTH PLAN'!#REF!</definedName>
    <definedName name="Til">#REF!</definedName>
    <definedName name="Time_Lost" localSheetId="0">'MAIN BERTH PLAN'!#REF!</definedName>
    <definedName name="Time_Lost">#REF!</definedName>
    <definedName name="TimeYrDays" localSheetId="0">'MAIN BERTH PLAN'!#REF!</definedName>
    <definedName name="TimeYrDays">#REF!</definedName>
    <definedName name="TimeYrEnd" localSheetId="0">'MAIN BERTH PLAN'!#REF!</definedName>
    <definedName name="TimeYrEnd">#REF!</definedName>
    <definedName name="Title1">[23]B_CHART!$B$10</definedName>
    <definedName name="Title6">[24]B_CHART!$B$194</definedName>
    <definedName name="TKRW" localSheetId="0">'MAIN BERTH PLAN'!#REF!</definedName>
    <definedName name="TKRW">#REF!</definedName>
    <definedName name="torj" localSheetId="0">'MAIN BERTH PLAN'!#REF!</definedName>
    <definedName name="torj">#REF!</definedName>
    <definedName name="TOTAL" localSheetId="0">'[46]Master Data'!#REF!</definedName>
    <definedName name="TOTAL">'[46]Master Data'!#REF!</definedName>
    <definedName name="TOWING_FEE">[8]비용항목!$G$74</definedName>
    <definedName name="TP" localSheetId="0">'MAIN BERTH PLAN'!#REF!</definedName>
    <definedName name="TP">#REF!</definedName>
    <definedName name="TP2000_1">'[9]Scenario 1 - with HMM'!$B$47:$D$75</definedName>
    <definedName name="tp2000_3a" localSheetId="0">'MAIN BERTH PLAN'!#REF!</definedName>
    <definedName name="tp2000_3a">#REF!</definedName>
    <definedName name="tp2001_1">'[9]Scenario 1 - with HMM'!$H$47:$J$75</definedName>
    <definedName name="tp2001_3a" localSheetId="0">'MAIN BERTH PLAN'!#REF!</definedName>
    <definedName name="tp2001_3a">#REF!</definedName>
    <definedName name="tp2001q1_3a" localSheetId="0">'MAIN BERTH PLAN'!#REF!</definedName>
    <definedName name="tp2001q1_3a">#REF!</definedName>
    <definedName name="tp2001q2_3a" localSheetId="0">'MAIN BERTH PLAN'!#REF!</definedName>
    <definedName name="tp2001q2_3a">#REF!</definedName>
    <definedName name="Training" localSheetId="2">[36]!OPO</definedName>
    <definedName name="Training" localSheetId="0">[36]!OPO</definedName>
    <definedName name="Training" localSheetId="3">[36]!OPO</definedName>
    <definedName name="Training">[36]!OPO</definedName>
    <definedName name="Trans_sched">[11]Makro1!$B$21</definedName>
    <definedName name="Transhipment_factor" localSheetId="0">'MAIN BERTH PLAN'!#REF!</definedName>
    <definedName name="Transhipment_factor">#REF!</definedName>
    <definedName name="TTL" localSheetId="0">'MAIN BERTH PLAN'!#REF!</definedName>
    <definedName name="TTL">#REF!</definedName>
    <definedName name="TTWD" localSheetId="0">'MAIN BERTH PLAN'!#REF!</definedName>
    <definedName name="TTWD">#REF!</definedName>
    <definedName name="TUG">[8]비용항목!$G$75</definedName>
    <definedName name="TWD" localSheetId="0">'MAIN BERTH PLAN'!#REF!</definedName>
    <definedName name="TWD">#REF!</definedName>
    <definedName name="ty" localSheetId="0" hidden="1">{"adj95mult",#N/A,FALSE,"COMPCO";"adj95est",#N/A,FALSE,"COMPCO"}</definedName>
    <definedName name="ty" hidden="1">{"adj95mult",#N/A,FALSE,"COMPCO";"adj95est",#N/A,FALSE,"COMPCO"}</definedName>
    <definedName name="TZ" localSheetId="0">'MAIN BERTH PLAN'!#REF!</definedName>
    <definedName name="TZ">#REF!</definedName>
    <definedName name="Units" localSheetId="0">'MAIN BERTH PLAN'!#REF!</definedName>
    <definedName name="Units">#REF!</definedName>
    <definedName name="US_Inflation" localSheetId="0">'MAIN BERTH PLAN'!#REF!</definedName>
    <definedName name="US_Inflation">#REF!</definedName>
    <definedName name="USDRate">'[33]Personnel Costs'!$H$4</definedName>
    <definedName name="Val_Percent">[12]ControlPanel!$J$33</definedName>
    <definedName name="VCM_PMTyr" localSheetId="0">'MAIN BERTH PLAN'!#REF!</definedName>
    <definedName name="VCM_PMTyr">#REF!</definedName>
    <definedName name="vessel2">'[47]Vessel Information'!$B$3:$AY$32</definedName>
    <definedName name="Vessels" localSheetId="0">'MAIN BERTH PLAN'!#REF!</definedName>
    <definedName name="Vessels">#REF!</definedName>
    <definedName name="Volume_sensitivity" localSheetId="0">'MAIN BERTH PLAN'!#REF!</definedName>
    <definedName name="Volume_sensitivity">#REF!</definedName>
    <definedName name="voy" localSheetId="0">'MAIN BERTH PLAN'!#REF!</definedName>
    <definedName name="voy">#REF!</definedName>
    <definedName name="Voyage" localSheetId="0">'MAIN BERTH PLAN'!#REF!</definedName>
    <definedName name="Voyage">#REF!</definedName>
    <definedName name="voyage_cost" localSheetId="0">'MAIN BERTH PLAN'!#REF!</definedName>
    <definedName name="voyage_cost">#REF!</definedName>
    <definedName name="Voyagenew" localSheetId="0">'MAIN BERTH PLAN'!#REF!</definedName>
    <definedName name="Voyagenew">#REF!</definedName>
    <definedName name="Voyagenumber" localSheetId="0">'MAIN BERTH PLAN'!#REF!</definedName>
    <definedName name="Voyagenumber">#REF!</definedName>
    <definedName name="VSL_SPEC" localSheetId="0">'MAIN BERTH PLAN'!#REF!</definedName>
    <definedName name="VSL_SPEC">#REF!</definedName>
    <definedName name="VSlookup" localSheetId="0">'MAIN BERTH PLAN'!#REF!</definedName>
    <definedName name="VSlookup">#REF!</definedName>
    <definedName name="VSP" localSheetId="0">'MAIN BERTH PLAN'!#REF!</definedName>
    <definedName name="VSP">#REF!</definedName>
    <definedName name="W" localSheetId="0">'MAIN BERTH PLAN'!#REF!</definedName>
    <definedName name="W">#REF!</definedName>
    <definedName name="WAE" localSheetId="0">'MAIN BERTH PLAN'!#REF!</definedName>
    <definedName name="WAE">#REF!</definedName>
    <definedName name="WAX" localSheetId="0">'MAIN BERTH PLAN'!#REF!</definedName>
    <definedName name="WAX">#REF!</definedName>
    <definedName name="WEEK" localSheetId="0">'MAIN BERTH PLAN'!#REF!</definedName>
    <definedName name="WEEK">#REF!</definedName>
    <definedName name="WESTABOUT" localSheetId="0">'MAIN BERTH PLAN'!#REF!</definedName>
    <definedName name="WESTABOUT">#REF!</definedName>
    <definedName name="wk" localSheetId="0">'MAIN BERTH PLAN'!#REF!</definedName>
    <definedName name="wk">#REF!</definedName>
    <definedName name="WOCHE" localSheetId="0">'MAIN BERTH PLAN'!#REF!</definedName>
    <definedName name="WOCHE">#REF!</definedName>
    <definedName name="wrn.98년도._.1월분._.옥천._.화주별._.물동량._.현황." localSheetId="0" hidden="1">{#N/A,#N/A,FALSE,"SHEET10";#N/A,#N/A,FALSE,"SHEET10"}</definedName>
    <definedName name="wrn.98년도._.1월분._.옥천._.화주별._.물동량._.현황." hidden="1">{#N/A,#N/A,FALSE,"SHEET10";#N/A,#N/A,FALSE,"SHEET10"}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Mngmt._.Report." localSheetId="0" hidden="1">{#N/A,#N/A,TRUE,"Chart 1";#N/A,#N/A,TRUE,"Chart 2"}</definedName>
    <definedName name="wrn.Mngmt._.Report." hidden="1">{#N/A,#N/A,TRUE,"Chart 1";#N/A,#N/A,TRUE,"Chart 2"}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Report1." localSheetId="0" hidden="1">{"Print1",#N/A,TRUE,"P&amp;L";"Print2",#N/A,TRUE,"CashFL"}</definedName>
    <definedName name="wrn.Report1." hidden="1">{"Print1",#N/A,TRUE,"P&amp;L";"Print2",#N/A,TRUE,"CashFL"}</definedName>
    <definedName name="wrn.예산99.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UT" localSheetId="0">'MAIN BERTH PLAN'!#REF!</definedName>
    <definedName name="WUT">#REF!</definedName>
    <definedName name="X" localSheetId="0">'MAIN BERTH PLAN'!#REF!</definedName>
    <definedName name="X">#REF!</definedName>
    <definedName name="y" localSheetId="0">'MAIN BERTH PLAN'!#REF!</definedName>
    <definedName name="y">#REF!</definedName>
    <definedName name="Y2WK" localSheetId="0">'MAIN BERTH PLAN'!#REF!</definedName>
    <definedName name="Y2WK">#REF!</definedName>
    <definedName name="Yard_correction_factor" localSheetId="0">'MAIN BERTH PLAN'!#REF!</definedName>
    <definedName name="Yard_correction_factor">#REF!</definedName>
    <definedName name="yesR" localSheetId="0">'MAIN BERTH PLAN'!#REF!</definedName>
    <definedName name="yesR">#REF!</definedName>
    <definedName name="YTitle1">[23]B_CHART!$B$12</definedName>
    <definedName name="YTitle6">[24]B_CHART!$B$196</definedName>
    <definedName name="ytrfjt" localSheetId="0">'MAIN BERTH PLAN'!#REF!</definedName>
    <definedName name="ytrfjt">#REF!</definedName>
    <definedName name="yyyy" localSheetId="0" hidden="1">{"adj95mult",#N/A,FALSE,"COMPCO";"adj95est",#N/A,FALSE,"COMPCO"}</definedName>
    <definedName name="yyyy" hidden="1">{"adj95mult",#N/A,FALSE,"COMPCO";"adj95est",#N/A,FALSE,"COMPCO"}</definedName>
    <definedName name="Z_694AF002_9E1C_11D6_8F58_0002A562FF79_.wvu.PrintArea" localSheetId="0" hidden="1">'MAIN BERTH PLAN'!#REF!</definedName>
    <definedName name="Z_694AF002_9E1C_11D6_8F58_0002A562FF79_.wvu.PrintArea" hidden="1">#REF!</definedName>
    <definedName name="Z_968A3A64_6E62_11D6_9F43_00D0B7C86A47_.wvu.PrintArea" localSheetId="0" hidden="1">'MAIN BERTH PLAN'!#REF!</definedName>
    <definedName name="Z_968A3A64_6E62_11D6_9F43_00D0B7C86A47_.wvu.PrintArea" hidden="1">#REF!</definedName>
    <definedName name="Z_968A3A64_6E62_11D6_9F43_00D0B7C86A47_.wvu.PrintTitles" localSheetId="0" hidden="1">'MAIN BERTH PLAN'!#REF!</definedName>
    <definedName name="Z_968A3A64_6E62_11D6_9F43_00D0B7C86A47_.wvu.PrintTitles" hidden="1">#REF!</definedName>
    <definedName name="Z_968A3A64_6E62_11D6_9F43_00D0B7C86A47_.wvu.Rows" localSheetId="0" hidden="1">'MAIN BERTH PLAN'!#REF!</definedName>
    <definedName name="Z_968A3A64_6E62_11D6_9F43_00D0B7C86A47_.wvu.Rows" hidden="1">#REF!</definedName>
    <definedName name="Z_C9AF8CC6_2EE6_11D7_B9B8_00508BFFDA22_.wvu.PrintArea" localSheetId="0" hidden="1">'MAIN BERTH PLAN'!#REF!</definedName>
    <definedName name="Z_C9AF8CC6_2EE6_11D7_B9B8_00508BFFDA22_.wvu.PrintArea" hidden="1">#REF!</definedName>
    <definedName name="ㄱㄱㄱ" localSheetId="0" hidden="1">{"DCF","UPSIDE CASE",FALSE,"Sheet1";"DCF","BASE CASE",FALSE,"Sheet1";"DCF","DOWNSIDE CASE",FALSE,"Sheet1"}</definedName>
    <definedName name="ㄱㄱㄱ" hidden="1">{"DCF","UPSIDE CASE",FALSE,"Sheet1";"DCF","BASE CASE",FALSE,"Sheet1";"DCF","DOWNSIDE CASE",FALSE,"Sheet1"}</definedName>
    <definedName name="ㄱㄷㅁ" localSheetId="0" hidden="1">{"EVA",#N/A,FALSE,"EVA";"WACC",#N/A,FALSE,"WACC"}</definedName>
    <definedName name="ㄱㄷㅁ" hidden="1">{"EVA",#N/A,FALSE,"EVA";"WACC",#N/A,FALSE,"WACC"}</definedName>
    <definedName name="가로" localSheetId="0" hidden="1">{"adj95mult",#N/A,FALSE,"COMPCO";"adj95est",#N/A,FALSE,"COMPCO"}</definedName>
    <definedName name="가로" hidden="1">{"adj95mult",#N/A,FALSE,"COMPCO";"adj95est",#N/A,FALSE,"COMPCO"}</definedName>
    <definedName name="개수">[48]출금실적!#REF!</definedName>
    <definedName name="객실정원" localSheetId="0">'MAIN BERTH PLAN'!#REF!</definedName>
    <definedName name="객실정원">#REF!</definedName>
    <definedName name="겉표지" localSheetId="0" hidden="1">{"adj95mult",#N/A,FALSE,"COMPCO";"adj95est",#N/A,FALSE,"COMPCO"}</definedName>
    <definedName name="겉표지" hidden="1">{"adj95mult",#N/A,FALSE,"COMPCO";"adj95est",#N/A,FALSE,"COMPCO"}</definedName>
    <definedName name="결재" localSheetId="0" hidden="1">{"adj95mult",#N/A,FALSE,"COMPCO";"adj95est",#N/A,FALSE,"COMPCO"}</definedName>
    <definedName name="결재" hidden="1">{"adj95mult",#N/A,FALSE,"COMPCO";"adj95est",#N/A,FALSE,"COMPCO"}</definedName>
    <definedName name="고정비">[8]비용항목!$G$82</definedName>
    <definedName name="공사분기상승율">[49]년간데이타!$C$3:$V$3</definedName>
    <definedName name="관광안내비">[8]비용항목!$G$56</definedName>
    <definedName name="관광조장월평균임금">[8]비용항목!$C$62</definedName>
    <definedName name="광고선전비">[8]비용항목!$C$23</definedName>
    <definedName name="광고수입">[8]비용항목!$C$7</definedName>
    <definedName name="구" localSheetId="0">'[50]지방,해외배부'!#REF!</definedName>
    <definedName name="구">'[50]지방,해외배부'!#REF!</definedName>
    <definedName name="구주" localSheetId="0">'MAIN BERTH PLAN'!#REF!</definedName>
    <definedName name="구주">#REF!</definedName>
    <definedName name="구주당사선가" localSheetId="0">'MAIN BERTH PLAN'!#REF!</definedName>
    <definedName name="구주당사선가">#REF!</definedName>
    <definedName name="구주실적">'[51]구주(03실적)'!$A$3:$O$33</definedName>
    <definedName name="구주채산" localSheetId="0" hidden="1">{"adj95mult",#N/A,FALSE,"COMPCO";"adj95est",#N/A,FALSE,"COMPCO"}</definedName>
    <definedName name="구주채산" hidden="1">{"adj95mult",#N/A,FALSE,"COMPCO";"adj95est",#N/A,FALSE,"COMPCO"}</definedName>
    <definedName name="구주채산당사선가">'[52]9-1차이내역'!#REF!</definedName>
    <definedName name="금강D_E선용품">[8]비용항목!$G$14</definedName>
    <definedName name="금강GO소모량">[8]비용항목!$C$11</definedName>
    <definedName name="금강MGT">[8]비용항목!$C$86</definedName>
    <definedName name="금강UNIFORM">[8]비용항목!$G$20</definedName>
    <definedName name="금강개발선원비">[8]비용항목!$C$45</definedName>
    <definedName name="금강개발선원수">[8]비용항목!$C$50</definedName>
    <definedName name="금강고정비">[8]비용항목!$G$99</definedName>
    <definedName name="금강공연기자재비">[8]비용항목!$G$9</definedName>
    <definedName name="금강관광조장수">[8]비용항목!$C$56</definedName>
    <definedName name="금강동해항비">[8]비용항목!$G$34</definedName>
    <definedName name="금강산개발선원비">[8]비용항목!$C$49</definedName>
    <definedName name="금강산개발선원수">[8]비용항목!$C$54</definedName>
    <definedName name="금강산공연기자재비">[8]비용항목!$G$13</definedName>
    <definedName name="금강산식당이용선원수">[8]비용항목!$C$78</definedName>
    <definedName name="금강산여관_MGT">[8]비용항목!$C$91</definedName>
    <definedName name="금강산여관UNIFORM">[8]비용항목!$G$25</definedName>
    <definedName name="금강산여관관광조장수">[8]비용항목!$C$61</definedName>
    <definedName name="금강산여관선원교체비">[8]비용항목!$C$68</definedName>
    <definedName name="금강산여관소모품비">[8]비용항목!$G$2</definedName>
    <definedName name="금강산여관수리비">[8]비용항목!$G$81</definedName>
    <definedName name="금강산여관승객수">[8]비용항목!$G$97</definedName>
    <definedName name="금강산여관용선료">[8]비용항목!$G$72</definedName>
    <definedName name="금강산여관종업원수">[8]비용항목!$C$31</definedName>
    <definedName name="금강산여관집기비품">[8]비용항목!$G$8</definedName>
    <definedName name="금강산여관항차수">[8]비용항목!$G$89</definedName>
    <definedName name="금강산연예인선원비">[8]비용항목!$C$37</definedName>
    <definedName name="금강산연예인수">[8]비용항목!$C$43</definedName>
    <definedName name="금강산오물수거비">[8]비용항목!$G$55</definedName>
    <definedName name="금강산청수비">[8]비용항목!$G$49</definedName>
    <definedName name="금강선박보험">[8]비용항목!$G$27</definedName>
    <definedName name="금강선원교체비">[8]비용항목!$C$63</definedName>
    <definedName name="금강선주사선원수">[8]비용항목!$C$25</definedName>
    <definedName name="금강선주사월평균임금">[8]비용항목!$C$26</definedName>
    <definedName name="금강수리비">[8]비용항목!$G$76</definedName>
    <definedName name="금강승객수">[8]비용항목!$G$92</definedName>
    <definedName name="금강식당이용선원수">[8]비용항목!$C$74</definedName>
    <definedName name="금강연예인선원비">[8]비용항목!$C$33</definedName>
    <definedName name="금강연예인수">[8]비용항목!$C$39</definedName>
    <definedName name="금강오물수거비">[8]비용항목!$G$50</definedName>
    <definedName name="금강용선료">[8]비용항목!$G$67</definedName>
    <definedName name="금강장전항비">[8]비용항목!$G$38</definedName>
    <definedName name="금강청수비">[8]비용항목!$G$44</definedName>
    <definedName name="금강항차수">[8]비용항목!$G$83</definedName>
    <definedName name="금강호텔소모품비">[8]비용항목!$C$93</definedName>
    <definedName name="금강호텔집기비품">[8]비용항목!$G$3</definedName>
    <definedName name="기" localSheetId="0" hidden="1">{"adj95mult",#N/A,FALSE,"COMPCO";"adj95est",#N/A,FALSE,"COMPCO"}</definedName>
    <definedName name="기" hidden="1">{"adj95mult",#N/A,FALSE,"COMPCO";"adj95est",#N/A,FALSE,"COMPCO"}</definedName>
    <definedName name="기본값">[53]월별보고표!#REF!</definedName>
    <definedName name="기타선상">[8]비용항목!$C$6</definedName>
    <definedName name="기타선상원가">[8]비용항목!$C$21</definedName>
    <definedName name="기타선용품">[8]비용항목!$G$26</definedName>
    <definedName name="기타지원비">[8]비용항목!$C$24</definedName>
    <definedName name="김선녀" localSheetId="0">'MAIN BERTH PLAN'!#REF!</definedName>
    <definedName name="김선녀">#REF!</definedName>
    <definedName name="ㄴㄴ" localSheetId="0" hidden="1">{"adj95mult",#N/A,FALSE,"COMPCO";"adj95est",#N/A,FALSE,"COMPCO"}</definedName>
    <definedName name="ㄴㄴ" hidden="1">{"adj95mult",#N/A,FALSE,"COMPCO";"adj95est",#N/A,FALSE,"COMPCO"}</definedName>
    <definedName name="ㄴㄴㄴ" localSheetId="0" hidden="1">{"DCF","UPSIDE CASE",FALSE,"Sheet1";"DCF","BASE CASE",FALSE,"Sheet1";"DCF","DOWNSIDE CASE",FALSE,"Sheet1"}</definedName>
    <definedName name="ㄴㄴㄴ" hidden="1">{"DCF","UPSIDE CASE",FALSE,"Sheet1";"DCF","BASE CASE",FALSE,"Sheet1";"DCF","DOWNSIDE CASE",FALSE,"Sheet1"}</definedName>
    <definedName name="ㄴㄴㄴㄴ" localSheetId="0" hidden="1">{"DCF","UPSIDE CASE",FALSE,"Sheet1";"DCF","BASE CASE",FALSE,"Sheet1";"DCF","DOWNSIDE CASE",FALSE,"Sheet1"}</definedName>
    <definedName name="ㄴㄴㄴㄴ" hidden="1">{"DCF","UPSIDE CASE",FALSE,"Sheet1";"DCF","BASE CASE",FALSE,"Sheet1";"DCF","DOWNSIDE CASE",FALSE,"Sheet1"}</definedName>
    <definedName name="ㄴㅅㅎㄹㅇ" localSheetId="0">'MAIN BERTH PLAN'!#REF!</definedName>
    <definedName name="ㄴㅅㅎㄹㅇ">#REF!</definedName>
    <definedName name="ㄴㅇ" localSheetId="0" hidden="1">{"adj95mult",#N/A,FALSE,"COMPCO";"adj95est",#N/A,FALSE,"COMPCO"}</definedName>
    <definedName name="ㄴㅇ" hidden="1">{"adj95mult",#N/A,FALSE,"COMPCO";"adj95est",#N/A,FALSE,"COMPCO"}</definedName>
    <definedName name="나으살던" localSheetId="0" hidden="1">{"adj95mult",#N/A,FALSE,"COMPCO";"adj95est",#N/A,FALSE,"COMPCO"}</definedName>
    <definedName name="나으살던" hidden="1">{"adj95mult",#N/A,FALSE,"COMPCO";"adj95est",#N/A,FALSE,"COMPCO"}</definedName>
    <definedName name="ㄷㄷ" localSheetId="0" hidden="1">{"adj95mult",#N/A,FALSE,"COMPCO";"adj95est",#N/A,FALSE,"COMPCO"}</definedName>
    <definedName name="ㄷㄷ" hidden="1">{"adj95mult",#N/A,FALSE,"COMPCO";"adj95est",#N/A,FALSE,"COMPCO"}</definedName>
    <definedName name="ㄷㄷㄷ" localSheetId="0" hidden="1">{"EVA",#N/A,FALSE,"EVA";"WACC",#N/A,FALSE,"WACC"}</definedName>
    <definedName name="ㄷㄷㄷ" hidden="1">{"EVA",#N/A,FALSE,"EVA";"WACC",#N/A,FALSE,"WACC"}</definedName>
    <definedName name="ㄷㅇㄴ" localSheetId="0" hidden="1">{"adj95mult",#N/A,FALSE,"COMPCO";"adj95est",#N/A,FALSE,"COMPCO"}</definedName>
    <definedName name="ㄷㅇㄴ" hidden="1">{"adj95mult",#N/A,FALSE,"COMPCO";"adj95est",#N/A,FALSE,"COMPCO"}</definedName>
    <definedName name="단가">[48]출금실적!#REF!</definedName>
    <definedName name="단기차입이율">[54]민감도분석!$C$14</definedName>
    <definedName name="단체B_A소모량">[8]비용항목!$C$15</definedName>
    <definedName name="단체B_B소모량">[8]비용항목!$C$16</definedName>
    <definedName name="단체급식비">[8]비용항목!$C$73</definedName>
    <definedName name="단체선D_E선용품">[8]비용항목!$G$18</definedName>
    <definedName name="단체선MGT">[8]비용항목!$C$90</definedName>
    <definedName name="단체선UNIFORM">[8]비용항목!$G$24</definedName>
    <definedName name="단체선고정비">[8]비용항목!$G$102</definedName>
    <definedName name="단체선관광조장수">[8]비용항목!$C$60</definedName>
    <definedName name="단체선선박보험">[8]비용항목!$G$31</definedName>
    <definedName name="단체선선원교체비">[8]비용항목!$C$67</definedName>
    <definedName name="단체선소모품비">[8]비용항목!$C$97</definedName>
    <definedName name="단체선속초항비">[8]비용항목!$G$37</definedName>
    <definedName name="단체선수리비">[8]비용항목!$G$80</definedName>
    <definedName name="단체선승객수">[8]비용항목!$G$96</definedName>
    <definedName name="단체선실항차">[8]비용항목!$G$87</definedName>
    <definedName name="단체선연예인선원비">[8]비용항목!$C$38</definedName>
    <definedName name="단체선연예인수">[8]비용항목!$C$44</definedName>
    <definedName name="단체선오물수거비">[8]비용항목!$G$54</definedName>
    <definedName name="단체선용선료">[8]비용항목!$G$71</definedName>
    <definedName name="단체선장전항비">[8]비용항목!$G$41</definedName>
    <definedName name="단체선집기비품">[8]비용항목!$G$7</definedName>
    <definedName name="단체선청수비">[8]비용항목!$G$48</definedName>
    <definedName name="단체선항차수">[8]비용항목!$G$88</definedName>
    <definedName name="당사운영역사" localSheetId="0">'[37]지방,해외배부'!#REF!</definedName>
    <definedName name="당사운영역사">'[37]지방,해외배부'!#REF!</definedName>
    <definedName name="대북수수료">[8]비용항목!$C$85</definedName>
    <definedName name="대서양" localSheetId="0">'MAIN BERTH PLAN'!#REF!</definedName>
    <definedName name="대서양">#REF!</definedName>
    <definedName name="댜러" localSheetId="0" hidden="1">{"DCF","UPSIDE CASE",FALSE,"Sheet1";"DCF","BASE CASE",FALSE,"Sheet1";"DCF","DOWNSIDE CASE",FALSE,"Sheet1"}</definedName>
    <definedName name="댜러" hidden="1">{"DCF","UPSIDE CASE",FALSE,"Sheet1";"DCF","BASE CASE",FALSE,"Sheet1";"DCF","DOWNSIDE CASE",FALSE,"Sheet1"}</definedName>
    <definedName name="도서구입비">[8]비용항목!$G$19</definedName>
    <definedName name="동남PS5척" localSheetId="0" hidden="1">{"adj95mult",#N/A,FALSE,"COMPCO";"adj95est",#N/A,FALSE,"COMPCO"}</definedName>
    <definedName name="동남PS5척" hidden="1">{"adj95mult",#N/A,FALSE,"COMPCO";"adj95est",#N/A,FALSE,"COMPCO"}</definedName>
    <definedName name="동양종금" localSheetId="0">'MAIN BERTH PLAN'!#REF!</definedName>
    <definedName name="동양종금">#REF!</definedName>
    <definedName name="동해터미널건설비">[8]비용항목!$G$59</definedName>
    <definedName name="동해터미널비">[8]비용항목!$G$57</definedName>
    <definedName name="ㄹ" localSheetId="0">'MAIN BERTH PLAN'!#REF!</definedName>
    <definedName name="ㄹ">#REF!</definedName>
    <definedName name="ㄹㅇ" localSheetId="0" hidden="1">{"adj95mult",#N/A,FALSE,"COMPCO";"adj95est",#N/A,FALSE,"COMPCO"}</definedName>
    <definedName name="ㄹㅇ" hidden="1">{"adj95mult",#N/A,FALSE,"COMPCO";"adj95est",#N/A,FALSE,"COMPCO"}</definedName>
    <definedName name="리보">'[37]지방,해외배부'!#REF!</definedName>
    <definedName name="ㅁ" localSheetId="0">'MAIN BERTH PLAN'!#REF!</definedName>
    <definedName name="ㅁ">#REF!</definedName>
    <definedName name="ㅁ1" localSheetId="0">'MAIN BERTH PLAN'!#REF!</definedName>
    <definedName name="ㅁ1">#REF!</definedName>
    <definedName name="ㅁㅁㅁ">[55]전체_월별!$A$1:$H$1112</definedName>
    <definedName name="매출명세" localSheetId="0">'MAIN BERTH PLAN'!#REF!</definedName>
    <definedName name="매출명세">#REF!</definedName>
    <definedName name="물가상승">[54]연간데이터!$D$4:$BF$4</definedName>
    <definedName name="물가수입">[54]연간데이터!$G$6:$BL$6</definedName>
    <definedName name="미구아" localSheetId="0">'MAIN BERTH PLAN'!#REF!</definedName>
    <definedName name="미구아">#REF!</definedName>
    <definedName name="미주" localSheetId="0">'MAIN BERTH PLAN'!#REF!</definedName>
    <definedName name="미주">#REF!</definedName>
    <definedName name="미주수급" localSheetId="0" hidden="1">{"adj95mult",#N/A,FALSE,"COMPCO";"adj95est",#N/A,FALSE,"COMPCO"}</definedName>
    <definedName name="미주수급" hidden="1">{"adj95mult",#N/A,FALSE,"COMPCO";"adj95est",#N/A,FALSE,"COMPCO"}</definedName>
    <definedName name="미주수급3" localSheetId="0" hidden="1">{"adj95mult",#N/A,FALSE,"COMPCO";"adj95est",#N/A,FALSE,"COMPCO"}</definedName>
    <definedName name="미주수급3" hidden="1">{"adj95mult",#N/A,FALSE,"COMPCO";"adj95est",#N/A,FALSE,"COMPCO"}</definedName>
    <definedName name="미주실적">'[51]미주(03실적))'!$A$3:$O$33</definedName>
    <definedName name="미주항로" localSheetId="0" hidden="1">{"adj95mult",#N/A,FALSE,"COMPCO";"adj95est",#N/A,FALSE,"COMPCO"}</definedName>
    <definedName name="미주항로" hidden="1">{"adj95mult",#N/A,FALSE,"COMPCO";"adj95est",#N/A,FALSE,"COMPCO"}</definedName>
    <definedName name="ㅂㅂㅂ" localSheetId="0" hidden="1">{"adj95mult",#N/A,FALSE,"COMPCO";"adj95est",#N/A,FALSE,"COMPCO"}</definedName>
    <definedName name="ㅂㅂㅂ" hidden="1">{"adj95mult",#N/A,FALSE,"COMPCO";"adj95est",#N/A,FALSE,"COMPCO"}</definedName>
    <definedName name="법인수정">[56]종기실공문!#REF!</definedName>
    <definedName name="법인수정2">[56]종기실공문!#REF!</definedName>
    <definedName name="별3" localSheetId="0" hidden="1">{"adj95mult",#N/A,FALSE,"COMPCO";"adj95est",#N/A,FALSE,"COMPCO"}</definedName>
    <definedName name="별3" hidden="1">{"adj95mult",#N/A,FALSE,"COMPCO";"adj95est",#N/A,FALSE,"COMPCO"}</definedName>
    <definedName name="별4" localSheetId="0" hidden="1">{"adj95mult",#N/A,FALSE,"COMPCO";"adj95est",#N/A,FALSE,"COMPCO"}</definedName>
    <definedName name="별4" hidden="1">{"adj95mult",#N/A,FALSE,"COMPCO";"adj95est",#N/A,FALSE,"COMPCO"}</definedName>
    <definedName name="복사" localSheetId="0">'MAIN BERTH PLAN'!#REF!</definedName>
    <definedName name="복사">#REF!</definedName>
    <definedName name="봉래D_E선용품">[8]비용항목!$G$15</definedName>
    <definedName name="봉래GO소모량">[8]비용항목!$C$12</definedName>
    <definedName name="봉래MGT">[8]비용항목!$C$87</definedName>
    <definedName name="봉래UNIFORM">[8]비용항목!$G$21</definedName>
    <definedName name="봉래개발선원비">[8]비용항목!$C$46</definedName>
    <definedName name="봉래개발선원수">[8]비용항목!$C$51</definedName>
    <definedName name="봉래고정비">[8]비용항목!$G$100</definedName>
    <definedName name="봉래공연기자재비">[8]비용항목!$G$10</definedName>
    <definedName name="봉래관광조장수">[8]비용항목!$C$57</definedName>
    <definedName name="봉래동해항비">[8]비용항목!$G$35</definedName>
    <definedName name="봉래선박보험">[8]비용항목!$G$28</definedName>
    <definedName name="봉래선원교체비">[8]비용항목!$C$64</definedName>
    <definedName name="봉래선주사선원수">[8]비용항목!$C$27</definedName>
    <definedName name="봉래수리비">[8]비용항목!$G$77</definedName>
    <definedName name="봉래승객수">[8]비용항목!$G$93</definedName>
    <definedName name="봉래식당이용선원수">[8]비용항목!$C$75</definedName>
    <definedName name="봉래연예인선원비">[8]비용항목!$C$34</definedName>
    <definedName name="봉래연예인수">[8]비용항목!$C$40</definedName>
    <definedName name="봉래오물수거비">[8]비용항목!$G$51</definedName>
    <definedName name="봉래용선료">[8]비용항목!$G$68</definedName>
    <definedName name="봉래장전항비">[8]비용항목!$G$39</definedName>
    <definedName name="봉래청수비">[8]비용항목!$G$45</definedName>
    <definedName name="봉래항차수">[8]비용항목!$G$84</definedName>
    <definedName name="봉래호텔소모품비">[8]비용항목!$C$94</definedName>
    <definedName name="봉래호텔집기비품">[8]비용항목!$G$4</definedName>
    <definedName name="부두사용료">[8]비용항목!$G$42</definedName>
    <definedName name="북구주_월별_Query" localSheetId="0">'MAIN BERTH PLAN'!#REF!</definedName>
    <definedName name="북구주_월별_Query">#REF!</definedName>
    <definedName name="비교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ㅅㅅㅅ" localSheetId="0" hidden="1">{"adj95mult",#N/A,FALSE,"COMPCO";"adj95est",#N/A,FALSE,"COMPCO"}</definedName>
    <definedName name="ㅅㅅㅅ" hidden="1">{"adj95mult",#N/A,FALSE,"COMPCO";"adj95est",#N/A,FALSE,"COMPCO"}</definedName>
    <definedName name="삼분기bs환율" localSheetId="0">'MAIN BERTH PLAN'!#REF!</definedName>
    <definedName name="삼분기bs환율">#REF!</definedName>
    <definedName name="삼분기is환율" localSheetId="0">'MAIN BERTH PLAN'!#REF!</definedName>
    <definedName name="삼분기is환율">#REF!</definedName>
    <definedName name="새가" localSheetId="0">'MAIN BERTH PLAN'!#REF!</definedName>
    <definedName name="새가">#REF!</definedName>
    <definedName name="새것" localSheetId="0">'MAIN BERTH PLAN'!#REF!</definedName>
    <definedName name="새것">#REF!</definedName>
    <definedName name="선기장__지원팀__조근자의__99년도_인사고과자_선정_안__품의" localSheetId="0">'MAIN BERTH PLAN'!#REF!</definedName>
    <definedName name="선기장__지원팀__조근자의__99년도_인사고과자_선정_안__품의">#REF!</definedName>
    <definedName name="선대보유" localSheetId="0">'MAIN BERTH PLAN'!#REF!</definedName>
    <definedName name="선대보유">#REF!</definedName>
    <definedName name="선박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박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복확보">'[37]지방,해외배부'!#REF!</definedName>
    <definedName name="선상카드수수료">[8]비용항목!$C$82</definedName>
    <definedName name="선주사선원월평균임금">[8]비용항목!$C$30</definedName>
    <definedName name="속초터미널비">[8]비용항목!$G$58</definedName>
    <definedName name="수급" localSheetId="0" hidden="1">{"mult96",#N/A,FALSE,"PETCOMP";"est96",#N/A,FALSE,"PETCOMP";"mult95",#N/A,FALSE,"PETCOMP";"est95",#N/A,FALSE,"PETCOMP";"multltm",#N/A,FALSE,"PETCOMP";"resultltm",#N/A,FALSE,"PETCOMP"}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localSheetId="0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수후" localSheetId="0" hidden="1">{"adj95mult",#N/A,FALSE,"COMPCO";"adj95est",#N/A,FALSE,"COMPCO"}</definedName>
    <definedName name="수후" hidden="1">{"adj95mult",#N/A,FALSE,"COMPCO";"adj95est",#N/A,FALSE,"COMPCO"}</definedName>
    <definedName name="스케쥴비교2">#N/A</definedName>
    <definedName name="스케쥴비교3">#N/A</definedName>
    <definedName name="승객급식비">[8]비용항목!$C$70</definedName>
    <definedName name="승객기념품비">[8]비용항목!$C$22</definedName>
    <definedName name="승무원급식비">[8]비용항목!$C$71</definedName>
    <definedName name="신규" localSheetId="0">'MAIN BERTH PLAN'!#REF!</definedName>
    <definedName name="신규">#REF!</definedName>
    <definedName name="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ㅇ" localSheetId="0" hidden="1">{"mult96",#N/A,FALSE,"PETCOMP";"est96",#N/A,FALSE,"PETCOMP";"mult95",#N/A,FALSE,"PETCOMP";"est95",#N/A,FALSE,"PETCOMP";"multltm",#N/A,FALSE,"PETCOMP";"resultltm",#N/A,FALSE,"PETCOMP"}</definedName>
    <definedName name="ㅇ" hidden="1">{"mult96",#N/A,FALSE,"PETCOMP";"est96",#N/A,FALSE,"PETCOMP";"mult95",#N/A,FALSE,"PETCOMP";"est95",#N/A,FALSE,"PETCOMP";"multltm",#N/A,FALSE,"PETCOMP";"resultltm",#N/A,FALSE,"PETCOMP"}</definedName>
    <definedName name="ㅇㄹㄴ" localSheetId="0" hidden="1">{"adj95mult",#N/A,FALSE,"COMPCO";"adj95est",#N/A,FALSE,"COMPCO"}</definedName>
    <definedName name="ㅇㄹㄴ" hidden="1">{"adj95mult",#N/A,FALSE,"COMPCO";"adj95est",#N/A,FALSE,"COMPCO"}</definedName>
    <definedName name="ㅇㄹㄹㄴㅇㅁ" localSheetId="0" hidden="1">{"adj95mult",#N/A,FALSE,"COMPCO";"adj95est",#N/A,FALSE,"COMPCO"}</definedName>
    <definedName name="ㅇㄹㄹㄴㅇㅁ" hidden="1">{"adj95mult",#N/A,FALSE,"COMPCO";"adj95est",#N/A,FALSE,"COMPCO"}</definedName>
    <definedName name="ㅇㄹㅇ" localSheetId="0" hidden="1">{"adj95mult",#N/A,FALSE,"COMPCO";"adj95est",#N/A,FALSE,"COMPCO"}</definedName>
    <definedName name="ㅇㄹㅇ" hidden="1">{"adj95mult",#N/A,FALSE,"COMPCO";"adj95est",#N/A,FALSE,"COMPCO"}</definedName>
    <definedName name="ㅇㅇ" localSheetId="0">'MAIN BERTH PLAN'!#REF!</definedName>
    <definedName name="ㅇㅇ">#REF!</definedName>
    <definedName name="ㅇㅇㅇ" localSheetId="0" hidden="1">{"DCF","UPSIDE CASE",FALSE,"Sheet1";"DCF","BASE CASE",FALSE,"Sheet1";"DCF","DOWNSIDE CASE",FALSE,"Sheet1"}</definedName>
    <definedName name="ㅇㅇㅇ" hidden="1">{"DCF","UPSIDE CASE",FALSE,"Sheet1";"DCF","BASE CASE",FALSE,"Sheet1";"DCF","DOWNSIDE CASE",FALSE,"Sheet1"}</definedName>
    <definedName name="ㅇㅇㅇㅇㅇ" localSheetId="0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 localSheetId="0" hidden="1">{"adj95mult",#N/A,FALSE,"COMPCO";"adj95est",#N/A,FALSE,"COMPCO"}</definedName>
    <definedName name="아주" hidden="1">{"adj95mult",#N/A,FALSE,"COMPCO";"adj95est",#N/A,FALSE,"COMPCO"}</definedName>
    <definedName name="아주실적">'[51]아주(03실적)'!$A$3:$O$33</definedName>
    <definedName name="여행사수수료">[8]비용항목!$C$80</definedName>
    <definedName name="여행자보험">[8]비용항목!$G$32</definedName>
    <definedName name="엽슴" localSheetId="0">'MAIN BERTH PLAN'!#REF!</definedName>
    <definedName name="엽슴">#REF!</definedName>
    <definedName name="영업물량" localSheetId="0">'MAIN BERTH PLAN'!#REF!</definedName>
    <definedName name="영업물량">#REF!</definedName>
    <definedName name="옥천1" localSheetId="0" hidden="1">{#N/A,#N/A,FALSE,"SHEET10";#N/A,#N/A,FALSE,"SHEET10"}</definedName>
    <definedName name="옥천1" hidden="1">{#N/A,#N/A,FALSE,"SHEET10";#N/A,#N/A,FALSE,"SHEET10"}</definedName>
    <definedName name="운영상승율">[49]년간데이타!$H$6:$BE$6</definedName>
    <definedName name="운임">#N/A</definedName>
    <definedName name="월별영업" localSheetId="0">'MAIN BERTH PLAN'!#REF!</definedName>
    <definedName name="월별영업">#REF!</definedName>
    <definedName name="육상지원팀선원비">[8]비용항목!$C$55</definedName>
    <definedName name="육상카드수수료">[8]비용항목!$C$81</definedName>
    <definedName name="이름" localSheetId="0" hidden="1">{"mult96",#N/A,FALSE,"PETCOMP";"est96",#N/A,FALSE,"PETCOMP";"mult95",#N/A,FALSE,"PETCOMP";"est95",#N/A,FALSE,"PETCOMP";"multltm",#N/A,FALSE,"PETCOMP";"resultltm",#N/A,FALSE,"PETCOMP"}</definedName>
    <definedName name="이름" hidden="1">{"mult96",#N/A,FALSE,"PETCOMP";"est96",#N/A,FALSE,"PETCOMP";"mult95",#N/A,FALSE,"PETCOMP";"est95",#N/A,FALSE,"PETCOMP";"multltm",#N/A,FALSE,"PETCOMP";"resultltm",#N/A,FALSE,"PETCOMP"}</definedName>
    <definedName name="인원">[57]수입!#REF!</definedName>
    <definedName name="일반관리명세">[58]지점비용!#REF!</definedName>
    <definedName name="일차합" localSheetId="0">'MAIN BERTH PLAN'!#REF!</definedName>
    <definedName name="일차합">#REF!</definedName>
    <definedName name="임대수입">[8]비용항목!$C$8</definedName>
    <definedName name="ㅈㅈ" localSheetId="0">'MAIN BERTH PLAN'!#REF!</definedName>
    <definedName name="ㅈㅈ">#REF!</definedName>
    <definedName name="ㅈㅈㅈ" localSheetId="0">'MAIN BERTH PLAN'!#REF!</definedName>
    <definedName name="ㅈㅈㅈ">#REF!</definedName>
    <definedName name="자료취합__2__Query" localSheetId="0">'MAIN BERTH PLAN'!#REF!</definedName>
    <definedName name="자료취합__2__Query">#REF!</definedName>
    <definedName name="자료취합_Query" localSheetId="0">'MAIN BERTH PLAN'!#REF!</definedName>
    <definedName name="자료취합_Query">#REF!</definedName>
    <definedName name="장원철" localSheetId="0">'MAIN BERTH PLAN'!#REF!</definedName>
    <definedName name="장원철">#REF!</definedName>
    <definedName name="장효은" localSheetId="0">'MAIN BERTH PLAN'!#REF!</definedName>
    <definedName name="장효은">#REF!</definedName>
    <definedName name="재정보조효과" localSheetId="0">[59]불변현금흐름표!#REF!</definedName>
    <definedName name="재정보조효과">[59]불변현금흐름표!#REF!</definedName>
    <definedName name="전산비">[8]비용항목!$C$79</definedName>
    <definedName name="전체" localSheetId="0">'MAIN BERTH PLAN'!#REF!</definedName>
    <definedName name="전체">#REF!</definedName>
    <definedName name="조직" localSheetId="0">'MAIN BERTH PLAN'!#REF!</definedName>
    <definedName name="조직">#REF!</definedName>
    <definedName name="조직도" localSheetId="0">[57]수입!#REF!</definedName>
    <definedName name="조직도">[57]수입!#REF!</definedName>
    <definedName name="조직도101" localSheetId="0">[57]수입!#REF!</definedName>
    <definedName name="조직도101">[57]수입!#REF!</definedName>
    <definedName name="종업원월평균임금">[8]비용항목!$C$32</definedName>
    <definedName name="종합" localSheetId="0">'MAIN BERTH PLAN'!#REF!</definedName>
    <definedName name="종합">#REF!</definedName>
    <definedName name="지점비용" localSheetId="0">[60]지점비용!#REF!</definedName>
    <definedName name="지점비용">[60]지점비용!#REF!</definedName>
    <definedName name="진자" localSheetId="0">'MAIN BERTH PLAN'!#REF!</definedName>
    <definedName name="진자">#REF!</definedName>
    <definedName name="진품" localSheetId="0" hidden="1">{"EVA",#N/A,FALSE,"EVA";"WACC",#N/A,FALSE,"WACC"}</definedName>
    <definedName name="진품" hidden="1">{"EVA",#N/A,FALSE,"EVA";"WACC",#N/A,FALSE,"WACC"}</definedName>
    <definedName name="ㅊ과정총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ㅊ과정총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창" localSheetId="0" hidden="1">{"DCF","UPSIDE CASE",FALSE,"Sheet1";"DCF","BASE CASE",FALSE,"Sheet1";"DCF","DOWNSIDE CASE",FALSE,"Sheet1"}</definedName>
    <definedName name="창" hidden="1">{"DCF","UPSIDE CASE",FALSE,"Sheet1";"DCF","BASE CASE",FALSE,"Sheet1";"DCF","DOWNSIDE CASE",FALSE,"Sheet1"}</definedName>
    <definedName name="총계" localSheetId="0">'MAIN BERTH PLAN'!#REF!</definedName>
    <definedName name="총계">#REF!</definedName>
    <definedName name="총상승율">[49]년간데이타!$C$6:$BE$6</definedName>
    <definedName name="총자료취합_Query" localSheetId="0">'MAIN BERTH PLAN'!#REF!</definedName>
    <definedName name="총자료취합_Query">#REF!</definedName>
    <definedName name="총합계_월별_Query" localSheetId="0">'MAIN BERTH PLAN'!#REF!</definedName>
    <definedName name="총합계_월별_Query">#REF!</definedName>
    <definedName name="총합계_월별_Query1" localSheetId="0">'MAIN BERTH PLAN'!#REF!</definedName>
    <definedName name="총합계_월별_Query1">#REF!</definedName>
    <definedName name="총합계_월별_Query1_Query" localSheetId="0">'MAIN BERTH PLAN'!#REF!</definedName>
    <definedName name="총합계_월별_Query1_Query">#REF!</definedName>
    <definedName name="총항차수">[8]비용항목!$G$90</definedName>
    <definedName name="최종요약" localSheetId="0" hidden="1">{"adj95mult",#N/A,FALSE,"COMPCO";"adj95est",#N/A,FALSE,"COMPCO"}</definedName>
    <definedName name="최종요약" hidden="1">{"adj95mult",#N/A,FALSE,"COMPCO";"adj95est",#N/A,FALSE,"COMPCO"}</definedName>
    <definedName name="최종요약m.share" localSheetId="0" hidden="1">{"adj95mult",#N/A,FALSE,"COMPCO";"adj95est",#N/A,FALSE,"COMPCO"}</definedName>
    <definedName name="최종요약m.share" hidden="1">{"adj95mult",#N/A,FALSE,"COMPCO";"adj95est",#N/A,FALSE,"COMPCO"}</definedName>
    <definedName name="충">[60]지점비용!#REF!</definedName>
    <definedName name="커미션.01" localSheetId="0">'MAIN BERTH PLAN'!#REF!</definedName>
    <definedName name="커미션.01">#REF!</definedName>
    <definedName name="투자계획" localSheetId="0">'MAIN BERTH PLAN'!#REF!</definedName>
    <definedName name="투자계획">#REF!</definedName>
    <definedName name="ㅍ1" localSheetId="0">'MAIN BERTH PLAN'!#REF!</definedName>
    <definedName name="ㅍ1">#REF!</definedName>
    <definedName name="표8">#N/A</definedName>
    <definedName name="풍악D_E선용품">[8]비용항목!$G$16</definedName>
    <definedName name="풍악GO소모량">[8]비용항목!$C$13</definedName>
    <definedName name="풍악MGT">[8]비용항목!$C$88</definedName>
    <definedName name="풍악UNIFORM">[8]비용항목!$G$22</definedName>
    <definedName name="풍악개발선원비">[8]비용항목!$C$47</definedName>
    <definedName name="풍악개발선원수">[8]비용항목!$C$52</definedName>
    <definedName name="풍악고정비">[8]비용항목!$G$101</definedName>
    <definedName name="풍악공연기자재비">[8]비용항목!$G$11</definedName>
    <definedName name="풍악관광조장수">[8]비용항목!$C$58</definedName>
    <definedName name="풍악동해항비">[8]비용항목!$G$36</definedName>
    <definedName name="풍악선박보험">[8]비용항목!$G$29</definedName>
    <definedName name="풍악선원교체비">[8]비용항목!$C$65</definedName>
    <definedName name="풍악선주사선원수">[8]비용항목!$C$28</definedName>
    <definedName name="풍악수리비">[8]비용항목!$G$78</definedName>
    <definedName name="풍악승객수">[8]비용항목!$G$94</definedName>
    <definedName name="풍악식당이용선원수">[8]비용항목!$C$76</definedName>
    <definedName name="풍악연예인선원비">[8]비용항목!$C$35</definedName>
    <definedName name="풍악연예인수">[8]비용항목!$C$41</definedName>
    <definedName name="풍악오물수거비">[8]비용항목!$G$52</definedName>
    <definedName name="풍악용선료">[8]비용항목!$G$69</definedName>
    <definedName name="풍악장전항비">[8]비용항목!$G$40</definedName>
    <definedName name="풍악청수비">[8]비용항목!$G$46</definedName>
    <definedName name="풍악항차수">[8]비용항목!$G$85</definedName>
    <definedName name="풍악호텔소모품비">[8]비용항목!$C$95</definedName>
    <definedName name="풍악호텔집기비품">[8]비용항목!$G$5</definedName>
    <definedName name="프랑스조세" localSheetId="0">'MAIN BERTH PLAN'!#REF!</definedName>
    <definedName name="프랑스조세">#REF!</definedName>
    <definedName name="ㅎㅎㅎ" localSheetId="0" hidden="1">{"DCF","UPSIDE CASE",FALSE,"Sheet1";"DCF","BASE CASE",FALSE,"Sheet1";"DCF","DOWNSIDE CASE",FALSE,"Sheet1"}</definedName>
    <definedName name="ㅎㅎㅎ" hidden="1">{"DCF","UPSIDE CASE",FALSE,"Sheet1";"DCF","BASE CASE",FALSE,"Sheet1";"DCF","DOWNSIDE CASE",FALSE,"Sheet1"}</definedName>
    <definedName name="하역료">[59]불변현금흐름표!#REF!</definedName>
    <definedName name="항로현황" localSheetId="0">'MAIN BERTH PLAN'!#REF!</definedName>
    <definedName name="항로현황">#REF!</definedName>
    <definedName name="항로현황1" localSheetId="0">'MAIN BERTH PLAN'!#REF!</definedName>
    <definedName name="항로현황1">#REF!</definedName>
    <definedName name="항로현황2" localSheetId="0">'MAIN BERTH PLAN'!#REF!</definedName>
    <definedName name="항로현황2">#REF!</definedName>
    <definedName name="항차표" localSheetId="0">'MAIN BERTH PLAN'!#REF!</definedName>
    <definedName name="항차표">#REF!</definedName>
    <definedName name="항차표01" localSheetId="0">'MAIN BERTH PLAN'!#REF!</definedName>
    <definedName name="항차표01">#REF!</definedName>
    <definedName name="항차표02" localSheetId="0">'MAIN BERTH PLAN'!#REF!</definedName>
    <definedName name="항차표02">#REF!</definedName>
    <definedName name="항차표04" localSheetId="0">'MAIN BERTH PLAN'!#REF!</definedName>
    <definedName name="항차표04">#REF!</definedName>
    <definedName name="현대리바트" localSheetId="0">[1]수입!#REF!</definedName>
    <definedName name="현대리바트">[1]수입!#REF!</definedName>
    <definedName name="현황">'[61]현지법인 사업계획(총괄)'!#REF!</definedName>
    <definedName name="환차">'[62]8'!$A$6:$T$47</definedName>
    <definedName name="ㅐㅏㅔㅔ" localSheetId="0">'MAIN BERTH PLAN'!#REF!</definedName>
    <definedName name="ㅐㅏㅔㅔ">#REF!</definedName>
    <definedName name="ㅐㅐㅐ" localSheetId="0" hidden="1">{"mult96",#N/A,FALSE,"PETCOMP";"est96",#N/A,FALSE,"PETCOMP";"mult95",#N/A,FALSE,"PETCOMP";"est95",#N/A,FALSE,"PETCOMP";"multltm",#N/A,FALSE,"PETCOMP";"resultltm",#N/A,FALSE,"PETCOMP"}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localSheetId="0" hidden="1">{"adj95mult",#N/A,FALSE,"COMPCO";"adj95est",#N/A,FALSE,"COMPCO"}</definedName>
    <definedName name="ㅐㅐㅐㅐ" hidden="1">{"adj95mult",#N/A,FALSE,"COMPCO";"adj95est",#N/A,FALSE,"COMPCO"}</definedName>
    <definedName name="ㅑㅑㅑ" localSheetId="0" hidden="1">{"adj95mult",#N/A,FALSE,"COMPCO";"adj95est",#N/A,FALSE,"COMPCO"}</definedName>
    <definedName name="ㅑㅑㅑ" hidden="1">{"adj95mult",#N/A,FALSE,"COMPCO";"adj95est",#N/A,FALSE,"COMPCO"}</definedName>
    <definedName name="ㅓ" localSheetId="0" hidden="1">{"mult96",#N/A,FALSE,"PETCOMP";"est96",#N/A,FALSE,"PETCOMP";"mult95",#N/A,FALSE,"PETCOMP";"est95",#N/A,FALSE,"PETCOMP";"multltm",#N/A,FALSE,"PETCOMP";"resultltm",#N/A,FALSE,"PETCOMP"}</definedName>
    <definedName name="ㅓ" hidden="1">{"mult96",#N/A,FALSE,"PETCOMP";"est96",#N/A,FALSE,"PETCOMP";"mult95",#N/A,FALSE,"PETCOMP";"est95",#N/A,FALSE,"PETCOMP";"multltm",#N/A,FALSE,"PETCOMP";"resultltm",#N/A,FALSE,"PETCOMP"}</definedName>
    <definedName name="ㅓ125" localSheetId="0">'MAIN BERTH PLAN'!#REF!</definedName>
    <definedName name="ㅓ125">#REF!</definedName>
    <definedName name="ㅓㅓㅓ" localSheetId="0" hidden="1">{"mult96",#N/A,FALSE,"PETCOMP";"est96",#N/A,FALSE,"PETCOMP";"mult95",#N/A,FALSE,"PETCOMP";"est95",#N/A,FALSE,"PETCOMP";"multltm",#N/A,FALSE,"PETCOMP";"resultltm",#N/A,FALSE,"PETCOMP"}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 localSheetId="0">'MAIN BERTH PLAN'!#REF!</definedName>
    <definedName name="ㅔ">#REF!</definedName>
    <definedName name="ㅔㅔㅔ" localSheetId="0">'MAIN BERTH PLAN'!#REF!</definedName>
    <definedName name="ㅔㅔㅔ">#REF!</definedName>
    <definedName name="ㅕㅕㅕ" localSheetId="0" hidden="1">{"adj95mult",#N/A,FALSE,"COMPCO";"adj95est",#N/A,FALSE,"COMPCO"}</definedName>
    <definedName name="ㅕㅕㅕ" hidden="1">{"adj95mult",#N/A,FALSE,"COMPCO";"adj95est",#N/A,FALSE,"COMPCO"}</definedName>
    <definedName name="ㅛㅛㅛㅛ" localSheetId="0" hidden="1">{"mult96",#N/A,FALSE,"PETCOMP";"est96",#N/A,FALSE,"PETCOMP";"mult95",#N/A,FALSE,"PETCOMP";"est95",#N/A,FALSE,"PETCOMP";"multltm",#N/A,FALSE,"PETCOMP";"resultltm",#N/A,FALSE,"PETCOMP"}</definedName>
    <definedName name="ㅛㅛㅛㅛ" hidden="1">{"mult96",#N/A,FALSE,"PETCOMP";"est96",#N/A,FALSE,"PETCOMP";"mult95",#N/A,FALSE,"PETCOMP";"est95",#N/A,FALSE,"PETCOMP";"multltm",#N/A,FALSE,"PETCOMP";"resultltm",#N/A,FALSE,"PETCOMP"}</definedName>
    <definedName name="ㅜ">'[18]9-1차이내역'!#REF!</definedName>
    <definedName name="ㅡ24">[63]필요면적!$D$10</definedName>
    <definedName name="現代綜合商事經由分" localSheetId="0">'MAIN BERTH PLAN'!#REF!</definedName>
    <definedName name="現代綜合商事經由分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14" l="1"/>
  <c r="K11" i="114"/>
  <c r="I16" i="114"/>
  <c r="I15" i="114"/>
  <c r="I14" i="114"/>
  <c r="I13" i="114"/>
  <c r="I12" i="114"/>
  <c r="I11" i="114"/>
  <c r="I95" i="114" l="1"/>
  <c r="I96" i="114"/>
  <c r="I97" i="114"/>
  <c r="I98" i="114"/>
  <c r="I99" i="114"/>
  <c r="I100" i="114"/>
  <c r="I101" i="114"/>
  <c r="I102" i="114"/>
  <c r="I103" i="114"/>
  <c r="I104" i="114"/>
  <c r="I105" i="114"/>
  <c r="I106" i="114"/>
  <c r="I47" i="114"/>
  <c r="I48" i="114"/>
  <c r="I49" i="114"/>
  <c r="I50" i="114"/>
  <c r="I51" i="114"/>
  <c r="I52" i="114"/>
  <c r="I53" i="114"/>
  <c r="I54" i="114"/>
  <c r="I55" i="114"/>
  <c r="I56" i="114"/>
  <c r="I57" i="114"/>
  <c r="I58" i="114"/>
  <c r="I59" i="114"/>
  <c r="I60" i="114"/>
  <c r="I61" i="114"/>
  <c r="I62" i="114"/>
  <c r="I63" i="114"/>
  <c r="I64" i="114"/>
  <c r="I65" i="114"/>
  <c r="I66" i="114"/>
  <c r="I67" i="114"/>
  <c r="I68" i="114"/>
  <c r="I69" i="114"/>
  <c r="I70" i="114"/>
  <c r="I71" i="114"/>
  <c r="I72" i="114"/>
  <c r="I73" i="114"/>
  <c r="I74" i="114"/>
  <c r="I75" i="114"/>
  <c r="I76" i="114"/>
  <c r="I77" i="114"/>
  <c r="I78" i="114"/>
  <c r="I79" i="114"/>
  <c r="I80" i="114"/>
  <c r="I81" i="114"/>
  <c r="I82" i="114"/>
  <c r="I83" i="114"/>
  <c r="I84" i="114"/>
  <c r="I85" i="114"/>
  <c r="I86" i="114"/>
  <c r="I87" i="114"/>
  <c r="I88" i="114"/>
  <c r="I89" i="114"/>
  <c r="I90" i="114"/>
  <c r="I91" i="114"/>
  <c r="I92" i="114"/>
  <c r="I93" i="114"/>
  <c r="I94" i="114"/>
  <c r="I35" i="114" l="1"/>
  <c r="I36" i="114"/>
  <c r="I37" i="114"/>
  <c r="I38" i="114"/>
  <c r="I39" i="114"/>
  <c r="I40" i="114"/>
  <c r="I41" i="114"/>
  <c r="I42" i="114"/>
  <c r="I43" i="114"/>
  <c r="I44" i="114"/>
  <c r="I45" i="114"/>
  <c r="I46" i="114"/>
  <c r="I17" i="114" l="1"/>
  <c r="I18" i="114"/>
  <c r="I19" i="114"/>
  <c r="I20" i="114"/>
  <c r="I21" i="114"/>
  <c r="I22" i="114"/>
  <c r="I32" i="114" l="1"/>
  <c r="N4" i="114"/>
  <c r="I23" i="114"/>
  <c r="I24" i="114"/>
  <c r="I25" i="114"/>
  <c r="I26" i="114"/>
  <c r="I27" i="114"/>
  <c r="I28" i="114"/>
  <c r="I29" i="114"/>
  <c r="I30" i="114"/>
  <c r="I31" i="114"/>
  <c r="I33" i="114"/>
  <c r="I34" i="114"/>
  <c r="I107" i="114"/>
  <c r="I108" i="114"/>
  <c r="I109" i="114"/>
  <c r="I110" i="114"/>
  <c r="I111" i="114"/>
  <c r="I112" i="114"/>
  <c r="I113" i="114"/>
  <c r="I114" i="114"/>
  <c r="I115" i="114"/>
  <c r="I116" i="114"/>
  <c r="I117" i="114"/>
  <c r="I118" i="114"/>
  <c r="I119" i="114"/>
  <c r="I120" i="114"/>
  <c r="I121" i="114"/>
  <c r="I122" i="114"/>
  <c r="I123" i="114"/>
  <c r="I124" i="114"/>
  <c r="I125" i="114"/>
  <c r="I126" i="114"/>
  <c r="I127" i="114"/>
  <c r="I128" i="114"/>
  <c r="I129" i="114"/>
  <c r="I130" i="114"/>
  <c r="B9" i="113"/>
  <c r="B21" i="113" s="1"/>
  <c r="B33" i="113" s="1"/>
  <c r="B45" i="113" s="1"/>
  <c r="B57" i="113" s="1"/>
  <c r="B69" i="113" s="1"/>
  <c r="B81" i="113" s="1"/>
  <c r="B93" i="113" s="1"/>
  <c r="B105" i="113" s="1"/>
  <c r="B117" i="113" s="1"/>
  <c r="B129" i="113" s="1"/>
  <c r="B141" i="113" s="1"/>
  <c r="B153" i="113" s="1"/>
  <c r="B165" i="113" s="1"/>
  <c r="B177" i="113" s="1"/>
  <c r="B189" i="113" s="1"/>
  <c r="B201" i="113" s="1"/>
  <c r="B213" i="113" s="1"/>
  <c r="B225" i="113" s="1"/>
  <c r="B237" i="113" s="1"/>
  <c r="B3" i="113"/>
  <c r="B15" i="113" s="1"/>
  <c r="B27" i="113" s="1"/>
  <c r="B39" i="113" s="1"/>
  <c r="B51" i="113" s="1"/>
  <c r="B63" i="113" s="1"/>
  <c r="B75" i="113" s="1"/>
  <c r="B87" i="113" s="1"/>
  <c r="B99" i="113" s="1"/>
  <c r="B111" i="113" s="1"/>
  <c r="B123" i="113" s="1"/>
  <c r="B135" i="113" s="1"/>
  <c r="B147" i="113" s="1"/>
  <c r="B159" i="113" s="1"/>
  <c r="B171" i="113" s="1"/>
  <c r="B183" i="113" s="1"/>
  <c r="B195" i="113" s="1"/>
  <c r="B207" i="113" s="1"/>
  <c r="B219" i="113" s="1"/>
  <c r="B231" i="113" s="1"/>
  <c r="B9" i="108" l="1"/>
  <c r="B21" i="108" s="1"/>
  <c r="B33" i="108" s="1"/>
  <c r="B45" i="108" s="1"/>
  <c r="B57" i="108" s="1"/>
  <c r="B69" i="108" s="1"/>
  <c r="B81" i="108" s="1"/>
  <c r="B93" i="108" s="1"/>
  <c r="B105" i="108" s="1"/>
  <c r="B117" i="108" s="1"/>
  <c r="B129" i="108" s="1"/>
  <c r="B141" i="108" s="1"/>
  <c r="B153" i="108" s="1"/>
  <c r="B165" i="108" s="1"/>
  <c r="B177" i="108" s="1"/>
  <c r="B189" i="108" s="1"/>
  <c r="B201" i="108" s="1"/>
  <c r="B213" i="108" s="1"/>
  <c r="B225" i="108" s="1"/>
  <c r="B237" i="108" s="1"/>
  <c r="B3" i="108"/>
  <c r="B15" i="108" s="1"/>
  <c r="B27" i="108" s="1"/>
  <c r="B39" i="108" s="1"/>
  <c r="B51" i="108" s="1"/>
  <c r="B63" i="108" s="1"/>
  <c r="B75" i="108" s="1"/>
  <c r="B87" i="108" s="1"/>
  <c r="B99" i="108" s="1"/>
  <c r="B111" i="108" s="1"/>
  <c r="B123" i="108" s="1"/>
  <c r="B135" i="108" s="1"/>
  <c r="B147" i="108" s="1"/>
  <c r="B159" i="108" s="1"/>
  <c r="B171" i="108" s="1"/>
  <c r="B183" i="108" s="1"/>
  <c r="B195" i="108" s="1"/>
  <c r="B207" i="108" s="1"/>
  <c r="B219" i="108" s="1"/>
  <c r="B231" i="108" s="1"/>
  <c r="K29" i="114" l="1"/>
  <c r="K41" i="114" l="1"/>
  <c r="K53" i="114" s="1"/>
  <c r="K23" i="114"/>
  <c r="K47" i="114" l="1"/>
  <c r="K65" i="114"/>
  <c r="K35" i="114"/>
  <c r="K77" i="114" l="1"/>
  <c r="K59" i="114"/>
  <c r="K89" i="114" l="1"/>
  <c r="K71" i="114"/>
  <c r="K83" i="114" l="1"/>
  <c r="K101" i="114"/>
  <c r="K95" i="114" l="1"/>
  <c r="K113" i="114"/>
  <c r="K107" i="114" l="1"/>
  <c r="K125" i="114"/>
  <c r="K119" i="1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32A8B-DE3E-4517-BA2B-214A1E12AB97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<sst xmlns="http://schemas.openxmlformats.org/spreadsheetml/2006/main" count="856" uniqueCount="195">
  <si>
    <t>RSGT</t>
  </si>
  <si>
    <t xml:space="preserve"> </t>
  </si>
  <si>
    <t xml:space="preserve">R1 DEPTH :18M </t>
  </si>
  <si>
    <t xml:space="preserve">R2 &amp; R3 DEPTH = 18 M </t>
  </si>
  <si>
    <t xml:space="preserve">R4 DEPTH =15M </t>
  </si>
  <si>
    <t>B4 DEPTH = 15 M , B5 &amp; B6  DEPTH = 13 M</t>
  </si>
  <si>
    <t>B08 DEPTH = 12 M  B07 DEPTH = 11 M</t>
  </si>
  <si>
    <t>B09 &amp; B10 DEPTH  11.0 M</t>
  </si>
  <si>
    <t>ALLOWABLE DRAFT 17.5M</t>
  </si>
  <si>
    <t>LEVEL 01</t>
  </si>
  <si>
    <t>LEVEL 02</t>
  </si>
  <si>
    <t>LEVEL 03</t>
  </si>
  <si>
    <t>LEVEL 04</t>
  </si>
  <si>
    <t>VESSEL OUTSIDE</t>
  </si>
  <si>
    <t>ALLOWABLE DRAFT 17.5 M</t>
  </si>
  <si>
    <t>RORO</t>
  </si>
  <si>
    <t>QC STOPPER</t>
  </si>
  <si>
    <t>OFF WINDOW</t>
  </si>
  <si>
    <t>ALLOWABLE DRAFT 14.5 M</t>
  </si>
  <si>
    <t>ADHOC</t>
  </si>
  <si>
    <t>CRUISE</t>
  </si>
  <si>
    <t>MPT VESSEL</t>
  </si>
  <si>
    <t xml:space="preserve">ALLOWABLE DRAFT B04 =14.5M </t>
  </si>
  <si>
    <t>B05 &amp; B06= 12.5 M</t>
  </si>
  <si>
    <t>QC MINT</t>
  </si>
  <si>
    <t>MOB SCAN MINT</t>
  </si>
  <si>
    <t>ALLOWABLE DRAFT B08 = 11.5 M  B07 = 10.5 M</t>
  </si>
  <si>
    <t>ALLOWABLE DRAFT B09 &amp; B10 = 10.5 M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</si>
  <si>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</si>
  <si>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</si>
  <si>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</si>
  <si>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</si>
  <si>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</si>
  <si>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</si>
  <si>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</si>
  <si>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</si>
  <si>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</si>
  <si>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BERTH #6</t>
  </si>
  <si>
    <t>BERTH #5</t>
  </si>
  <si>
    <t>BERTH #4</t>
  </si>
  <si>
    <t>BERTH #8</t>
  </si>
  <si>
    <t>BERTH #7</t>
  </si>
  <si>
    <t>BERTH #10</t>
  </si>
  <si>
    <t>BERTH #9</t>
  </si>
  <si>
    <t>Berth #1</t>
  </si>
  <si>
    <t>Berth #2</t>
  </si>
  <si>
    <t>Berth #3</t>
  </si>
  <si>
    <t>Berth #4</t>
  </si>
  <si>
    <t>BERTH B08  &amp; B07 LOA 500M</t>
  </si>
  <si>
    <t>BERTH B10 &amp; B09 LOA 430M</t>
  </si>
  <si>
    <t>MED5</t>
  </si>
  <si>
    <t>JAS EB</t>
  </si>
  <si>
    <t>TRI-SB</t>
  </si>
  <si>
    <t>0001-0200</t>
  </si>
  <si>
    <t xml:space="preserve"> 12:00</t>
  </si>
  <si>
    <t>0201-0400</t>
  </si>
  <si>
    <t>0401-0600</t>
  </si>
  <si>
    <t>0601-0800</t>
  </si>
  <si>
    <t>0801-1000</t>
  </si>
  <si>
    <t>1001-1200</t>
  </si>
  <si>
    <t>1201-1400</t>
  </si>
  <si>
    <t>1401-1600</t>
  </si>
  <si>
    <t>1601-1800</t>
  </si>
  <si>
    <t>1801-2000</t>
  </si>
  <si>
    <t>JJS2-EB</t>
  </si>
  <si>
    <t>RGS</t>
  </si>
  <si>
    <t>2001-2200</t>
  </si>
  <si>
    <t>2201-2359</t>
  </si>
  <si>
    <t>MONA</t>
  </si>
  <si>
    <t>MEDEX- WB</t>
  </si>
  <si>
    <t>MED2</t>
  </si>
  <si>
    <t>RCS-EB</t>
  </si>
  <si>
    <t>IRS2 -WB</t>
  </si>
  <si>
    <t>RES2EB</t>
  </si>
  <si>
    <t>REX-2</t>
  </si>
  <si>
    <t>IRS2-EB</t>
  </si>
  <si>
    <t>REX2-EB</t>
  </si>
  <si>
    <t>COS- RES3</t>
  </si>
  <si>
    <t>MEDEX- EB</t>
  </si>
  <si>
    <t>JJS2-WB</t>
  </si>
  <si>
    <t>RES2WB</t>
  </si>
  <si>
    <t>REX2-WB</t>
  </si>
  <si>
    <t>CRX-WB</t>
  </si>
  <si>
    <t>TRI-NB</t>
  </si>
  <si>
    <t>IMR</t>
  </si>
  <si>
    <t>RS2</t>
  </si>
  <si>
    <t>JRS</t>
  </si>
  <si>
    <t>Ali Naveed</t>
  </si>
  <si>
    <t xml:space="preserve">Diego Garcia  </t>
  </si>
  <si>
    <t>Abdulelah Siddik</t>
  </si>
  <si>
    <t>PREPARED BY</t>
  </si>
  <si>
    <t>Planning Senior Manager</t>
  </si>
  <si>
    <t>Director of Commercial JCT</t>
  </si>
  <si>
    <t>Column1</t>
  </si>
  <si>
    <t>Alia'a Khayyat</t>
  </si>
  <si>
    <t>Mohamed Safras</t>
  </si>
  <si>
    <t>Sahaya Raja</t>
  </si>
  <si>
    <t>Jawad Jehanzeb</t>
  </si>
  <si>
    <t>Reham Almakran</t>
  </si>
  <si>
    <t>Abdullah Alattas</t>
  </si>
  <si>
    <t>F</t>
  </si>
  <si>
    <t xml:space="preserve">NON CELLULAR VESSELS </t>
  </si>
  <si>
    <t>SHIP CRANE</t>
  </si>
  <si>
    <t>REMARKS</t>
  </si>
  <si>
    <t>TO BE BERTHED  AS  PER OPERATIONS</t>
  </si>
  <si>
    <t xml:space="preserve">S.NO </t>
  </si>
  <si>
    <t>LONG HATCH COVERS</t>
  </si>
  <si>
    <t>SHIP CRANES</t>
  </si>
  <si>
    <t>TO BE BERTHED  AS PER RSGT  OPERATION</t>
  </si>
  <si>
    <t>GREEN AANEKOSKI</t>
  </si>
  <si>
    <t>CENTRE</t>
  </si>
  <si>
    <t>ELREEDY STAR</t>
  </si>
  <si>
    <t>PORTSIDE</t>
  </si>
  <si>
    <t>BERTH 06 OR R04</t>
  </si>
  <si>
    <t>AL AHMED</t>
  </si>
  <si>
    <t>XUAN TENG JI YUN</t>
  </si>
  <si>
    <t>NIL</t>
  </si>
  <si>
    <t>ATLANTIC SPIRIT II</t>
  </si>
  <si>
    <t>XING SHUN 25</t>
  </si>
  <si>
    <t>AURELIA</t>
  </si>
  <si>
    <t xml:space="preserve">MAYYUN QASWARAH </t>
  </si>
  <si>
    <t>BALKIS</t>
  </si>
  <si>
    <t xml:space="preserve">AN YANG </t>
  </si>
  <si>
    <t>BASEL S3</t>
  </si>
  <si>
    <t>NEWSTRIVER</t>
  </si>
  <si>
    <t>BERTH 06/04 OR R04</t>
  </si>
  <si>
    <t>BLUE GOLD</t>
  </si>
  <si>
    <t>CATALONIA</t>
  </si>
  <si>
    <t>CHIAPAS STAR</t>
  </si>
  <si>
    <t>COSCO SHIPPING GLORY</t>
  </si>
  <si>
    <t>COSCO SHIPPING GRACE</t>
  </si>
  <si>
    <t>CSPC HORIZON</t>
  </si>
  <si>
    <t>COSCO SHIPPING CHANG QING</t>
  </si>
  <si>
    <t>COSCO SHIPPING WISDOM</t>
  </si>
  <si>
    <t>COSCO SHIPPING FOUNTAIN</t>
  </si>
  <si>
    <t xml:space="preserve">COSCO SHIPPING FAN RONG </t>
  </si>
  <si>
    <t>COSCO SHIPPING CHANG SHENG</t>
  </si>
  <si>
    <t>COSCO SHIPPING SINCERE</t>
  </si>
  <si>
    <t>COSCO SHIPPING PENG CHENG</t>
  </si>
  <si>
    <t>COSCOSHIPPING VISION</t>
  </si>
  <si>
    <t>COSCO SHIPPING TENGDA</t>
  </si>
  <si>
    <t>CELESTIA</t>
  </si>
  <si>
    <t>COSCO SHIPPING JI XIANG</t>
  </si>
  <si>
    <t>COSCO SHIPPING ZHUO YUE</t>
  </si>
  <si>
    <t>DA DE</t>
  </si>
  <si>
    <t>DONG KUN 7</t>
  </si>
  <si>
    <t>DRAGON BALL</t>
  </si>
  <si>
    <t>EA BLUE NILE</t>
  </si>
  <si>
    <t>EAGLES UNION</t>
  </si>
  <si>
    <t>FATMA S</t>
  </si>
  <si>
    <t xml:space="preserve">GREEN ITAJAI </t>
  </si>
  <si>
    <t>GREEN PORTOCEL</t>
  </si>
  <si>
    <t>GREEN SUAPE</t>
  </si>
  <si>
    <t xml:space="preserve">GREEN SALVADOR </t>
  </si>
  <si>
    <t>HMO LEADER</t>
  </si>
  <si>
    <t>JI HANG 27</t>
  </si>
  <si>
    <t>JI ZHE 6</t>
  </si>
  <si>
    <t>KAYAN</t>
  </si>
  <si>
    <t>KOTA BANGGA</t>
  </si>
  <si>
    <t>KOTA BAHAGIA</t>
  </si>
  <si>
    <t>GREEN KOTKA</t>
  </si>
  <si>
    <t>LILA MOMBASA</t>
  </si>
  <si>
    <t>XIN LONG YUN 16</t>
  </si>
  <si>
    <t>MARTIN ONE</t>
  </si>
  <si>
    <t xml:space="preserve">MARIA DISCOVERY </t>
  </si>
  <si>
    <t>MPV CLIO</t>
  </si>
  <si>
    <t>NADA</t>
  </si>
  <si>
    <t>NEPTUNE J</t>
  </si>
  <si>
    <t>OCEAN 5</t>
  </si>
  <si>
    <t>OCEAN3</t>
  </si>
  <si>
    <t>OCEAN 4</t>
  </si>
  <si>
    <t>OYSTER</t>
  </si>
  <si>
    <t>PASCAL</t>
  </si>
  <si>
    <t>PACIFIC VENTURE</t>
  </si>
  <si>
    <t>5 PEARLS</t>
  </si>
  <si>
    <t>COSCO SHIPPING PENG BO</t>
  </si>
  <si>
    <t>COPERNICO</t>
  </si>
  <si>
    <t>RS EAGLE</t>
  </si>
  <si>
    <t>SC MEMPHIS</t>
  </si>
  <si>
    <t>SHEBELLE</t>
  </si>
  <si>
    <t>SIDRA HALIMA</t>
  </si>
  <si>
    <t>SAPODILLA</t>
  </si>
  <si>
    <t>SEA XPRESS</t>
  </si>
  <si>
    <t>TAMARA</t>
  </si>
  <si>
    <t xml:space="preserve">TOPAZ BELAYA </t>
  </si>
  <si>
    <t>TJ ZARAR</t>
  </si>
  <si>
    <t>TOPAZ LENA</t>
  </si>
  <si>
    <t>TOPAZ VOLGA</t>
  </si>
  <si>
    <t>ZHONG LIAN SHAN TOU</t>
  </si>
  <si>
    <t xml:space="preserve">BLUE GOLD </t>
  </si>
  <si>
    <t>SAFEEN PROSPER</t>
  </si>
  <si>
    <t xml:space="preserve">DATE </t>
  </si>
  <si>
    <t>B5</t>
  </si>
  <si>
    <t>B7 &amp; B08</t>
  </si>
  <si>
    <t>WEEK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</si>
</sst>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-2]* #,##0.00_-;\-[$€-2]* #,##0.00_-;_-[$€-2]* &quot;-&quot;??_-"/>
    <numFmt numFmtId="165" formatCode="dddd"/>
    <numFmt numFmtId="166" formatCode="h:mm;@"/>
    <numFmt numFmtId="167" formatCode="[$-14009]dd\-mm\-yyyy;@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Aptos Display"/>
      <family val="2"/>
    </font>
    <font>
      <b/>
      <sz val="14"/>
      <color theme="1"/>
      <name val="Aptos Display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Gill Sans MT"/>
      <family val="2"/>
    </font>
    <font>
      <b/>
      <sz val="24"/>
      <color rgb="FF000000"/>
      <name val="Gill Sans MT"/>
      <family val="2"/>
    </font>
    <font>
      <b/>
      <sz val="24"/>
      <color theme="1"/>
      <name val="Gill Sans MT"/>
      <family val="2"/>
    </font>
    <font>
      <sz val="14"/>
      <color theme="1"/>
      <name val="Gill Sans MT"/>
      <family val="2"/>
    </font>
    <font>
      <sz val="20"/>
      <color theme="1"/>
      <name val="Gill Sans MT"/>
      <family val="2"/>
    </font>
    <font>
      <sz val="8"/>
      <color theme="1"/>
      <name val="Gill Sans MT"/>
      <family val="2"/>
    </font>
    <font>
      <sz val="11"/>
      <color theme="1"/>
      <name val="Gill Sans MT"/>
      <family val="2"/>
    </font>
    <font>
      <b/>
      <sz val="28"/>
      <color theme="1"/>
      <name val="Gill Sans MT"/>
      <family val="2"/>
    </font>
    <font>
      <b/>
      <sz val="11"/>
      <color theme="1"/>
      <name val="Gill Sans MT"/>
      <family val="2"/>
    </font>
    <font>
      <b/>
      <sz val="15"/>
      <color theme="1"/>
      <name val="Gill Sans MT"/>
      <family val="2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6"/>
      <color theme="1"/>
      <name val="Gill Sans MT"/>
      <family val="2"/>
    </font>
    <font>
      <b/>
      <sz val="16"/>
      <color theme="1"/>
      <name val="Gill Sans MT"/>
      <family val="2"/>
    </font>
    <font>
      <sz val="16"/>
      <color theme="0"/>
      <name val="Gill Sans MT"/>
      <family val="2"/>
    </font>
    <font>
      <sz val="16"/>
      <color theme="1"/>
      <name val="Aptos Display"/>
      <family val="2"/>
    </font>
    <font>
      <sz val="48"/>
      <color theme="1"/>
      <name val="Aptos Display"/>
      <family val="2"/>
    </font>
    <font>
      <sz val="48"/>
      <color theme="1"/>
      <name val="Gill Sans MT"/>
      <family val="2"/>
    </font>
    <font>
      <sz val="28"/>
      <color theme="1"/>
      <name val="Gill Sans MT"/>
      <family val="2"/>
    </font>
    <font>
      <b/>
      <sz val="48"/>
      <color theme="1"/>
      <name val="Aptos Display"/>
      <family val="2"/>
    </font>
    <font>
      <sz val="24"/>
      <color theme="1"/>
      <name val="Gill Sans MT"/>
      <family val="2"/>
    </font>
    <font>
      <b/>
      <sz val="14"/>
      <color theme="1"/>
      <name val="Gill Sans MT"/>
      <family val="2"/>
    </font>
    <font>
      <b/>
      <sz val="24"/>
      <color theme="1"/>
      <name val="Calibri"/>
      <family val="2"/>
      <scheme val="minor"/>
    </font>
    <font>
      <sz val="18"/>
      <color theme="1"/>
      <name val="Gill Sans MT"/>
      <family val="2"/>
    </font>
    <font>
      <b/>
      <sz val="18"/>
      <color theme="1"/>
      <name val="Gill Sans MT"/>
      <family val="2"/>
    </font>
    <font>
      <b/>
      <sz val="26"/>
      <color theme="1"/>
      <name val="Gill Sans MT"/>
      <family val="2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Aptos Black"/>
      <family val="2"/>
    </font>
    <font>
      <b/>
      <sz val="24"/>
      <color rgb="FF000000"/>
      <name val="Aptos Black"/>
      <family val="2"/>
    </font>
    <font>
      <sz val="28"/>
      <color theme="1"/>
      <name val="Calibri"/>
      <family val="2"/>
      <scheme val="minor"/>
    </font>
    <font>
      <sz val="24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Calibri"/>
      <family val="2"/>
      <scheme val="minor"/>
    </font>
    <font>
      <b/>
      <sz val="22"/>
      <color rgb="FF000000"/>
      <name val="Gill Sans MT"/>
      <family val="2"/>
    </font>
    <font>
      <b/>
      <sz val="24"/>
      <color rgb="FF000000"/>
      <name val="Gill Sans MT"/>
    </font>
    <font>
      <sz val="16"/>
      <color theme="0"/>
      <name val="Gill Sans MT"/>
    </font>
    <font>
      <b/>
      <sz val="28"/>
      <color theme="0"/>
      <name val="Aptos Display"/>
    </font>
    <font>
      <b/>
      <sz val="28"/>
      <name val="Aptos Display"/>
    </font>
    <font>
      <b/>
      <sz val="28"/>
      <color theme="1"/>
      <name val="Aptos Display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Up">
        <fgColor theme="9" tint="-0.24994659260841701"/>
        <bgColor rgb="FFFFFF00"/>
      </patternFill>
    </fill>
    <fill>
      <patternFill patternType="darkUp">
        <fgColor theme="9" tint="-0.24994659260841701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4A1E7"/>
        <bgColor indexed="64"/>
      </patternFill>
    </fill>
    <fill>
      <patternFill patternType="darkUp">
        <fgColor theme="9" tint="-0.24994659260841701"/>
        <bgColor theme="0" tint="-0.14999847407452621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medium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theme="2" tint="-0.24994659260841701"/>
      </right>
      <top style="medium">
        <color rgb="FF000000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rgb="FF000000"/>
      </top>
      <bottom style="thin">
        <color theme="2" tint="-0.24994659260841701"/>
      </bottom>
      <diagonal/>
    </border>
    <border>
      <left style="medium">
        <color rgb="FF000000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rgb="FF000000"/>
      </top>
      <bottom style="thin">
        <color theme="2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>
      <alignment vertical="center"/>
    </xf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/>
  </cellStyleXfs>
  <cellXfs count="342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2"/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164" fontId="10" fillId="13" borderId="16" xfId="1" applyFont="1" applyFill="1" applyBorder="1">
      <alignment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wrapText="1"/>
    </xf>
    <xf numFmtId="0" fontId="15" fillId="2" borderId="1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164" fontId="15" fillId="2" borderId="0" xfId="1" applyFont="1" applyFill="1">
      <alignment vertical="center"/>
    </xf>
    <xf numFmtId="164" fontId="15" fillId="4" borderId="13" xfId="1" applyFont="1" applyFill="1" applyBorder="1">
      <alignment vertical="center"/>
    </xf>
    <xf numFmtId="164" fontId="15" fillId="0" borderId="0" xfId="1" applyFont="1">
      <alignment vertical="center"/>
    </xf>
    <xf numFmtId="164" fontId="15" fillId="5" borderId="13" xfId="1" applyFont="1" applyFill="1" applyBorder="1">
      <alignment vertical="center"/>
    </xf>
    <xf numFmtId="0" fontId="15" fillId="6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vertical="center"/>
    </xf>
    <xf numFmtId="0" fontId="15" fillId="2" borderId="14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164" fontId="21" fillId="12" borderId="8" xfId="1" applyFont="1" applyFill="1" applyBorder="1">
      <alignment vertical="center"/>
    </xf>
    <xf numFmtId="0" fontId="21" fillId="10" borderId="6" xfId="0" applyFont="1" applyFill="1" applyBorder="1" applyAlignment="1">
      <alignment horizontal="center" vertical="center"/>
    </xf>
    <xf numFmtId="164" fontId="14" fillId="12" borderId="20" xfId="1" applyFont="1" applyFill="1" applyBorder="1">
      <alignment vertical="center"/>
    </xf>
    <xf numFmtId="0" fontId="21" fillId="10" borderId="17" xfId="0" applyFont="1" applyFill="1" applyBorder="1" applyAlignment="1">
      <alignment horizontal="center" vertical="center"/>
    </xf>
    <xf numFmtId="0" fontId="21" fillId="10" borderId="18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164" fontId="21" fillId="12" borderId="16" xfId="1" applyFont="1" applyFill="1" applyBorder="1">
      <alignment vertical="center"/>
    </xf>
    <xf numFmtId="0" fontId="21" fillId="10" borderId="5" xfId="0" applyFont="1" applyFill="1" applyBorder="1" applyAlignment="1">
      <alignment vertical="top"/>
    </xf>
    <xf numFmtId="0" fontId="21" fillId="10" borderId="6" xfId="0" applyFont="1" applyFill="1" applyBorder="1" applyAlignment="1">
      <alignment vertical="top"/>
    </xf>
    <xf numFmtId="0" fontId="21" fillId="10" borderId="6" xfId="0" applyFont="1" applyFill="1" applyBorder="1" applyAlignment="1">
      <alignment vertical="center"/>
    </xf>
    <xf numFmtId="0" fontId="21" fillId="10" borderId="19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164" fontId="23" fillId="13" borderId="13" xfId="1" applyFont="1" applyFill="1" applyBorder="1">
      <alignment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9" fillId="10" borderId="2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33" fillId="10" borderId="47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horizontal="center" vertical="center"/>
    </xf>
    <xf numFmtId="164" fontId="32" fillId="12" borderId="3" xfId="1" applyFont="1" applyFill="1" applyBorder="1" applyAlignment="1">
      <alignment horizontal="center" vertical="center"/>
    </xf>
    <xf numFmtId="0" fontId="33" fillId="2" borderId="20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0" fillId="0" borderId="38" xfId="0" applyBorder="1"/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0" fillId="0" borderId="67" xfId="0" applyBorder="1"/>
    <xf numFmtId="0" fontId="0" fillId="0" borderId="73" xfId="0" applyBorder="1"/>
    <xf numFmtId="0" fontId="0" fillId="0" borderId="65" xfId="0" applyBorder="1"/>
    <xf numFmtId="0" fontId="0" fillId="0" borderId="71" xfId="0" applyBorder="1"/>
    <xf numFmtId="0" fontId="0" fillId="0" borderId="72" xfId="0" applyBorder="1"/>
    <xf numFmtId="0" fontId="0" fillId="0" borderId="74" xfId="0" applyBorder="1"/>
    <xf numFmtId="0" fontId="0" fillId="0" borderId="40" xfId="0" applyBorder="1"/>
    <xf numFmtId="0" fontId="0" fillId="0" borderId="75" xfId="0" applyBorder="1"/>
    <xf numFmtId="0" fontId="0" fillId="0" borderId="78" xfId="0" applyBorder="1"/>
    <xf numFmtId="0" fontId="0" fillId="0" borderId="39" xfId="0" applyBorder="1"/>
    <xf numFmtId="0" fontId="0" fillId="0" borderId="79" xfId="0" applyBorder="1"/>
    <xf numFmtId="0" fontId="0" fillId="30" borderId="42" xfId="0" applyFill="1" applyBorder="1"/>
    <xf numFmtId="0" fontId="0" fillId="30" borderId="76" xfId="0" applyFill="1" applyBorder="1"/>
    <xf numFmtId="0" fontId="0" fillId="30" borderId="77" xfId="0" applyFill="1" applyBorder="1"/>
    <xf numFmtId="0" fontId="16" fillId="2" borderId="8" xfId="0" applyFont="1" applyFill="1" applyBorder="1" applyAlignment="1">
      <alignment horizontal="center" vertical="center"/>
    </xf>
    <xf numFmtId="0" fontId="0" fillId="0" borderId="80" xfId="0" applyBorder="1"/>
    <xf numFmtId="0" fontId="0" fillId="0" borderId="68" xfId="0" applyBorder="1"/>
    <xf numFmtId="0" fontId="0" fillId="0" borderId="81" xfId="0" applyBorder="1"/>
    <xf numFmtId="0" fontId="0" fillId="30" borderId="82" xfId="0" applyFill="1" applyBorder="1"/>
    <xf numFmtId="0" fontId="0" fillId="0" borderId="83" xfId="0" applyBorder="1"/>
    <xf numFmtId="0" fontId="16" fillId="2" borderId="0" xfId="0" applyFont="1" applyFill="1" applyAlignment="1">
      <alignment horizontal="center" vertical="center"/>
    </xf>
    <xf numFmtId="0" fontId="0" fillId="30" borderId="0" xfId="0" applyFill="1"/>
    <xf numFmtId="164" fontId="10" fillId="13" borderId="0" xfId="1" applyFont="1" applyFill="1">
      <alignment vertical="center"/>
    </xf>
    <xf numFmtId="0" fontId="16" fillId="2" borderId="1" xfId="0" applyFont="1" applyFill="1" applyBorder="1" applyAlignment="1">
      <alignment horizontal="center" vertical="center"/>
    </xf>
    <xf numFmtId="164" fontId="10" fillId="13" borderId="13" xfId="1" applyFont="1" applyFill="1" applyBorder="1">
      <alignment vertical="center"/>
    </xf>
    <xf numFmtId="164" fontId="10" fillId="13" borderId="4" xfId="1" applyFont="1" applyFill="1" applyBorder="1">
      <alignment vertical="center"/>
    </xf>
    <xf numFmtId="0" fontId="37" fillId="30" borderId="13" xfId="0" applyFont="1" applyFill="1" applyBorder="1" applyAlignment="1">
      <alignment horizontal="center" vertical="center"/>
    </xf>
    <xf numFmtId="164" fontId="38" fillId="13" borderId="16" xfId="1" applyFont="1" applyFill="1" applyBorder="1">
      <alignment vertical="center"/>
    </xf>
    <xf numFmtId="0" fontId="37" fillId="30" borderId="16" xfId="0" applyFont="1" applyFill="1" applyBorder="1" applyAlignment="1">
      <alignment horizontal="center" vertical="center"/>
    </xf>
    <xf numFmtId="0" fontId="0" fillId="0" borderId="84" xfId="0" applyBorder="1"/>
    <xf numFmtId="0" fontId="0" fillId="0" borderId="61" xfId="0" applyBorder="1"/>
    <xf numFmtId="0" fontId="0" fillId="0" borderId="85" xfId="0" applyBorder="1"/>
    <xf numFmtId="0" fontId="0" fillId="0" borderId="86" xfId="0" applyBorder="1"/>
    <xf numFmtId="164" fontId="19" fillId="0" borderId="0" xfId="1" applyFont="1" applyAlignment="1">
      <alignment horizontal="center" vertical="center"/>
    </xf>
    <xf numFmtId="164" fontId="15" fillId="3" borderId="13" xfId="1" applyFont="1" applyFill="1" applyBorder="1">
      <alignment vertical="center"/>
    </xf>
    <xf numFmtId="164" fontId="19" fillId="0" borderId="0" xfId="1" applyFont="1">
      <alignment vertical="center"/>
    </xf>
    <xf numFmtId="164" fontId="15" fillId="9" borderId="13" xfId="1" applyFont="1" applyFill="1" applyBorder="1">
      <alignment vertical="center"/>
    </xf>
    <xf numFmtId="164" fontId="19" fillId="0" borderId="0" xfId="1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64" fontId="19" fillId="2" borderId="0" xfId="1" applyFont="1" applyFill="1" applyAlignment="1">
      <alignment horizontal="center" vertical="center"/>
    </xf>
    <xf numFmtId="164" fontId="15" fillId="29" borderId="13" xfId="1" applyFont="1" applyFill="1" applyBorder="1">
      <alignment vertical="center"/>
    </xf>
    <xf numFmtId="164" fontId="15" fillId="31" borderId="13" xfId="1" applyFont="1" applyFill="1" applyBorder="1">
      <alignment vertical="center"/>
    </xf>
    <xf numFmtId="0" fontId="15" fillId="32" borderId="13" xfId="0" applyFont="1" applyFill="1" applyBorder="1" applyAlignment="1">
      <alignment horizontal="center" vertical="center"/>
    </xf>
    <xf numFmtId="164" fontId="21" fillId="12" borderId="9" xfId="1" applyFont="1" applyFill="1" applyBorder="1">
      <alignment vertical="center"/>
    </xf>
    <xf numFmtId="0" fontId="21" fillId="10" borderId="8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vertical="top"/>
    </xf>
    <xf numFmtId="0" fontId="21" fillId="10" borderId="8" xfId="0" applyFont="1" applyFill="1" applyBorder="1" applyAlignment="1">
      <alignment vertical="top"/>
    </xf>
    <xf numFmtId="0" fontId="21" fillId="10" borderId="7" xfId="0" applyFont="1" applyFill="1" applyBorder="1" applyAlignment="1">
      <alignment vertical="center"/>
    </xf>
    <xf numFmtId="0" fontId="21" fillId="10" borderId="8" xfId="0" applyFont="1" applyFill="1" applyBorder="1" applyAlignment="1">
      <alignment vertical="center"/>
    </xf>
    <xf numFmtId="0" fontId="21" fillId="10" borderId="11" xfId="0" applyFont="1" applyFill="1" applyBorder="1" applyAlignment="1">
      <alignment vertical="center"/>
    </xf>
    <xf numFmtId="0" fontId="21" fillId="10" borderId="5" xfId="0" applyFont="1" applyFill="1" applyBorder="1" applyAlignment="1">
      <alignment vertical="center"/>
    </xf>
    <xf numFmtId="1" fontId="9" fillId="0" borderId="89" xfId="0" applyNumberFormat="1" applyFont="1" applyBorder="1" applyAlignment="1">
      <alignment horizontal="center" vertical="center"/>
    </xf>
    <xf numFmtId="0" fontId="33" fillId="27" borderId="48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center" vertical="center"/>
    </xf>
    <xf numFmtId="1" fontId="9" fillId="0" borderId="90" xfId="0" applyNumberFormat="1" applyFont="1" applyBorder="1" applyAlignment="1">
      <alignment horizontal="center" vertical="center"/>
    </xf>
    <xf numFmtId="1" fontId="9" fillId="0" borderId="91" xfId="0" applyNumberFormat="1" applyFont="1" applyBorder="1" applyAlignment="1">
      <alignment horizontal="center" vertical="center"/>
    </xf>
    <xf numFmtId="1" fontId="9" fillId="0" borderId="92" xfId="0" applyNumberFormat="1" applyFont="1" applyBorder="1" applyAlignment="1">
      <alignment horizontal="center" vertical="center"/>
    </xf>
    <xf numFmtId="1" fontId="9" fillId="0" borderId="93" xfId="0" applyNumberFormat="1" applyFont="1" applyBorder="1" applyAlignment="1">
      <alignment horizontal="center" vertical="center"/>
    </xf>
    <xf numFmtId="1" fontId="9" fillId="0" borderId="94" xfId="0" applyNumberFormat="1" applyFont="1" applyBorder="1" applyAlignment="1">
      <alignment horizontal="center" vertical="center"/>
    </xf>
    <xf numFmtId="1" fontId="9" fillId="0" borderId="95" xfId="0" applyNumberFormat="1" applyFont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0" fillId="2" borderId="24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0" fontId="10" fillId="9" borderId="50" xfId="0" applyFont="1" applyFill="1" applyBorder="1" applyAlignment="1">
      <alignment horizontal="center" vertical="center"/>
    </xf>
    <xf numFmtId="164" fontId="10" fillId="33" borderId="16" xfId="1" applyFont="1" applyFill="1" applyBorder="1">
      <alignment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0" fontId="10" fillId="9" borderId="44" xfId="0" applyFont="1" applyFill="1" applyBorder="1" applyAlignment="1">
      <alignment horizontal="center" vertical="center"/>
    </xf>
    <xf numFmtId="0" fontId="10" fillId="9" borderId="45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0" fontId="10" fillId="9" borderId="46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10" fillId="9" borderId="36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0" fillId="9" borderId="51" xfId="0" applyFont="1" applyFill="1" applyBorder="1" applyAlignment="1">
      <alignment horizontal="center" vertical="center"/>
    </xf>
    <xf numFmtId="0" fontId="10" fillId="9" borderId="54" xfId="0" applyFont="1" applyFill="1" applyBorder="1" applyAlignment="1">
      <alignment horizontal="center" vertical="center"/>
    </xf>
    <xf numFmtId="0" fontId="11" fillId="9" borderId="51" xfId="0" applyFont="1" applyFill="1" applyBorder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0" fillId="9" borderId="37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42" fillId="0" borderId="38" xfId="0" applyFont="1" applyBorder="1"/>
    <xf numFmtId="0" fontId="40" fillId="9" borderId="24" xfId="0" applyFont="1" applyFill="1" applyBorder="1" applyAlignment="1">
      <alignment horizontal="center" vertical="center"/>
    </xf>
    <xf numFmtId="0" fontId="9" fillId="2" borderId="93" xfId="0" applyFont="1" applyFill="1" applyBorder="1" applyAlignment="1">
      <alignment horizontal="center" vertical="center"/>
    </xf>
    <xf numFmtId="0" fontId="44" fillId="9" borderId="51" xfId="0" applyFont="1" applyFill="1" applyBorder="1" applyAlignment="1">
      <alignment horizontal="center" vertical="center"/>
    </xf>
    <xf numFmtId="0" fontId="44" fillId="9" borderId="24" xfId="0" applyFont="1" applyFill="1" applyBorder="1" applyAlignment="1">
      <alignment horizontal="center" vertical="center"/>
    </xf>
    <xf numFmtId="0" fontId="43" fillId="2" borderId="24" xfId="0" applyFont="1" applyFill="1" applyBorder="1" applyAlignment="1">
      <alignment horizontal="center" vertical="center"/>
    </xf>
    <xf numFmtId="165" fontId="7" fillId="0" borderId="13" xfId="0" applyNumberFormat="1" applyFont="1" applyBorder="1" applyAlignment="1" applyProtection="1">
      <alignment horizontal="center" vertical="center"/>
      <protection hidden="1"/>
    </xf>
    <xf numFmtId="165" fontId="7" fillId="0" borderId="16" xfId="0" applyNumberFormat="1" applyFont="1" applyBorder="1" applyAlignment="1" applyProtection="1">
      <alignment horizontal="center" vertical="center"/>
      <protection hidden="1"/>
    </xf>
    <xf numFmtId="165" fontId="7" fillId="0" borderId="53" xfId="0" applyNumberFormat="1" applyFont="1" applyBorder="1" applyAlignment="1" applyProtection="1">
      <alignment horizontal="center" vertical="center"/>
      <protection hidden="1"/>
    </xf>
    <xf numFmtId="166" fontId="8" fillId="2" borderId="13" xfId="0" applyNumberFormat="1" applyFont="1" applyFill="1" applyBorder="1" applyAlignment="1" applyProtection="1">
      <alignment horizontal="center" vertical="center"/>
      <protection hidden="1"/>
    </xf>
    <xf numFmtId="166" fontId="8" fillId="2" borderId="16" xfId="0" applyNumberFormat="1" applyFont="1" applyFill="1" applyBorder="1" applyAlignment="1" applyProtection="1">
      <alignment horizontal="center" vertical="center"/>
      <protection hidden="1"/>
    </xf>
    <xf numFmtId="166" fontId="8" fillId="2" borderId="53" xfId="0" applyNumberFormat="1" applyFont="1" applyFill="1" applyBorder="1" applyAlignment="1" applyProtection="1">
      <alignment horizontal="center" vertical="center"/>
      <protection hidden="1"/>
    </xf>
    <xf numFmtId="167" fontId="7" fillId="2" borderId="82" xfId="0" applyNumberFormat="1" applyFont="1" applyFill="1" applyBorder="1" applyAlignment="1" applyProtection="1">
      <alignment horizontal="center" vertical="center"/>
      <protection locked="0"/>
    </xf>
    <xf numFmtId="167" fontId="7" fillId="2" borderId="16" xfId="0" applyNumberFormat="1" applyFont="1" applyFill="1" applyBorder="1" applyAlignment="1" applyProtection="1">
      <alignment horizontal="center" vertical="center"/>
      <protection locked="0"/>
    </xf>
    <xf numFmtId="167" fontId="7" fillId="2" borderId="4" xfId="0" applyNumberFormat="1" applyFont="1" applyFill="1" applyBorder="1" applyAlignment="1" applyProtection="1">
      <alignment horizontal="center" vertical="center"/>
      <protection locked="0"/>
    </xf>
    <xf numFmtId="0" fontId="31" fillId="9" borderId="42" xfId="0" applyFont="1" applyFill="1" applyBorder="1" applyAlignment="1">
      <alignment horizontal="center" vertical="center" textRotation="90" wrapText="1"/>
    </xf>
    <xf numFmtId="0" fontId="31" fillId="9" borderId="13" xfId="0" applyFont="1" applyFill="1" applyBorder="1" applyAlignment="1">
      <alignment horizontal="center" vertical="center" textRotation="90" wrapText="1"/>
    </xf>
    <xf numFmtId="0" fontId="9" fillId="11" borderId="11" xfId="0" applyFont="1" applyFill="1" applyBorder="1" applyAlignment="1">
      <alignment horizontal="center" vertical="center" textRotation="90"/>
    </xf>
    <xf numFmtId="0" fontId="9" fillId="11" borderId="13" xfId="0" applyFont="1" applyFill="1" applyBorder="1" applyAlignment="1">
      <alignment horizontal="center" vertical="center" textRotation="90"/>
    </xf>
    <xf numFmtId="0" fontId="9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22" fontId="18" fillId="2" borderId="7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4" fontId="9" fillId="2" borderId="0" xfId="1" applyFont="1" applyFill="1" applyAlignment="1">
      <alignment horizontal="center" vertical="center"/>
    </xf>
    <xf numFmtId="164" fontId="19" fillId="0" borderId="0" xfId="1" applyFont="1" applyAlignment="1">
      <alignment horizontal="center" vertical="center"/>
    </xf>
    <xf numFmtId="164" fontId="22" fillId="2" borderId="0" xfId="1" applyFont="1" applyFill="1" applyAlignment="1">
      <alignment horizontal="center" vertical="center"/>
    </xf>
    <xf numFmtId="164" fontId="30" fillId="2" borderId="0" xfId="1" applyFont="1" applyFill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164" fontId="20" fillId="2" borderId="12" xfId="1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29" fillId="10" borderId="7" xfId="0" applyFont="1" applyFill="1" applyBorder="1" applyAlignment="1">
      <alignment horizontal="center" vertical="center"/>
    </xf>
    <xf numFmtId="0" fontId="34" fillId="10" borderId="7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0" borderId="52" xfId="0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166" fontId="8" fillId="2" borderId="42" xfId="0" applyNumberFormat="1" applyFont="1" applyFill="1" applyBorder="1" applyAlignment="1" applyProtection="1">
      <alignment horizontal="center" vertical="center"/>
      <protection hidden="1"/>
    </xf>
    <xf numFmtId="166" fontId="8" fillId="2" borderId="4" xfId="0" applyNumberFormat="1" applyFont="1" applyFill="1" applyBorder="1" applyAlignment="1" applyProtection="1">
      <alignment horizontal="center" vertical="center"/>
      <protection hidden="1"/>
    </xf>
    <xf numFmtId="167" fontId="7" fillId="2" borderId="53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67" fontId="36" fillId="2" borderId="63" xfId="0" applyNumberFormat="1" applyFont="1" applyFill="1" applyBorder="1" applyAlignment="1" applyProtection="1">
      <alignment horizontal="center" vertical="center"/>
      <protection locked="0"/>
    </xf>
    <xf numFmtId="167" fontId="36" fillId="2" borderId="88" xfId="0" applyNumberFormat="1" applyFont="1" applyFill="1" applyBorder="1" applyAlignment="1" applyProtection="1">
      <alignment horizontal="center" vertical="center"/>
      <protection locked="0"/>
    </xf>
    <xf numFmtId="165" fontId="36" fillId="2" borderId="87" xfId="0" applyNumberFormat="1" applyFont="1" applyFill="1" applyBorder="1" applyAlignment="1" applyProtection="1">
      <alignment horizontal="center" vertical="center"/>
      <protection hidden="1"/>
    </xf>
    <xf numFmtId="165" fontId="36" fillId="2" borderId="63" xfId="0" applyNumberFormat="1" applyFont="1" applyFill="1" applyBorder="1" applyAlignment="1" applyProtection="1">
      <alignment horizontal="center" vertical="center"/>
      <protection hidden="1"/>
    </xf>
    <xf numFmtId="0" fontId="37" fillId="0" borderId="7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16" fontId="37" fillId="0" borderId="7" xfId="0" applyNumberFormat="1" applyFont="1" applyBorder="1" applyAlignment="1">
      <alignment horizontal="center" vertical="center"/>
    </xf>
    <xf numFmtId="167" fontId="36" fillId="2" borderId="66" xfId="0" applyNumberFormat="1" applyFont="1" applyFill="1" applyBorder="1" applyAlignment="1" applyProtection="1">
      <alignment horizontal="center" vertical="center"/>
      <protection locked="0"/>
    </xf>
    <xf numFmtId="167" fontId="36" fillId="2" borderId="0" xfId="0" applyNumberFormat="1" applyFont="1" applyFill="1" applyAlignment="1" applyProtection="1">
      <alignment horizontal="center" vertical="center"/>
      <protection locked="0"/>
    </xf>
    <xf numFmtId="165" fontId="36" fillId="2" borderId="0" xfId="0" applyNumberFormat="1" applyFont="1" applyFill="1" applyAlignment="1" applyProtection="1">
      <alignment horizontal="center" vertical="center"/>
      <protection hidden="1"/>
    </xf>
    <xf numFmtId="164" fontId="45" fillId="13" borderId="13" xfId="1" applyFont="1" applyFill="1" applyBorder="1">
      <alignment vertical="center"/>
    </xf>
    <xf numFmtId="0" fontId="46" fillId="17" borderId="13" xfId="0" applyFont="1" applyFill="1" applyBorder="1" applyAlignment="1">
      <alignment horizontal="center" vertical="center" textRotation="90"/>
    </xf>
    <xf numFmtId="0" fontId="46" fillId="17" borderId="16" xfId="0" applyFont="1" applyFill="1" applyBorder="1" applyAlignment="1">
      <alignment horizontal="center" vertical="center" textRotation="90"/>
    </xf>
    <xf numFmtId="0" fontId="46" fillId="17" borderId="4" xfId="0" applyFont="1" applyFill="1" applyBorder="1" applyAlignment="1">
      <alignment horizontal="center" vertical="center" textRotation="90"/>
    </xf>
    <xf numFmtId="0" fontId="48" fillId="20" borderId="13" xfId="0" applyFont="1" applyFill="1" applyBorder="1" applyAlignment="1">
      <alignment horizontal="center" vertical="center" textRotation="90"/>
    </xf>
    <xf numFmtId="0" fontId="47" fillId="21" borderId="16" xfId="0" applyFont="1" applyFill="1" applyBorder="1" applyAlignment="1">
      <alignment horizontal="center" vertical="center" textRotation="90"/>
    </xf>
    <xf numFmtId="0" fontId="47" fillId="21" borderId="4" xfId="0" applyFont="1" applyFill="1" applyBorder="1" applyAlignment="1">
      <alignment horizontal="center" vertical="center" textRotation="90"/>
    </xf>
    <xf numFmtId="0" fontId="46" fillId="22" borderId="13" xfId="0" applyFont="1" applyFill="1" applyBorder="1" applyAlignment="1">
      <alignment horizontal="center" vertical="center" textRotation="90"/>
    </xf>
    <xf numFmtId="0" fontId="46" fillId="22" borderId="16" xfId="0" applyFont="1" applyFill="1" applyBorder="1" applyAlignment="1">
      <alignment horizontal="center" vertical="center" textRotation="90"/>
    </xf>
    <xf numFmtId="0" fontId="46" fillId="22" borderId="4" xfId="0" applyFont="1" applyFill="1" applyBorder="1" applyAlignment="1">
      <alignment horizontal="center" vertical="center" textRotation="90"/>
    </xf>
    <xf numFmtId="0" fontId="48" fillId="19" borderId="13" xfId="0" applyFont="1" applyFill="1" applyBorder="1" applyAlignment="1">
      <alignment horizontal="center" vertical="center" textRotation="90"/>
    </xf>
    <xf numFmtId="0" fontId="48" fillId="19" borderId="16" xfId="0" applyFont="1" applyFill="1" applyBorder="1" applyAlignment="1">
      <alignment horizontal="center" vertical="center" textRotation="90"/>
    </xf>
    <xf numFmtId="0" fontId="48" fillId="19" borderId="4" xfId="0" applyFont="1" applyFill="1" applyBorder="1" applyAlignment="1">
      <alignment horizontal="center" vertical="center" textRotation="90"/>
    </xf>
    <xf numFmtId="0" fontId="48" fillId="24" borderId="13" xfId="0" applyFont="1" applyFill="1" applyBorder="1" applyAlignment="1">
      <alignment horizontal="center" vertical="center" textRotation="90"/>
    </xf>
    <xf numFmtId="0" fontId="48" fillId="24" borderId="16" xfId="0" applyFont="1" applyFill="1" applyBorder="1" applyAlignment="1">
      <alignment horizontal="center" vertical="center" textRotation="90"/>
    </xf>
    <xf numFmtId="0" fontId="48" fillId="24" borderId="4" xfId="0" applyFont="1" applyFill="1" applyBorder="1" applyAlignment="1">
      <alignment horizontal="center" vertical="center" textRotation="90"/>
    </xf>
    <xf numFmtId="0" fontId="46" fillId="25" borderId="7" xfId="0" applyFont="1" applyFill="1" applyBorder="1" applyAlignment="1">
      <alignment horizontal="center" vertical="center" textRotation="90"/>
    </xf>
    <xf numFmtId="0" fontId="46" fillId="25" borderId="11" xfId="0" applyFont="1" applyFill="1" applyBorder="1" applyAlignment="1">
      <alignment horizontal="center" vertical="center" textRotation="90"/>
    </xf>
    <xf numFmtId="0" fontId="46" fillId="25" borderId="12" xfId="0" applyFont="1" applyFill="1" applyBorder="1" applyAlignment="1">
      <alignment horizontal="center" vertical="center" textRotation="90"/>
    </xf>
    <xf numFmtId="0" fontId="46" fillId="25" borderId="9" xfId="0" applyFont="1" applyFill="1" applyBorder="1" applyAlignment="1">
      <alignment horizontal="center" vertical="center" textRotation="90"/>
    </xf>
    <xf numFmtId="0" fontId="46" fillId="25" borderId="5" xfId="0" applyFont="1" applyFill="1" applyBorder="1" applyAlignment="1">
      <alignment horizontal="center" vertical="center" textRotation="90"/>
    </xf>
    <xf numFmtId="0" fontId="46" fillId="25" borderId="19" xfId="0" applyFont="1" applyFill="1" applyBorder="1" applyAlignment="1">
      <alignment horizontal="center" vertical="center" textRotation="90"/>
    </xf>
    <xf numFmtId="0" fontId="46" fillId="17" borderId="13" xfId="0" applyFont="1" applyFill="1" applyBorder="1" applyAlignment="1">
      <alignment horizontal="center" vertical="center" textRotation="90"/>
    </xf>
    <xf numFmtId="0" fontId="46" fillId="17" borderId="16" xfId="0" applyFont="1" applyFill="1" applyBorder="1" applyAlignment="1">
      <alignment horizontal="center" vertical="center" textRotation="90"/>
    </xf>
    <xf numFmtId="0" fontId="46" fillId="17" borderId="4" xfId="0" applyFont="1" applyFill="1" applyBorder="1" applyAlignment="1">
      <alignment horizontal="center" vertical="center" textRotation="90"/>
    </xf>
    <xf numFmtId="0" fontId="48" fillId="29" borderId="13" xfId="0" applyFont="1" applyFill="1" applyBorder="1" applyAlignment="1">
      <alignment horizontal="center" vertical="center" textRotation="90"/>
    </xf>
    <xf numFmtId="0" fontId="48" fillId="29" borderId="16" xfId="0" applyFont="1" applyFill="1" applyBorder="1" applyAlignment="1">
      <alignment horizontal="center" vertical="center" textRotation="90"/>
    </xf>
    <xf numFmtId="0" fontId="48" fillId="29" borderId="4" xfId="0" applyFont="1" applyFill="1" applyBorder="1" applyAlignment="1">
      <alignment horizontal="center" vertical="center" textRotation="90"/>
    </xf>
    <xf numFmtId="0" fontId="48" fillId="15" borderId="13" xfId="0" applyFont="1" applyFill="1" applyBorder="1" applyAlignment="1">
      <alignment horizontal="center" vertical="center" textRotation="90"/>
    </xf>
    <xf numFmtId="0" fontId="48" fillId="15" borderId="16" xfId="0" applyFont="1" applyFill="1" applyBorder="1" applyAlignment="1">
      <alignment horizontal="center" vertical="center" textRotation="90"/>
    </xf>
    <xf numFmtId="0" fontId="48" fillId="15" borderId="4" xfId="0" applyFont="1" applyFill="1" applyBorder="1" applyAlignment="1">
      <alignment horizontal="center" vertical="center" textRotation="90"/>
    </xf>
    <xf numFmtId="0" fontId="46" fillId="14" borderId="13" xfId="0" applyFont="1" applyFill="1" applyBorder="1" applyAlignment="1">
      <alignment horizontal="center" vertical="center" textRotation="90" wrapText="1"/>
    </xf>
    <xf numFmtId="0" fontId="46" fillId="14" borderId="16" xfId="0" applyFont="1" applyFill="1" applyBorder="1" applyAlignment="1">
      <alignment horizontal="center" vertical="center" textRotation="90" wrapText="1"/>
    </xf>
    <xf numFmtId="0" fontId="46" fillId="14" borderId="4" xfId="0" applyFont="1" applyFill="1" applyBorder="1" applyAlignment="1">
      <alignment horizontal="center" vertical="center" textRotation="90" wrapText="1"/>
    </xf>
    <xf numFmtId="0" fontId="48" fillId="16" borderId="13" xfId="0" applyFont="1" applyFill="1" applyBorder="1" applyAlignment="1">
      <alignment horizontal="center" vertical="center" textRotation="90"/>
    </xf>
    <xf numFmtId="0" fontId="48" fillId="16" borderId="16" xfId="0" applyFont="1" applyFill="1" applyBorder="1" applyAlignment="1">
      <alignment horizontal="center" vertical="center" textRotation="90"/>
    </xf>
    <xf numFmtId="0" fontId="48" fillId="16" borderId="4" xfId="0" applyFont="1" applyFill="1" applyBorder="1" applyAlignment="1">
      <alignment horizontal="center" vertical="center" textRotation="90"/>
    </xf>
    <xf numFmtId="0" fontId="48" fillId="23" borderId="13" xfId="0" applyFont="1" applyFill="1" applyBorder="1" applyAlignment="1">
      <alignment horizontal="center" vertical="center" textRotation="90"/>
    </xf>
    <xf numFmtId="0" fontId="48" fillId="23" borderId="16" xfId="0" applyFont="1" applyFill="1" applyBorder="1" applyAlignment="1">
      <alignment horizontal="center" vertical="center" textRotation="90"/>
    </xf>
    <xf numFmtId="0" fontId="48" fillId="23" borderId="4" xfId="0" applyFont="1" applyFill="1" applyBorder="1" applyAlignment="1">
      <alignment horizontal="center" vertical="center" textRotation="90"/>
    </xf>
    <xf numFmtId="0" fontId="48" fillId="26" borderId="13" xfId="0" applyFont="1" applyFill="1" applyBorder="1" applyAlignment="1">
      <alignment horizontal="center" vertical="center" textRotation="90"/>
    </xf>
    <xf numFmtId="0" fontId="48" fillId="26" borderId="16" xfId="0" applyFont="1" applyFill="1" applyBorder="1" applyAlignment="1">
      <alignment horizontal="center" vertical="center" textRotation="90"/>
    </xf>
    <xf numFmtId="0" fontId="48" fillId="26" borderId="4" xfId="0" applyFont="1" applyFill="1" applyBorder="1" applyAlignment="1">
      <alignment horizontal="center" vertical="center" textRotation="90"/>
    </xf>
    <xf numFmtId="0" fontId="46" fillId="28" borderId="13" xfId="0" applyFont="1" applyFill="1" applyBorder="1" applyAlignment="1">
      <alignment horizontal="center" vertical="center" textRotation="90"/>
    </xf>
    <xf numFmtId="0" fontId="46" fillId="28" borderId="16" xfId="0" applyFont="1" applyFill="1" applyBorder="1" applyAlignment="1">
      <alignment horizontal="center" vertical="center" textRotation="90"/>
    </xf>
    <xf numFmtId="0" fontId="46" fillId="28" borderId="53" xfId="0" applyFont="1" applyFill="1" applyBorder="1" applyAlignment="1">
      <alignment horizontal="center" vertical="center" textRotation="90"/>
    </xf>
    <xf numFmtId="0" fontId="46" fillId="15" borderId="4" xfId="0" applyFont="1" applyFill="1" applyBorder="1" applyAlignment="1">
      <alignment horizontal="center" vertical="center" textRotation="90"/>
    </xf>
    <xf numFmtId="0" fontId="48" fillId="27" borderId="13" xfId="0" applyFont="1" applyFill="1" applyBorder="1" applyAlignment="1">
      <alignment horizontal="center" vertical="center" textRotation="90"/>
    </xf>
    <xf numFmtId="0" fontId="48" fillId="27" borderId="16" xfId="0" applyFont="1" applyFill="1" applyBorder="1" applyAlignment="1">
      <alignment horizontal="center" vertical="center" textRotation="90"/>
    </xf>
    <xf numFmtId="0" fontId="48" fillId="27" borderId="4" xfId="0" applyFont="1" applyFill="1" applyBorder="1" applyAlignment="1">
      <alignment horizontal="center" vertical="center" textRotation="90"/>
    </xf>
    <xf numFmtId="0" fontId="48" fillId="20" borderId="13" xfId="0" applyFont="1" applyFill="1" applyBorder="1" applyAlignment="1">
      <alignment horizontal="center" vertical="center" textRotation="90"/>
    </xf>
    <xf numFmtId="0" fontId="48" fillId="20" borderId="16" xfId="0" applyFont="1" applyFill="1" applyBorder="1" applyAlignment="1">
      <alignment horizontal="center" vertical="center" textRotation="90"/>
    </xf>
    <xf numFmtId="0" fontId="48" fillId="20" borderId="4" xfId="0" applyFont="1" applyFill="1" applyBorder="1" applyAlignment="1">
      <alignment horizontal="center" vertical="center" textRotation="90"/>
    </xf>
    <xf numFmtId="0" fontId="46" fillId="18" borderId="13" xfId="0" applyFont="1" applyFill="1" applyBorder="1" applyAlignment="1">
      <alignment horizontal="center" vertical="center" textRotation="90"/>
    </xf>
    <xf numFmtId="0" fontId="46" fillId="18" borderId="16" xfId="0" applyFont="1" applyFill="1" applyBorder="1" applyAlignment="1">
      <alignment horizontal="center" vertical="center" textRotation="90"/>
    </xf>
    <xf numFmtId="0" fontId="46" fillId="18" borderId="4" xfId="0" applyFont="1" applyFill="1" applyBorder="1" applyAlignment="1">
      <alignment horizontal="center" vertical="center" textRotation="90"/>
    </xf>
    <xf numFmtId="164" fontId="44" fillId="33" borderId="16" xfId="1" applyFont="1" applyFill="1" applyBorder="1">
      <alignment vertical="center"/>
    </xf>
    <xf numFmtId="0" fontId="44" fillId="9" borderId="22" xfId="0" applyFont="1" applyFill="1" applyBorder="1" applyAlignment="1">
      <alignment horizontal="center" vertical="center"/>
    </xf>
    <xf numFmtId="0" fontId="46" fillId="17" borderId="7" xfId="0" applyFont="1" applyFill="1" applyBorder="1" applyAlignment="1">
      <alignment horizontal="center" vertical="center" textRotation="90"/>
    </xf>
    <xf numFmtId="0" fontId="46" fillId="17" borderId="12" xfId="0" applyFont="1" applyFill="1" applyBorder="1" applyAlignment="1">
      <alignment horizontal="center" vertical="center" textRotation="90"/>
    </xf>
    <xf numFmtId="0" fontId="46" fillId="15" borderId="11" xfId="0" applyFont="1" applyFill="1" applyBorder="1" applyAlignment="1">
      <alignment horizontal="center" vertical="center" textRotation="90"/>
    </xf>
    <xf numFmtId="0" fontId="46" fillId="15" borderId="9" xfId="0" applyFont="1" applyFill="1" applyBorder="1" applyAlignment="1">
      <alignment horizontal="center" vertical="center" textRotation="90"/>
    </xf>
    <xf numFmtId="0" fontId="46" fillId="17" borderId="5" xfId="0" applyFont="1" applyFill="1" applyBorder="1" applyAlignment="1">
      <alignment horizontal="center" vertical="center" textRotation="90"/>
    </xf>
    <xf numFmtId="0" fontId="47" fillId="21" borderId="11" xfId="0" applyFont="1" applyFill="1" applyBorder="1" applyAlignment="1">
      <alignment horizontal="center" vertical="center" textRotation="90"/>
    </xf>
    <xf numFmtId="0" fontId="47" fillId="21" borderId="9" xfId="0" applyFont="1" applyFill="1" applyBorder="1" applyAlignment="1">
      <alignment horizontal="center" vertical="center" textRotation="90"/>
    </xf>
    <xf numFmtId="0" fontId="39" fillId="0" borderId="67" xfId="0" applyFont="1" applyBorder="1" applyAlignment="1">
      <alignment horizontal="center"/>
    </xf>
    <xf numFmtId="0" fontId="39" fillId="0" borderId="40" xfId="0" applyFont="1" applyBorder="1" applyAlignment="1">
      <alignment horizontal="center"/>
    </xf>
    <xf numFmtId="0" fontId="39" fillId="0" borderId="38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0" fontId="39" fillId="0" borderId="69" xfId="0" applyFont="1" applyBorder="1" applyAlignment="1">
      <alignment horizontal="center"/>
    </xf>
    <xf numFmtId="0" fontId="39" fillId="0" borderId="62" xfId="0" applyFont="1" applyBorder="1" applyAlignment="1">
      <alignment horizontal="center"/>
    </xf>
    <xf numFmtId="0" fontId="39" fillId="0" borderId="63" xfId="0" applyFont="1" applyBorder="1" applyAlignment="1">
      <alignment horizontal="center"/>
    </xf>
    <xf numFmtId="0" fontId="39" fillId="0" borderId="70" xfId="0" applyFont="1" applyBorder="1" applyAlignment="1">
      <alignment horizontal="center"/>
    </xf>
    <xf numFmtId="0" fontId="39" fillId="0" borderId="56" xfId="0" applyFont="1" applyBorder="1" applyAlignment="1">
      <alignment horizontal="center"/>
    </xf>
    <xf numFmtId="0" fontId="39" fillId="0" borderId="41" xfId="0" applyFont="1" applyBorder="1" applyAlignment="1">
      <alignment horizontal="center"/>
    </xf>
    <xf numFmtId="0" fontId="39" fillId="0" borderId="68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64" xfId="0" applyFont="1" applyBorder="1" applyAlignment="1">
      <alignment horizontal="center"/>
    </xf>
    <xf numFmtId="0" fontId="39" fillId="0" borderId="57" xfId="0" applyFont="1" applyBorder="1" applyAlignment="1">
      <alignment horizontal="center"/>
    </xf>
    <xf numFmtId="0" fontId="39" fillId="0" borderId="65" xfId="0" applyFont="1" applyBorder="1" applyAlignment="1">
      <alignment horizontal="center"/>
    </xf>
    <xf numFmtId="0" fontId="39" fillId="0" borderId="96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164" fontId="44" fillId="13" borderId="16" xfId="1" applyFont="1" applyFill="1" applyBorder="1">
      <alignment vertical="center"/>
    </xf>
  </cellXfs>
  <cellStyles count="6">
    <cellStyle name="Hyperlink" xfId="2" xr:uid="{AD29F4D6-31EA-48F1-A7C1-309FA1EC6833}"/>
    <cellStyle name="Normal" xfId="0" builtinId="0"/>
    <cellStyle name="Normal 2" xfId="3" xr:uid="{F0DA6B32-2776-4250-A487-7BFE6473E05C}"/>
    <cellStyle name="Normal 2 2" xfId="4" xr:uid="{F70C2307-A929-4772-AA62-04674CB3A430}"/>
    <cellStyle name="Normal 3" xfId="5" xr:uid="{C6BC2869-54C2-4D35-BB7C-233B16526FA7}"/>
    <cellStyle name="표준 2 5" xfId="1" xr:uid="{92281057-E249-4226-983A-A7E2937F40AF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Gill Sans MT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Gill Sans MT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Gill Sans MT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6C3FF"/>
      <color rgb="FFCC00FF"/>
      <color rgb="FFC4A1E7"/>
      <color rgb="FFC0C0C0"/>
      <color rgb="FFCCCCFF"/>
      <color rgb="FF9933FF"/>
      <color rgb="FFF79FB8"/>
      <color rgb="FFA36DD9"/>
      <color rgb="FF003366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74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connections" Target="connections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" Type="http://schemas.openxmlformats.org/officeDocument/2006/relationships/externalLink" Target="externalLinks/externalLink3.xml"/><Relationship Id="rId7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533440</xdr:colOff>
      <xdr:row>10</xdr:row>
      <xdr:rowOff>152400</xdr:rowOff>
    </xdr:from>
    <xdr:to>
      <xdr:col>44</xdr:col>
      <xdr:colOff>76200</xdr:colOff>
      <xdr:row>19</xdr:row>
      <xdr:rowOff>609600</xdr:rowOff>
    </xdr:to>
    <xdr:sp macro="" textlink="">
      <xdr:nvSpPr>
        <xdr:cNvPr id="20756" name="Freeform 118">
          <a:extLst>
            <a:ext uri="{FF2B5EF4-FFF2-40B4-BE49-F238E27FC236}">
              <a16:creationId xmlns:a16="http://schemas.microsoft.com/office/drawing/2014/main" id="{59C32EA5-C124-4A89-A09A-4A4CB3E8C9C3}"/>
            </a:ext>
          </a:extLst>
        </xdr:cNvPr>
        <xdr:cNvSpPr/>
      </xdr:nvSpPr>
      <xdr:spPr>
        <a:xfrm>
          <a:off x="28460740" y="5753100"/>
          <a:ext cx="16611560" cy="7315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476250</xdr:colOff>
      <xdr:row>10</xdr:row>
      <xdr:rowOff>22224</xdr:rowOff>
    </xdr:from>
    <xdr:to>
      <xdr:col>31</xdr:col>
      <xdr:colOff>891876</xdr:colOff>
      <xdr:row>12</xdr:row>
      <xdr:rowOff>370569</xdr:rowOff>
    </xdr:to>
    <xdr:sp macro="" textlink="">
      <xdr:nvSpPr>
        <xdr:cNvPr id="20758" name="TextBox 401">
          <a:extLst>
            <a:ext uri="{FF2B5EF4-FFF2-40B4-BE49-F238E27FC236}">
              <a16:creationId xmlns:a16="http://schemas.microsoft.com/office/drawing/2014/main" id="{62DB01FA-AA0F-4126-87B4-F64649A30719}"/>
            </a:ext>
          </a:extLst>
        </xdr:cNvPr>
        <xdr:cNvSpPr txBox="1"/>
      </xdr:nvSpPr>
      <xdr:spPr>
        <a:xfrm flipH="1">
          <a:off x="28403550" y="14766924"/>
          <a:ext cx="3616026" cy="18723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377M</a:t>
          </a:r>
        </a:p>
      </xdr:txBody>
    </xdr:sp>
    <xdr:clientData/>
  </xdr:twoCellAnchor>
  <xdr:twoCellAnchor>
    <xdr:from>
      <xdr:col>30</xdr:col>
      <xdr:colOff>752514</xdr:colOff>
      <xdr:row>10</xdr:row>
      <xdr:rowOff>0</xdr:rowOff>
    </xdr:from>
    <xdr:to>
      <xdr:col>41</xdr:col>
      <xdr:colOff>751781</xdr:colOff>
      <xdr:row>20</xdr:row>
      <xdr:rowOff>228600</xdr:rowOff>
    </xdr:to>
    <xdr:sp macro="" textlink="">
      <xdr:nvSpPr>
        <xdr:cNvPr id="20755" name="TextBox 400">
          <a:extLst>
            <a:ext uri="{FF2B5EF4-FFF2-40B4-BE49-F238E27FC236}">
              <a16:creationId xmlns:a16="http://schemas.microsoft.com/office/drawing/2014/main" id="{D08EBD38-BDEB-44C8-A1C3-9B1A506EDF2A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30813414" y="14159596"/>
          <a:ext cx="11734067" cy="8433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BENJAMIN FRANKLIN 0RDONE1MA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400M/54M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ATA 28/0900 ATB 28/1022 ETD 30/1900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7150 CMA  JIB/SOK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3641/ LOAD 4284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13.40/15.30 M 134</a:t>
          </a:r>
        </a:p>
      </xdr:txBody>
    </xdr:sp>
    <xdr:clientData/>
  </xdr:twoCellAnchor>
  <xdr:twoCellAnchor>
    <xdr:from>
      <xdr:col>41</xdr:col>
      <xdr:colOff>516962</xdr:colOff>
      <xdr:row>10</xdr:row>
      <xdr:rowOff>681963</xdr:rowOff>
    </xdr:from>
    <xdr:to>
      <xdr:col>43</xdr:col>
      <xdr:colOff>528922</xdr:colOff>
      <xdr:row>11</xdr:row>
      <xdr:rowOff>577459</xdr:rowOff>
    </xdr:to>
    <xdr:sp macro="" textlink="">
      <xdr:nvSpPr>
        <xdr:cNvPr id="20757" name="TextBox 402">
          <a:extLst>
            <a:ext uri="{FF2B5EF4-FFF2-40B4-BE49-F238E27FC236}">
              <a16:creationId xmlns:a16="http://schemas.microsoft.com/office/drawing/2014/main" id="{B5B9A652-C7EF-41D1-9F08-F977CEE98B0F}"/>
            </a:ext>
          </a:extLst>
        </xdr:cNvPr>
        <xdr:cNvSpPr txBox="1"/>
      </xdr:nvSpPr>
      <xdr:spPr>
        <a:xfrm flipH="1">
          <a:off x="42312662" y="15426663"/>
          <a:ext cx="2145560" cy="6574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</a:p>
      </xdr:txBody>
    </xdr:sp>
    <xdr:clientData/>
  </xdr:twoCellAnchor>
  <xdr:twoCellAnchor>
    <xdr:from>
      <xdr:col>13</xdr:col>
      <xdr:colOff>598867</xdr:colOff>
      <xdr:row>7</xdr:row>
      <xdr:rowOff>114300</xdr:rowOff>
    </xdr:from>
    <xdr:to>
      <xdr:col>16</xdr:col>
      <xdr:colOff>627442</xdr:colOff>
      <xdr:row>8</xdr:row>
      <xdr:rowOff>524043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307A8E-5D5B-4017-92ED-BEEE0EFCE911}"/>
            </a:ext>
          </a:extLst>
        </xdr:cNvPr>
        <xdr:cNvSpPr txBox="1"/>
      </xdr:nvSpPr>
      <xdr:spPr>
        <a:xfrm>
          <a:off x="8523667" y="1447800"/>
          <a:ext cx="1838325" cy="26686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7-344m</a:t>
          </a:r>
        </a:p>
      </xdr:txBody>
    </xdr:sp>
    <xdr:clientData/>
  </xdr:twoCellAnchor>
  <xdr:twoCellAnchor>
    <xdr:from>
      <xdr:col>16</xdr:col>
      <xdr:colOff>838200</xdr:colOff>
      <xdr:row>7</xdr:row>
      <xdr:rowOff>114300</xdr:rowOff>
    </xdr:from>
    <xdr:to>
      <xdr:col>20</xdr:col>
      <xdr:colOff>419099</xdr:colOff>
      <xdr:row>8</xdr:row>
      <xdr:rowOff>533400</xdr:rowOff>
    </xdr:to>
    <xdr:sp macro="" textlink="">
      <xdr:nvSpPr>
        <xdr:cNvPr id="13632" name="TextBox 6">
          <a:extLst>
            <a:ext uri="{FF2B5EF4-FFF2-40B4-BE49-F238E27FC236}">
              <a16:creationId xmlns:a16="http://schemas.microsoft.com/office/drawing/2014/main" id="{204A9592-0FA2-4476-ACCF-60E07472E9D3}"/>
            </a:ext>
          </a:extLst>
        </xdr:cNvPr>
        <xdr:cNvSpPr txBox="1"/>
      </xdr:nvSpPr>
      <xdr:spPr>
        <a:xfrm>
          <a:off x="10363200" y="1447800"/>
          <a:ext cx="2247899" cy="2667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34-371m</a:t>
          </a:r>
        </a:p>
      </xdr:txBody>
    </xdr:sp>
    <xdr:clientData/>
  </xdr:twoCellAnchor>
  <xdr:twoCellAnchor>
    <xdr:from>
      <xdr:col>20</xdr:col>
      <xdr:colOff>676882</xdr:colOff>
      <xdr:row>7</xdr:row>
      <xdr:rowOff>76199</xdr:rowOff>
    </xdr:from>
    <xdr:to>
      <xdr:col>23</xdr:col>
      <xdr:colOff>698653</xdr:colOff>
      <xdr:row>8</xdr:row>
      <xdr:rowOff>519110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A2E04E3F-8942-4CD6-A1D1-19079402FD65}"/>
            </a:ext>
          </a:extLst>
        </xdr:cNvPr>
        <xdr:cNvSpPr txBox="1"/>
      </xdr:nvSpPr>
      <xdr:spPr>
        <a:xfrm>
          <a:off x="12802207" y="1409699"/>
          <a:ext cx="1831521" cy="30956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61-494m</a:t>
          </a:r>
        </a:p>
      </xdr:txBody>
    </xdr:sp>
    <xdr:clientData/>
  </xdr:twoCellAnchor>
  <xdr:twoCellAnchor>
    <xdr:from>
      <xdr:col>28</xdr:col>
      <xdr:colOff>309871</xdr:colOff>
      <xdr:row>7</xdr:row>
      <xdr:rowOff>76200</xdr:rowOff>
    </xdr:from>
    <xdr:to>
      <xdr:col>31</xdr:col>
      <xdr:colOff>367393</xdr:colOff>
      <xdr:row>8</xdr:row>
      <xdr:rowOff>562018</xdr:rowOff>
    </xdr:to>
    <xdr:sp macro="" textlink="">
      <xdr:nvSpPr>
        <xdr:cNvPr id="13637" name="TextBox 8">
          <a:extLst>
            <a:ext uri="{FF2B5EF4-FFF2-40B4-BE49-F238E27FC236}">
              <a16:creationId xmlns:a16="http://schemas.microsoft.com/office/drawing/2014/main" id="{5484F21D-B5C2-4E42-83D1-79BD19DF14DF}"/>
            </a:ext>
          </a:extLst>
        </xdr:cNvPr>
        <xdr:cNvSpPr txBox="1"/>
      </xdr:nvSpPr>
      <xdr:spPr>
        <a:xfrm>
          <a:off x="17378671" y="1409700"/>
          <a:ext cx="1886322" cy="30484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115-695m</a:t>
          </a:r>
        </a:p>
      </xdr:txBody>
    </xdr:sp>
    <xdr:clientData/>
  </xdr:twoCellAnchor>
  <xdr:twoCellAnchor>
    <xdr:from>
      <xdr:col>35</xdr:col>
      <xdr:colOff>301082</xdr:colOff>
      <xdr:row>7</xdr:row>
      <xdr:rowOff>76200</xdr:rowOff>
    </xdr:from>
    <xdr:to>
      <xdr:col>38</xdr:col>
      <xdr:colOff>329656</xdr:colOff>
      <xdr:row>8</xdr:row>
      <xdr:rowOff>571500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D7D8488E-1D83-446B-86C8-7C2C118E838E}"/>
            </a:ext>
          </a:extLst>
        </xdr:cNvPr>
        <xdr:cNvSpPr txBox="1"/>
      </xdr:nvSpPr>
      <xdr:spPr>
        <a:xfrm>
          <a:off x="21637082" y="1409700"/>
          <a:ext cx="1857374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169-749m</a:t>
          </a:r>
        </a:p>
      </xdr:txBody>
    </xdr:sp>
    <xdr:clientData/>
  </xdr:twoCellAnchor>
  <xdr:twoCellAnchor>
    <xdr:from>
      <xdr:col>59</xdr:col>
      <xdr:colOff>440783</xdr:colOff>
      <xdr:row>7</xdr:row>
      <xdr:rowOff>154205</xdr:rowOff>
    </xdr:from>
    <xdr:to>
      <xdr:col>62</xdr:col>
      <xdr:colOff>762000</xdr:colOff>
      <xdr:row>8</xdr:row>
      <xdr:rowOff>571500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9DD5CDB5-58B1-4279-9613-4E5431772BDF}"/>
            </a:ext>
          </a:extLst>
        </xdr:cNvPr>
        <xdr:cNvSpPr txBox="1"/>
      </xdr:nvSpPr>
      <xdr:spPr>
        <a:xfrm>
          <a:off x="36407183" y="1487705"/>
          <a:ext cx="1997617" cy="22679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338-80m</a:t>
          </a:r>
        </a:p>
      </xdr:txBody>
    </xdr:sp>
    <xdr:clientData/>
  </xdr:twoCellAnchor>
  <xdr:twoCellAnchor>
    <xdr:from>
      <xdr:col>107</xdr:col>
      <xdr:colOff>69745</xdr:colOff>
      <xdr:row>7</xdr:row>
      <xdr:rowOff>152400</xdr:rowOff>
    </xdr:from>
    <xdr:to>
      <xdr:col>110</xdr:col>
      <xdr:colOff>95265</xdr:colOff>
      <xdr:row>8</xdr:row>
      <xdr:rowOff>533400</xdr:rowOff>
    </xdr:to>
    <xdr:sp macro="" textlink="">
      <xdr:nvSpPr>
        <xdr:cNvPr id="8" name="TextBox 9089">
          <a:extLst>
            <a:ext uri="{FF2B5EF4-FFF2-40B4-BE49-F238E27FC236}">
              <a16:creationId xmlns:a16="http://schemas.microsoft.com/office/drawing/2014/main" id="{8AE72B04-81F3-43FF-AD44-E8F0CA697726}"/>
            </a:ext>
          </a:extLst>
        </xdr:cNvPr>
        <xdr:cNvSpPr txBox="1"/>
      </xdr:nvSpPr>
      <xdr:spPr>
        <a:xfrm>
          <a:off x="65296945" y="1485900"/>
          <a:ext cx="1854320" cy="2286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850 - 1123 m</a:t>
          </a:r>
        </a:p>
      </xdr:txBody>
    </xdr:sp>
    <xdr:clientData/>
  </xdr:twoCellAnchor>
  <xdr:twoCellAnchor>
    <xdr:from>
      <xdr:col>48</xdr:col>
      <xdr:colOff>261302</xdr:colOff>
      <xdr:row>7</xdr:row>
      <xdr:rowOff>116471</xdr:rowOff>
    </xdr:from>
    <xdr:to>
      <xdr:col>51</xdr:col>
      <xdr:colOff>208233</xdr:colOff>
      <xdr:row>8</xdr:row>
      <xdr:rowOff>571500</xdr:rowOff>
    </xdr:to>
    <xdr:sp macro="" textlink="">
      <xdr:nvSpPr>
        <xdr:cNvPr id="13635" name="TextBox 12">
          <a:extLst>
            <a:ext uri="{FF2B5EF4-FFF2-40B4-BE49-F238E27FC236}">
              <a16:creationId xmlns:a16="http://schemas.microsoft.com/office/drawing/2014/main" id="{88A62812-1DAE-4273-B12F-4DE0CD46635F}"/>
            </a:ext>
          </a:extLst>
        </xdr:cNvPr>
        <xdr:cNvSpPr txBox="1"/>
      </xdr:nvSpPr>
      <xdr:spPr>
        <a:xfrm>
          <a:off x="29522102" y="1449971"/>
          <a:ext cx="1775731" cy="26452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411.5m-117m</a:t>
          </a:r>
        </a:p>
      </xdr:txBody>
    </xdr:sp>
    <xdr:clientData/>
  </xdr:twoCellAnchor>
  <xdr:twoCellAnchor>
    <xdr:from>
      <xdr:col>63</xdr:col>
      <xdr:colOff>296602</xdr:colOff>
      <xdr:row>7</xdr:row>
      <xdr:rowOff>139043</xdr:rowOff>
    </xdr:from>
    <xdr:to>
      <xdr:col>66</xdr:col>
      <xdr:colOff>322458</xdr:colOff>
      <xdr:row>9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ED2822-4686-4613-A8E0-859D6FBC451C}"/>
            </a:ext>
          </a:extLst>
        </xdr:cNvPr>
        <xdr:cNvSpPr txBox="1"/>
      </xdr:nvSpPr>
      <xdr:spPr>
        <a:xfrm>
          <a:off x="38701402" y="1472543"/>
          <a:ext cx="1854656" cy="241957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QC8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311.5-49.5m</a:t>
          </a:r>
        </a:p>
      </xdr:txBody>
    </xdr:sp>
    <xdr:clientData/>
  </xdr:twoCellAnchor>
  <xdr:twoCellAnchor>
    <xdr:from>
      <xdr:col>70</xdr:col>
      <xdr:colOff>346627</xdr:colOff>
      <xdr:row>7</xdr:row>
      <xdr:rowOff>114300</xdr:rowOff>
    </xdr:from>
    <xdr:to>
      <xdr:col>73</xdr:col>
      <xdr:colOff>451883</xdr:colOff>
      <xdr:row>8</xdr:row>
      <xdr:rowOff>495300</xdr:rowOff>
    </xdr:to>
    <xdr:sp macro="" textlink="">
      <xdr:nvSpPr>
        <xdr:cNvPr id="11" name="TextBox 9092">
          <a:extLst>
            <a:ext uri="{FF2B5EF4-FFF2-40B4-BE49-F238E27FC236}">
              <a16:creationId xmlns:a16="http://schemas.microsoft.com/office/drawing/2014/main" id="{CFE414E4-6A48-4288-880B-4A94F62D345C}"/>
            </a:ext>
            <a:ext uri="{147F2762-F138-4A5C-976F-8EAC2B608ADB}">
              <a16:predDERef xmlns:a16="http://schemas.microsoft.com/office/drawing/2014/main" pred="{E3711570-B6F7-475B-AFC4-7B5FC357F6CC}"/>
            </a:ext>
          </a:extLst>
        </xdr:cNvPr>
        <xdr:cNvSpPr txBox="1"/>
      </xdr:nvSpPr>
      <xdr:spPr>
        <a:xfrm>
          <a:off x="43018627" y="1447800"/>
          <a:ext cx="1934056" cy="2667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23          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750 - 217m</a:t>
          </a:r>
        </a:p>
      </xdr:txBody>
    </xdr:sp>
    <xdr:clientData/>
  </xdr:twoCellAnchor>
  <xdr:twoCellAnchor>
    <xdr:from>
      <xdr:col>74</xdr:col>
      <xdr:colOff>165672</xdr:colOff>
      <xdr:row>7</xdr:row>
      <xdr:rowOff>61912</xdr:rowOff>
    </xdr:from>
    <xdr:to>
      <xdr:col>77</xdr:col>
      <xdr:colOff>918382</xdr:colOff>
      <xdr:row>8</xdr:row>
      <xdr:rowOff>533400</xdr:rowOff>
    </xdr:to>
    <xdr:sp macro="" textlink="">
      <xdr:nvSpPr>
        <xdr:cNvPr id="12" name="TextBox 9093">
          <a:extLst>
            <a:ext uri="{FF2B5EF4-FFF2-40B4-BE49-F238E27FC236}">
              <a16:creationId xmlns:a16="http://schemas.microsoft.com/office/drawing/2014/main" id="{30638F3F-29F3-4CC2-A55F-4B154EEF23F6}"/>
            </a:ext>
            <a:ext uri="{147F2762-F138-4A5C-976F-8EAC2B608ADB}">
              <a16:predDERef xmlns:a16="http://schemas.microsoft.com/office/drawing/2014/main" pred="{F9F50A56-0E5F-4EBF-9CF5-5F01AF622E95}"/>
            </a:ext>
          </a:extLst>
        </xdr:cNvPr>
        <xdr:cNvSpPr txBox="1"/>
      </xdr:nvSpPr>
      <xdr:spPr>
        <a:xfrm>
          <a:off x="45276072" y="1395412"/>
          <a:ext cx="2276710" cy="319088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24            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720- 187m</a:t>
          </a:r>
        </a:p>
      </xdr:txBody>
    </xdr:sp>
    <xdr:clientData/>
  </xdr:twoCellAnchor>
  <xdr:twoCellAnchor>
    <xdr:from>
      <xdr:col>78</xdr:col>
      <xdr:colOff>472768</xdr:colOff>
      <xdr:row>7</xdr:row>
      <xdr:rowOff>76200</xdr:rowOff>
    </xdr:from>
    <xdr:to>
      <xdr:col>81</xdr:col>
      <xdr:colOff>800100</xdr:colOff>
      <xdr:row>8</xdr:row>
      <xdr:rowOff>609600</xdr:rowOff>
    </xdr:to>
    <xdr:sp macro="" textlink="">
      <xdr:nvSpPr>
        <xdr:cNvPr id="13" name="TextBox 9094">
          <a:extLst>
            <a:ext uri="{FF2B5EF4-FFF2-40B4-BE49-F238E27FC236}">
              <a16:creationId xmlns:a16="http://schemas.microsoft.com/office/drawing/2014/main" id="{9DA322AF-39E2-4553-A13D-6060E6F79757}"/>
            </a:ext>
          </a:extLst>
        </xdr:cNvPr>
        <xdr:cNvSpPr txBox="1"/>
      </xdr:nvSpPr>
      <xdr:spPr>
        <a:xfrm>
          <a:off x="48021568" y="1409700"/>
          <a:ext cx="1965632" cy="3048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25            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690 - 157m</a:t>
          </a:r>
        </a:p>
      </xdr:txBody>
    </xdr:sp>
    <xdr:clientData/>
  </xdr:twoCellAnchor>
  <xdr:twoCellAnchor>
    <xdr:from>
      <xdr:col>82</xdr:col>
      <xdr:colOff>352059</xdr:colOff>
      <xdr:row>7</xdr:row>
      <xdr:rowOff>114299</xdr:rowOff>
    </xdr:from>
    <xdr:to>
      <xdr:col>85</xdr:col>
      <xdr:colOff>509270</xdr:colOff>
      <xdr:row>8</xdr:row>
      <xdr:rowOff>609600</xdr:rowOff>
    </xdr:to>
    <xdr:sp macro="" textlink="">
      <xdr:nvSpPr>
        <xdr:cNvPr id="14" name="TextBox 9095">
          <a:extLst>
            <a:ext uri="{FF2B5EF4-FFF2-40B4-BE49-F238E27FC236}">
              <a16:creationId xmlns:a16="http://schemas.microsoft.com/office/drawing/2014/main" id="{FA104D15-9BC8-4D72-8E8D-415878F322B7}"/>
            </a:ext>
          </a:extLst>
        </xdr:cNvPr>
        <xdr:cNvSpPr txBox="1"/>
      </xdr:nvSpPr>
      <xdr:spPr>
        <a:xfrm>
          <a:off x="50339259" y="1447799"/>
          <a:ext cx="1986011" cy="266701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26            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 660 - 127m</a:t>
          </a:r>
        </a:p>
      </xdr:txBody>
    </xdr:sp>
    <xdr:clientData/>
  </xdr:twoCellAnchor>
  <xdr:twoCellAnchor>
    <xdr:from>
      <xdr:col>86</xdr:col>
      <xdr:colOff>329145</xdr:colOff>
      <xdr:row>7</xdr:row>
      <xdr:rowOff>38100</xdr:rowOff>
    </xdr:from>
    <xdr:to>
      <xdr:col>89</xdr:col>
      <xdr:colOff>604230</xdr:colOff>
      <xdr:row>8</xdr:row>
      <xdr:rowOff>472746</xdr:rowOff>
    </xdr:to>
    <xdr:sp macro="" textlink="">
      <xdr:nvSpPr>
        <xdr:cNvPr id="15" name="TextBox 9096">
          <a:extLst>
            <a:ext uri="{FF2B5EF4-FFF2-40B4-BE49-F238E27FC236}">
              <a16:creationId xmlns:a16="http://schemas.microsoft.com/office/drawing/2014/main" id="{988138E2-EE70-4ABC-9379-21584FDA1052}"/>
            </a:ext>
          </a:extLst>
        </xdr:cNvPr>
        <xdr:cNvSpPr txBox="1"/>
      </xdr:nvSpPr>
      <xdr:spPr>
        <a:xfrm>
          <a:off x="52754745" y="1371600"/>
          <a:ext cx="2103885" cy="339396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27         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630 - 97m</a:t>
          </a:r>
        </a:p>
      </xdr:txBody>
    </xdr:sp>
    <xdr:clientData/>
  </xdr:twoCellAnchor>
  <xdr:twoCellAnchor>
    <xdr:from>
      <xdr:col>51</xdr:col>
      <xdr:colOff>874699</xdr:colOff>
      <xdr:row>7</xdr:row>
      <xdr:rowOff>107983</xdr:rowOff>
    </xdr:from>
    <xdr:to>
      <xdr:col>54</xdr:col>
      <xdr:colOff>609600</xdr:colOff>
      <xdr:row>8</xdr:row>
      <xdr:rowOff>533400</xdr:rowOff>
    </xdr:to>
    <xdr:sp macro="" textlink="">
      <xdr:nvSpPr>
        <xdr:cNvPr id="16" name="TextBox 19">
          <a:extLst>
            <a:ext uri="{FF2B5EF4-FFF2-40B4-BE49-F238E27FC236}">
              <a16:creationId xmlns:a16="http://schemas.microsoft.com/office/drawing/2014/main" id="{D1E22A1E-96D4-4A53-AF3B-0E3DE2DDF0A3}"/>
            </a:ext>
          </a:extLst>
        </xdr:cNvPr>
        <xdr:cNvSpPr txBox="1"/>
      </xdr:nvSpPr>
      <xdr:spPr>
        <a:xfrm>
          <a:off x="31697599" y="1441483"/>
          <a:ext cx="1830401" cy="273017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QC15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392.5m-103.5m</a:t>
          </a:r>
        </a:p>
      </xdr:txBody>
    </xdr:sp>
    <xdr:clientData/>
  </xdr:twoCellAnchor>
  <xdr:twoCellAnchor>
    <xdr:from>
      <xdr:col>55</xdr:col>
      <xdr:colOff>414119</xdr:colOff>
      <xdr:row>7</xdr:row>
      <xdr:rowOff>154499</xdr:rowOff>
    </xdr:from>
    <xdr:to>
      <xdr:col>58</xdr:col>
      <xdr:colOff>762000</xdr:colOff>
      <xdr:row>8</xdr:row>
      <xdr:rowOff>533401</xdr:rowOff>
    </xdr:to>
    <xdr:sp macro="" textlink="">
      <xdr:nvSpPr>
        <xdr:cNvPr id="17" name="TextBox 20">
          <a:extLst>
            <a:ext uri="{FF2B5EF4-FFF2-40B4-BE49-F238E27FC236}">
              <a16:creationId xmlns:a16="http://schemas.microsoft.com/office/drawing/2014/main" id="{500418F7-D2DF-4D8B-8B37-2E945D420E5C}"/>
            </a:ext>
          </a:extLst>
        </xdr:cNvPr>
        <xdr:cNvSpPr txBox="1"/>
      </xdr:nvSpPr>
      <xdr:spPr>
        <a:xfrm>
          <a:off x="33942119" y="1487999"/>
          <a:ext cx="2024281" cy="226502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365.5m-76.5</a:t>
          </a:r>
        </a:p>
      </xdr:txBody>
    </xdr:sp>
    <xdr:clientData/>
  </xdr:twoCellAnchor>
  <xdr:twoCellAnchor>
    <xdr:from>
      <xdr:col>101</xdr:col>
      <xdr:colOff>758536</xdr:colOff>
      <xdr:row>7</xdr:row>
      <xdr:rowOff>114300</xdr:rowOff>
    </xdr:from>
    <xdr:to>
      <xdr:col>104</xdr:col>
      <xdr:colOff>914399</xdr:colOff>
      <xdr:row>8</xdr:row>
      <xdr:rowOff>495300</xdr:rowOff>
    </xdr:to>
    <xdr:sp macro="" textlink="">
      <xdr:nvSpPr>
        <xdr:cNvPr id="18" name="TextBox 9099">
          <a:extLst>
            <a:ext uri="{FF2B5EF4-FFF2-40B4-BE49-F238E27FC236}">
              <a16:creationId xmlns:a16="http://schemas.microsoft.com/office/drawing/2014/main" id="{3C926037-4601-49B4-9DC7-32596B66AEE3}"/>
            </a:ext>
          </a:extLst>
        </xdr:cNvPr>
        <xdr:cNvSpPr txBox="1"/>
      </xdr:nvSpPr>
      <xdr:spPr>
        <a:xfrm>
          <a:off x="62175736" y="1447800"/>
          <a:ext cx="1832263" cy="2667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QC 10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877 m - 1150 m </a:t>
          </a:r>
        </a:p>
      </xdr:txBody>
    </xdr:sp>
    <xdr:clientData/>
  </xdr:twoCellAnchor>
  <xdr:twoCellAnchor>
    <xdr:from>
      <xdr:col>44</xdr:col>
      <xdr:colOff>800100</xdr:colOff>
      <xdr:row>7</xdr:row>
      <xdr:rowOff>0</xdr:rowOff>
    </xdr:from>
    <xdr:to>
      <xdr:col>47</xdr:col>
      <xdr:colOff>685799</xdr:colOff>
      <xdr:row>8</xdr:row>
      <xdr:rowOff>457200</xdr:rowOff>
    </xdr:to>
    <xdr:sp macro="" textlink="">
      <xdr:nvSpPr>
        <xdr:cNvPr id="19" name="TextBox 22">
          <a:extLst>
            <a:ext uri="{FF2B5EF4-FFF2-40B4-BE49-F238E27FC236}">
              <a16:creationId xmlns:a16="http://schemas.microsoft.com/office/drawing/2014/main" id="{A18B18A4-5BDF-4A2A-A895-E42C9AFD682F}"/>
            </a:ext>
          </a:extLst>
        </xdr:cNvPr>
        <xdr:cNvSpPr txBox="1"/>
      </xdr:nvSpPr>
      <xdr:spPr>
        <a:xfrm>
          <a:off x="27432000" y="1333500"/>
          <a:ext cx="1828799" cy="38100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196 - 776m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-1</xdr:rowOff>
    </xdr:from>
    <xdr:to>
      <xdr:col>41</xdr:col>
      <xdr:colOff>838200</xdr:colOff>
      <xdr:row>8</xdr:row>
      <xdr:rowOff>457200</xdr:rowOff>
    </xdr:to>
    <xdr:sp macro="" textlink="">
      <xdr:nvSpPr>
        <xdr:cNvPr id="20" name="TextBox 23">
          <a:extLst>
            <a:ext uri="{FF2B5EF4-FFF2-40B4-BE49-F238E27FC236}">
              <a16:creationId xmlns:a16="http://schemas.microsoft.com/office/drawing/2014/main" id="{D623AD67-6DF3-46FF-A38E-ADE824A5074B}"/>
            </a:ext>
          </a:extLst>
        </xdr:cNvPr>
        <xdr:cNvSpPr txBox="1"/>
      </xdr:nvSpPr>
      <xdr:spPr>
        <a:xfrm>
          <a:off x="23774400" y="1333499"/>
          <a:ext cx="1828800" cy="38100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18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271 - 803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44</xdr:col>
      <xdr:colOff>560162</xdr:colOff>
      <xdr:row>8</xdr:row>
      <xdr:rowOff>518598</xdr:rowOff>
    </xdr:to>
    <xdr:sp macro="" textlink="">
      <xdr:nvSpPr>
        <xdr:cNvPr id="21" name="TextBox 24">
          <a:extLst>
            <a:ext uri="{FF2B5EF4-FFF2-40B4-BE49-F238E27FC236}">
              <a16:creationId xmlns:a16="http://schemas.microsoft.com/office/drawing/2014/main" id="{5DDC33D1-6C1E-46B5-9F62-3C4B2A876F64}"/>
            </a:ext>
          </a:extLst>
        </xdr:cNvPr>
        <xdr:cNvSpPr txBox="1"/>
      </xdr:nvSpPr>
      <xdr:spPr>
        <a:xfrm>
          <a:off x="25603200" y="1333500"/>
          <a:ext cx="1779362" cy="38524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298 - 830 m</a:t>
          </a:r>
        </a:p>
      </xdr:txBody>
    </xdr:sp>
    <xdr:clientData/>
  </xdr:twoCellAnchor>
  <xdr:twoCellAnchor>
    <xdr:from>
      <xdr:col>90</xdr:col>
      <xdr:colOff>383723</xdr:colOff>
      <xdr:row>7</xdr:row>
      <xdr:rowOff>76200</xdr:rowOff>
    </xdr:from>
    <xdr:to>
      <xdr:col>94</xdr:col>
      <xdr:colOff>206375</xdr:colOff>
      <xdr:row>8</xdr:row>
      <xdr:rowOff>533400</xdr:rowOff>
    </xdr:to>
    <xdr:sp macro="" textlink="">
      <xdr:nvSpPr>
        <xdr:cNvPr id="22" name="TextBox 9104">
          <a:extLst>
            <a:ext uri="{FF2B5EF4-FFF2-40B4-BE49-F238E27FC236}">
              <a16:creationId xmlns:a16="http://schemas.microsoft.com/office/drawing/2014/main" id="{185A9AAA-36B6-4240-A4A1-88BDD29AC97A}"/>
            </a:ext>
          </a:extLst>
        </xdr:cNvPr>
        <xdr:cNvSpPr txBox="1"/>
      </xdr:nvSpPr>
      <xdr:spPr>
        <a:xfrm>
          <a:off x="55247723" y="1409700"/>
          <a:ext cx="2261052" cy="3048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06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600-67m                  </a:t>
          </a:r>
        </a:p>
      </xdr:txBody>
    </xdr:sp>
    <xdr:clientData/>
  </xdr:twoCellAnchor>
  <xdr:twoCellAnchor>
    <xdr:from>
      <xdr:col>95</xdr:col>
      <xdr:colOff>177800</xdr:colOff>
      <xdr:row>7</xdr:row>
      <xdr:rowOff>114300</xdr:rowOff>
    </xdr:from>
    <xdr:to>
      <xdr:col>98</xdr:col>
      <xdr:colOff>413657</xdr:colOff>
      <xdr:row>8</xdr:row>
      <xdr:rowOff>533400</xdr:rowOff>
    </xdr:to>
    <xdr:sp macro="" textlink="">
      <xdr:nvSpPr>
        <xdr:cNvPr id="23" name="TextBox 9105">
          <a:extLst>
            <a:ext uri="{FF2B5EF4-FFF2-40B4-BE49-F238E27FC236}">
              <a16:creationId xmlns:a16="http://schemas.microsoft.com/office/drawing/2014/main" id="{E2A95402-BFDD-4E9F-8C46-1936D5AD21FA}"/>
            </a:ext>
          </a:extLst>
        </xdr:cNvPr>
        <xdr:cNvSpPr txBox="1"/>
      </xdr:nvSpPr>
      <xdr:spPr>
        <a:xfrm>
          <a:off x="58089800" y="1447800"/>
          <a:ext cx="2064657" cy="2667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07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573-40m                 </a:t>
          </a:r>
        </a:p>
      </xdr:txBody>
    </xdr:sp>
    <xdr:clientData/>
  </xdr:twoCellAnchor>
  <xdr:twoCellAnchor>
    <xdr:from>
      <xdr:col>31</xdr:col>
      <xdr:colOff>876300</xdr:colOff>
      <xdr:row>7</xdr:row>
      <xdr:rowOff>76199</xdr:rowOff>
    </xdr:from>
    <xdr:to>
      <xdr:col>34</xdr:col>
      <xdr:colOff>923330</xdr:colOff>
      <xdr:row>8</xdr:row>
      <xdr:rowOff>557604</xdr:rowOff>
    </xdr:to>
    <xdr:sp macro="" textlink="">
      <xdr:nvSpPr>
        <xdr:cNvPr id="13636" name="TextBox 27">
          <a:extLst>
            <a:ext uri="{FF2B5EF4-FFF2-40B4-BE49-F238E27FC236}">
              <a16:creationId xmlns:a16="http://schemas.microsoft.com/office/drawing/2014/main" id="{57DAA58A-3EB3-4115-95BC-F8D1282D72EF}"/>
            </a:ext>
          </a:extLst>
        </xdr:cNvPr>
        <xdr:cNvSpPr txBox="1"/>
      </xdr:nvSpPr>
      <xdr:spPr>
        <a:xfrm>
          <a:off x="19507200" y="1409699"/>
          <a:ext cx="1828205" cy="30043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142-722m</a:t>
          </a:r>
        </a:p>
      </xdr:txBody>
    </xdr:sp>
    <xdr:clientData/>
  </xdr:twoCellAnchor>
  <xdr:twoCellAnchor>
    <xdr:from>
      <xdr:col>13</xdr:col>
      <xdr:colOff>55419</xdr:colOff>
      <xdr:row>4</xdr:row>
      <xdr:rowOff>524991</xdr:rowOff>
    </xdr:from>
    <xdr:to>
      <xdr:col>14</xdr:col>
      <xdr:colOff>349828</xdr:colOff>
      <xdr:row>6</xdr:row>
      <xdr:rowOff>611580</xdr:rowOff>
    </xdr:to>
    <xdr:sp macro="" textlink="">
      <xdr:nvSpPr>
        <xdr:cNvPr id="25" name="Right Triangle 9107">
          <a:extLst>
            <a:ext uri="{FF2B5EF4-FFF2-40B4-BE49-F238E27FC236}">
              <a16:creationId xmlns:a16="http://schemas.microsoft.com/office/drawing/2014/main" id="{91FD25E4-4F38-44B8-A8AF-6BB0E8CC4826}"/>
            </a:ext>
          </a:extLst>
        </xdr:cNvPr>
        <xdr:cNvSpPr/>
      </xdr:nvSpPr>
      <xdr:spPr>
        <a:xfrm>
          <a:off x="7980219" y="953616"/>
          <a:ext cx="904009" cy="381864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20781</xdr:colOff>
      <xdr:row>6</xdr:row>
      <xdr:rowOff>43295</xdr:rowOff>
    </xdr:from>
    <xdr:to>
      <xdr:col>14</xdr:col>
      <xdr:colOff>55417</xdr:colOff>
      <xdr:row>7</xdr:row>
      <xdr:rowOff>51954</xdr:rowOff>
    </xdr:to>
    <xdr:sp macro="" textlink="">
      <xdr:nvSpPr>
        <xdr:cNvPr id="26" name="TextBox 9108">
          <a:extLst>
            <a:ext uri="{FF2B5EF4-FFF2-40B4-BE49-F238E27FC236}">
              <a16:creationId xmlns:a16="http://schemas.microsoft.com/office/drawing/2014/main" id="{06436FBD-CF6B-4EE6-BDF4-0560AE197334}"/>
            </a:ext>
          </a:extLst>
        </xdr:cNvPr>
        <xdr:cNvSpPr txBox="1"/>
      </xdr:nvSpPr>
      <xdr:spPr>
        <a:xfrm>
          <a:off x="7335981" y="1186295"/>
          <a:ext cx="1253836" cy="1991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05M</a:t>
          </a:r>
        </a:p>
      </xdr:txBody>
    </xdr:sp>
    <xdr:clientData/>
  </xdr:twoCellAnchor>
  <xdr:twoCellAnchor>
    <xdr:from>
      <xdr:col>46</xdr:col>
      <xdr:colOff>71436</xdr:colOff>
      <xdr:row>4</xdr:row>
      <xdr:rowOff>438151</xdr:rowOff>
    </xdr:from>
    <xdr:to>
      <xdr:col>47</xdr:col>
      <xdr:colOff>621820</xdr:colOff>
      <xdr:row>6</xdr:row>
      <xdr:rowOff>570823</xdr:rowOff>
    </xdr:to>
    <xdr:sp macro="" textlink="">
      <xdr:nvSpPr>
        <xdr:cNvPr id="27" name="Right Triangle 29">
          <a:extLst>
            <a:ext uri="{FF2B5EF4-FFF2-40B4-BE49-F238E27FC236}">
              <a16:creationId xmlns:a16="http://schemas.microsoft.com/office/drawing/2014/main" id="{E1928F55-49AB-40E2-BF63-EEEB9D65A972}"/>
            </a:ext>
          </a:extLst>
        </xdr:cNvPr>
        <xdr:cNvSpPr/>
      </xdr:nvSpPr>
      <xdr:spPr>
        <a:xfrm flipH="1">
          <a:off x="28113036" y="952501"/>
          <a:ext cx="1150459" cy="380322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46</xdr:col>
      <xdr:colOff>170969</xdr:colOff>
      <xdr:row>5</xdr:row>
      <xdr:rowOff>585356</xdr:rowOff>
    </xdr:from>
    <xdr:to>
      <xdr:col>47</xdr:col>
      <xdr:colOff>1025001</xdr:colOff>
      <xdr:row>7</xdr:row>
      <xdr:rowOff>78676</xdr:rowOff>
    </xdr:to>
    <xdr:sp macro="" textlink="">
      <xdr:nvSpPr>
        <xdr:cNvPr id="28" name="TextBox 35">
          <a:extLst>
            <a:ext uri="{FF2B5EF4-FFF2-40B4-BE49-F238E27FC236}">
              <a16:creationId xmlns:a16="http://schemas.microsoft.com/office/drawing/2014/main" id="{0F5E781B-CE11-41BD-AEB9-49E969ED0A7A}"/>
            </a:ext>
          </a:extLst>
        </xdr:cNvPr>
        <xdr:cNvSpPr txBox="1"/>
      </xdr:nvSpPr>
      <xdr:spPr>
        <a:xfrm>
          <a:off x="28212569" y="1147331"/>
          <a:ext cx="1044532" cy="264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836M</a:t>
          </a:r>
        </a:p>
      </xdr:txBody>
    </xdr:sp>
    <xdr:clientData/>
  </xdr:twoCellAnchor>
  <xdr:twoCellAnchor>
    <xdr:from>
      <xdr:col>48</xdr:col>
      <xdr:colOff>1046018</xdr:colOff>
      <xdr:row>4</xdr:row>
      <xdr:rowOff>457200</xdr:rowOff>
    </xdr:from>
    <xdr:to>
      <xdr:col>50</xdr:col>
      <xdr:colOff>273627</xdr:colOff>
      <xdr:row>6</xdr:row>
      <xdr:rowOff>532721</xdr:rowOff>
    </xdr:to>
    <xdr:sp macro="" textlink="">
      <xdr:nvSpPr>
        <xdr:cNvPr id="29" name="Right Triangle 31">
          <a:extLst>
            <a:ext uri="{FF2B5EF4-FFF2-40B4-BE49-F238E27FC236}">
              <a16:creationId xmlns:a16="http://schemas.microsoft.com/office/drawing/2014/main" id="{6272F7EC-96F3-495F-872B-ACF7AC834504}"/>
            </a:ext>
          </a:extLst>
        </xdr:cNvPr>
        <xdr:cNvSpPr/>
      </xdr:nvSpPr>
      <xdr:spPr>
        <a:xfrm>
          <a:off x="29868668" y="952500"/>
          <a:ext cx="884959" cy="380321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542224</xdr:colOff>
      <xdr:row>5</xdr:row>
      <xdr:rowOff>541752</xdr:rowOff>
    </xdr:from>
    <xdr:to>
      <xdr:col>50</xdr:col>
      <xdr:colOff>472951</xdr:colOff>
      <xdr:row>7</xdr:row>
      <xdr:rowOff>37449</xdr:rowOff>
    </xdr:to>
    <xdr:sp macro="" textlink="">
      <xdr:nvSpPr>
        <xdr:cNvPr id="30" name="TextBox 37">
          <a:extLst>
            <a:ext uri="{FF2B5EF4-FFF2-40B4-BE49-F238E27FC236}">
              <a16:creationId xmlns:a16="http://schemas.microsoft.com/office/drawing/2014/main" id="{EAD7C2F9-1BAC-4873-9FA2-65C9458EA6FB}"/>
            </a:ext>
          </a:extLst>
        </xdr:cNvPr>
        <xdr:cNvSpPr txBox="1"/>
      </xdr:nvSpPr>
      <xdr:spPr>
        <a:xfrm flipH="1">
          <a:off x="29803024" y="1141827"/>
          <a:ext cx="1149927" cy="229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425M</a:t>
          </a:r>
        </a:p>
      </xdr:txBody>
    </xdr:sp>
    <xdr:clientData/>
  </xdr:twoCellAnchor>
  <xdr:twoCellAnchor>
    <xdr:from>
      <xdr:col>66</xdr:col>
      <xdr:colOff>740350</xdr:colOff>
      <xdr:row>4</xdr:row>
      <xdr:rowOff>148753</xdr:rowOff>
    </xdr:from>
    <xdr:to>
      <xdr:col>67</xdr:col>
      <xdr:colOff>1034758</xdr:colOff>
      <xdr:row>7</xdr:row>
      <xdr:rowOff>7734</xdr:rowOff>
    </xdr:to>
    <xdr:sp macro="" textlink="">
      <xdr:nvSpPr>
        <xdr:cNvPr id="31" name="Right Triangle 9114">
          <a:extLst>
            <a:ext uri="{FF2B5EF4-FFF2-40B4-BE49-F238E27FC236}">
              <a16:creationId xmlns:a16="http://schemas.microsoft.com/office/drawing/2014/main" id="{31DA2EF4-65DD-44D1-BCA7-7D2EF4436969}"/>
            </a:ext>
          </a:extLst>
        </xdr:cNvPr>
        <xdr:cNvSpPr/>
      </xdr:nvSpPr>
      <xdr:spPr>
        <a:xfrm flipH="1">
          <a:off x="40840600" y="910753"/>
          <a:ext cx="608733" cy="430481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66</xdr:col>
      <xdr:colOff>730458</xdr:colOff>
      <xdr:row>5</xdr:row>
      <xdr:rowOff>581708</xdr:rowOff>
    </xdr:from>
    <xdr:to>
      <xdr:col>68</xdr:col>
      <xdr:colOff>261938</xdr:colOff>
      <xdr:row>6</xdr:row>
      <xdr:rowOff>452439</xdr:rowOff>
    </xdr:to>
    <xdr:sp macro="" textlink="">
      <xdr:nvSpPr>
        <xdr:cNvPr id="32" name="TextBox 9115">
          <a:extLst>
            <a:ext uri="{FF2B5EF4-FFF2-40B4-BE49-F238E27FC236}">
              <a16:creationId xmlns:a16="http://schemas.microsoft.com/office/drawing/2014/main" id="{30F4503B-FB65-4C46-9F0B-8846F543BF87}"/>
            </a:ext>
          </a:extLst>
        </xdr:cNvPr>
        <xdr:cNvSpPr txBox="1"/>
      </xdr:nvSpPr>
      <xdr:spPr>
        <a:xfrm>
          <a:off x="40840233" y="1143683"/>
          <a:ext cx="874505" cy="185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40M</a:t>
          </a:r>
        </a:p>
      </xdr:txBody>
    </xdr:sp>
    <xdr:clientData/>
  </xdr:twoCellAnchor>
  <xdr:twoCellAnchor>
    <xdr:from>
      <xdr:col>68</xdr:col>
      <xdr:colOff>976313</xdr:colOff>
      <xdr:row>4</xdr:row>
      <xdr:rowOff>143184</xdr:rowOff>
    </xdr:from>
    <xdr:to>
      <xdr:col>70</xdr:col>
      <xdr:colOff>222971</xdr:colOff>
      <xdr:row>6</xdr:row>
      <xdr:rowOff>595313</xdr:rowOff>
    </xdr:to>
    <xdr:sp macro="" textlink="">
      <xdr:nvSpPr>
        <xdr:cNvPr id="33" name="Right Triangle 429">
          <a:extLst>
            <a:ext uri="{FF2B5EF4-FFF2-40B4-BE49-F238E27FC236}">
              <a16:creationId xmlns:a16="http://schemas.microsoft.com/office/drawing/2014/main" id="{F80D72EB-9F66-4F3E-9925-3F80271A170A}"/>
            </a:ext>
          </a:extLst>
        </xdr:cNvPr>
        <xdr:cNvSpPr/>
      </xdr:nvSpPr>
      <xdr:spPr>
        <a:xfrm>
          <a:off x="42057638" y="905184"/>
          <a:ext cx="837333" cy="423554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68</xdr:col>
      <xdr:colOff>549056</xdr:colOff>
      <xdr:row>5</xdr:row>
      <xdr:rowOff>610653</xdr:rowOff>
    </xdr:from>
    <xdr:to>
      <xdr:col>70</xdr:col>
      <xdr:colOff>142875</xdr:colOff>
      <xdr:row>6</xdr:row>
      <xdr:rowOff>357188</xdr:rowOff>
    </xdr:to>
    <xdr:sp macro="" textlink="">
      <xdr:nvSpPr>
        <xdr:cNvPr id="34" name="TextBox 9117">
          <a:extLst>
            <a:ext uri="{FF2B5EF4-FFF2-40B4-BE49-F238E27FC236}">
              <a16:creationId xmlns:a16="http://schemas.microsoft.com/office/drawing/2014/main" id="{D599406C-F452-47CC-8FD9-96263E0E7478}"/>
            </a:ext>
          </a:extLst>
        </xdr:cNvPr>
        <xdr:cNvSpPr txBox="1"/>
      </xdr:nvSpPr>
      <xdr:spPr>
        <a:xfrm flipH="1">
          <a:off x="42001856" y="1144053"/>
          <a:ext cx="813019" cy="184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2400" b="1">
              <a:latin typeface="+mn-lt"/>
            </a:rPr>
            <a:t>750</a:t>
          </a:r>
          <a:r>
            <a:rPr lang="en-GB" sz="2400" b="1">
              <a:latin typeface="+mn-lt"/>
            </a:rPr>
            <a:t>M</a:t>
          </a:r>
        </a:p>
      </xdr:txBody>
    </xdr:sp>
    <xdr:clientData/>
  </xdr:twoCellAnchor>
  <xdr:twoCellAnchor>
    <xdr:from>
      <xdr:col>97</xdr:col>
      <xdr:colOff>142256</xdr:colOff>
      <xdr:row>5</xdr:row>
      <xdr:rowOff>12373</xdr:rowOff>
    </xdr:from>
    <xdr:to>
      <xdr:col>99</xdr:col>
      <xdr:colOff>1235</xdr:colOff>
      <xdr:row>6</xdr:row>
      <xdr:rowOff>605519</xdr:rowOff>
    </xdr:to>
    <xdr:sp macro="" textlink="">
      <xdr:nvSpPr>
        <xdr:cNvPr id="35" name="Right Triangle 431">
          <a:extLst>
            <a:ext uri="{FF2B5EF4-FFF2-40B4-BE49-F238E27FC236}">
              <a16:creationId xmlns:a16="http://schemas.microsoft.com/office/drawing/2014/main" id="{C0DD465E-1889-4EFB-BD46-8C63B480AB56}"/>
            </a:ext>
          </a:extLst>
        </xdr:cNvPr>
        <xdr:cNvSpPr/>
      </xdr:nvSpPr>
      <xdr:spPr>
        <a:xfrm flipH="1">
          <a:off x="59273456" y="964873"/>
          <a:ext cx="1078179" cy="364546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97</xdr:col>
      <xdr:colOff>462642</xdr:colOff>
      <xdr:row>6</xdr:row>
      <xdr:rowOff>7858</xdr:rowOff>
    </xdr:from>
    <xdr:to>
      <xdr:col>99</xdr:col>
      <xdr:colOff>384709</xdr:colOff>
      <xdr:row>7</xdr:row>
      <xdr:rowOff>67137</xdr:rowOff>
    </xdr:to>
    <xdr:sp macro="" textlink="">
      <xdr:nvSpPr>
        <xdr:cNvPr id="36" name="TextBox 432">
          <a:extLst>
            <a:ext uri="{FF2B5EF4-FFF2-40B4-BE49-F238E27FC236}">
              <a16:creationId xmlns:a16="http://schemas.microsoft.com/office/drawing/2014/main" id="{D1EEA23E-5906-417C-918C-F867D869A95F}"/>
            </a:ext>
          </a:extLst>
        </xdr:cNvPr>
        <xdr:cNvSpPr txBox="1"/>
      </xdr:nvSpPr>
      <xdr:spPr>
        <a:xfrm>
          <a:off x="59593842" y="1150858"/>
          <a:ext cx="1141267" cy="249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35M</a:t>
          </a:r>
        </a:p>
      </xdr:txBody>
    </xdr:sp>
    <xdr:clientData/>
  </xdr:twoCellAnchor>
  <xdr:twoCellAnchor>
    <xdr:from>
      <xdr:col>98</xdr:col>
      <xdr:colOff>1013732</xdr:colOff>
      <xdr:row>5</xdr:row>
      <xdr:rowOff>12372</xdr:rowOff>
    </xdr:from>
    <xdr:to>
      <xdr:col>100</xdr:col>
      <xdr:colOff>260390</xdr:colOff>
      <xdr:row>6</xdr:row>
      <xdr:rowOff>605519</xdr:rowOff>
    </xdr:to>
    <xdr:sp macro="" textlink="">
      <xdr:nvSpPr>
        <xdr:cNvPr id="37" name="Right Triangle 433">
          <a:extLst>
            <a:ext uri="{FF2B5EF4-FFF2-40B4-BE49-F238E27FC236}">
              <a16:creationId xmlns:a16="http://schemas.microsoft.com/office/drawing/2014/main" id="{F69E9CB7-D0A8-4C1B-9B0C-8D9D691070B9}"/>
            </a:ext>
          </a:extLst>
        </xdr:cNvPr>
        <xdr:cNvSpPr/>
      </xdr:nvSpPr>
      <xdr:spPr>
        <a:xfrm>
          <a:off x="60354482" y="964872"/>
          <a:ext cx="865908" cy="364547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98</xdr:col>
      <xdr:colOff>476249</xdr:colOff>
      <xdr:row>6</xdr:row>
      <xdr:rowOff>30619</xdr:rowOff>
    </xdr:from>
    <xdr:to>
      <xdr:col>100</xdr:col>
      <xdr:colOff>388729</xdr:colOff>
      <xdr:row>7</xdr:row>
      <xdr:rowOff>89898</xdr:rowOff>
    </xdr:to>
    <xdr:sp macro="" textlink="">
      <xdr:nvSpPr>
        <xdr:cNvPr id="38" name="TextBox 434">
          <a:extLst>
            <a:ext uri="{FF2B5EF4-FFF2-40B4-BE49-F238E27FC236}">
              <a16:creationId xmlns:a16="http://schemas.microsoft.com/office/drawing/2014/main" id="{F1D22B3E-9980-4437-8755-D90F6C2AFB19}"/>
            </a:ext>
          </a:extLst>
        </xdr:cNvPr>
        <xdr:cNvSpPr txBox="1"/>
      </xdr:nvSpPr>
      <xdr:spPr>
        <a:xfrm flipH="1">
          <a:off x="60217049" y="1173619"/>
          <a:ext cx="1131680" cy="249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1150M</a:t>
          </a:r>
        </a:p>
      </xdr:txBody>
    </xdr:sp>
    <xdr:clientData/>
  </xdr:twoCellAnchor>
  <xdr:twoCellAnchor>
    <xdr:from>
      <xdr:col>111</xdr:col>
      <xdr:colOff>779070</xdr:colOff>
      <xdr:row>4</xdr:row>
      <xdr:rowOff>159576</xdr:rowOff>
    </xdr:from>
    <xdr:to>
      <xdr:col>113</xdr:col>
      <xdr:colOff>6676</xdr:colOff>
      <xdr:row>7</xdr:row>
      <xdr:rowOff>21031</xdr:rowOff>
    </xdr:to>
    <xdr:sp macro="" textlink="">
      <xdr:nvSpPr>
        <xdr:cNvPr id="39" name="Right Triangle 435">
          <a:extLst>
            <a:ext uri="{FF2B5EF4-FFF2-40B4-BE49-F238E27FC236}">
              <a16:creationId xmlns:a16="http://schemas.microsoft.com/office/drawing/2014/main" id="{2EB13C21-2AB3-41DB-8F80-608B9E13445F}"/>
            </a:ext>
          </a:extLst>
        </xdr:cNvPr>
        <xdr:cNvSpPr/>
      </xdr:nvSpPr>
      <xdr:spPr>
        <a:xfrm flipH="1">
          <a:off x="68273220" y="921576"/>
          <a:ext cx="618256" cy="43295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111</xdr:col>
      <xdr:colOff>623455</xdr:colOff>
      <xdr:row>5</xdr:row>
      <xdr:rowOff>595312</xdr:rowOff>
    </xdr:from>
    <xdr:to>
      <xdr:col>113</xdr:col>
      <xdr:colOff>502227</xdr:colOff>
      <xdr:row>7</xdr:row>
      <xdr:rowOff>47626</xdr:rowOff>
    </xdr:to>
    <xdr:sp macro="" textlink="">
      <xdr:nvSpPr>
        <xdr:cNvPr id="40" name="TextBox 436">
          <a:extLst>
            <a:ext uri="{FF2B5EF4-FFF2-40B4-BE49-F238E27FC236}">
              <a16:creationId xmlns:a16="http://schemas.microsoft.com/office/drawing/2014/main" id="{C94AA471-22FD-4F3A-BB26-CC5FCC8C56F7}"/>
            </a:ext>
          </a:extLst>
        </xdr:cNvPr>
        <xdr:cNvSpPr txBox="1"/>
      </xdr:nvSpPr>
      <xdr:spPr>
        <a:xfrm>
          <a:off x="68279530" y="1147762"/>
          <a:ext cx="1107497" cy="233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850M</a:t>
          </a:r>
        </a:p>
      </xdr:txBody>
    </xdr:sp>
    <xdr:clientData/>
  </xdr:twoCellAnchor>
  <xdr:twoCellAnchor>
    <xdr:from>
      <xdr:col>41</xdr:col>
      <xdr:colOff>720767</xdr:colOff>
      <xdr:row>3</xdr:row>
      <xdr:rowOff>388835</xdr:rowOff>
    </xdr:from>
    <xdr:to>
      <xdr:col>43</xdr:col>
      <xdr:colOff>582221</xdr:colOff>
      <xdr:row>4</xdr:row>
      <xdr:rowOff>423470</xdr:rowOff>
    </xdr:to>
    <xdr:sp macro="" textlink="">
      <xdr:nvSpPr>
        <xdr:cNvPr id="41" name="Right Triangle 9124">
          <a:extLst>
            <a:ext uri="{FF2B5EF4-FFF2-40B4-BE49-F238E27FC236}">
              <a16:creationId xmlns:a16="http://schemas.microsoft.com/office/drawing/2014/main" id="{4A9C4E02-32F6-4BC5-9E0D-98D312DDBB0C}"/>
            </a:ext>
          </a:extLst>
        </xdr:cNvPr>
        <xdr:cNvSpPr/>
      </xdr:nvSpPr>
      <xdr:spPr>
        <a:xfrm>
          <a:off x="25600067" y="760310"/>
          <a:ext cx="1194954" cy="19656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342900</xdr:colOff>
      <xdr:row>7</xdr:row>
      <xdr:rowOff>76200</xdr:rowOff>
    </xdr:from>
    <xdr:to>
      <xdr:col>27</xdr:col>
      <xdr:colOff>543295</xdr:colOff>
      <xdr:row>8</xdr:row>
      <xdr:rowOff>571500</xdr:rowOff>
    </xdr:to>
    <xdr:sp macro="" textlink="">
      <xdr:nvSpPr>
        <xdr:cNvPr id="5115" name="TextBox 53">
          <a:extLst>
            <a:ext uri="{FF2B5EF4-FFF2-40B4-BE49-F238E27FC236}">
              <a16:creationId xmlns:a16="http://schemas.microsoft.com/office/drawing/2014/main" id="{2E8B67DB-6041-4F73-8D60-FB8E2C0458E6}"/>
            </a:ext>
          </a:extLst>
        </xdr:cNvPr>
        <xdr:cNvSpPr txBox="1"/>
      </xdr:nvSpPr>
      <xdr:spPr>
        <a:xfrm>
          <a:off x="14973300" y="1409700"/>
          <a:ext cx="202919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88 - 521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506077</xdr:colOff>
      <xdr:row>0</xdr:row>
      <xdr:rowOff>0</xdr:rowOff>
    </xdr:from>
    <xdr:ext cx="10413121" cy="1698625"/>
    <xdr:pic>
      <xdr:nvPicPr>
        <xdr:cNvPr id="43" name="Picture 252">
          <a:extLst>
            <a:ext uri="{FF2B5EF4-FFF2-40B4-BE49-F238E27FC236}">
              <a16:creationId xmlns:a16="http://schemas.microsoft.com/office/drawing/2014/main" id="{03659909-2E4B-41BF-9E88-D846F0513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77" y="0"/>
          <a:ext cx="10413121" cy="16986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0</xdr:col>
      <xdr:colOff>-21117791</xdr:colOff>
      <xdr:row>0</xdr:row>
      <xdr:rowOff>-11257</xdr:rowOff>
    </xdr:from>
    <xdr:ext cx="21121255" cy="3243096"/>
    <xdr:pic>
      <xdr:nvPicPr>
        <xdr:cNvPr id="44" name="Picture 872">
          <a:extLst>
            <a:ext uri="{FF2B5EF4-FFF2-40B4-BE49-F238E27FC236}">
              <a16:creationId xmlns:a16="http://schemas.microsoft.com/office/drawing/2014/main" id="{97BF6C2F-E50A-427C-B2D4-D81B3FCD5E97}"/>
            </a:ext>
            <a:ext uri="{147F2762-F138-4A5C-976F-8EAC2B608ADB}">
              <a16:predDERef xmlns:a16="http://schemas.microsoft.com/office/drawing/2014/main" pred="{394DAA44-E06C-449F-BC2A-636561643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21117791" y="-11257"/>
          <a:ext cx="21121255" cy="3243096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5" name="Picture 113">
          <a:extLst>
            <a:ext uri="{FF2B5EF4-FFF2-40B4-BE49-F238E27FC236}">
              <a16:creationId xmlns:a16="http://schemas.microsoft.com/office/drawing/2014/main" id="{1B4783B1-D18C-4BCC-AA91-3977DA9F47C8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61746" y="1905000"/>
          <a:ext cx="0" cy="0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6" name="Picture 113">
          <a:extLst>
            <a:ext uri="{FF2B5EF4-FFF2-40B4-BE49-F238E27FC236}">
              <a16:creationId xmlns:a16="http://schemas.microsoft.com/office/drawing/2014/main" id="{D8D22808-A559-4F44-9992-3A0B9824174C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61746" y="1905000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7" name="Picture 113">
          <a:extLst>
            <a:ext uri="{FF2B5EF4-FFF2-40B4-BE49-F238E27FC236}">
              <a16:creationId xmlns:a16="http://schemas.microsoft.com/office/drawing/2014/main" id="{57D6A006-364F-4D3B-B7C2-DA3027FDB2CF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88465" y="1905000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48" name="Picture 113">
          <a:extLst>
            <a:ext uri="{FF2B5EF4-FFF2-40B4-BE49-F238E27FC236}">
              <a16:creationId xmlns:a16="http://schemas.microsoft.com/office/drawing/2014/main" id="{8A71F7D5-EAE4-48E7-8ED1-A48F7568D411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5185" y="1905000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9" name="Picture 113">
          <a:extLst>
            <a:ext uri="{FF2B5EF4-FFF2-40B4-BE49-F238E27FC236}">
              <a16:creationId xmlns:a16="http://schemas.microsoft.com/office/drawing/2014/main" id="{C72A3B52-03B1-4F70-8A27-62D0B0D1957A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88465" y="1905000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50" name="Picture 113">
          <a:extLst>
            <a:ext uri="{FF2B5EF4-FFF2-40B4-BE49-F238E27FC236}">
              <a16:creationId xmlns:a16="http://schemas.microsoft.com/office/drawing/2014/main" id="{F024193D-23BD-47CA-9E2C-824915E48CEC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88465" y="1905000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1" name="Picture 113">
          <a:extLst>
            <a:ext uri="{FF2B5EF4-FFF2-40B4-BE49-F238E27FC236}">
              <a16:creationId xmlns:a16="http://schemas.microsoft.com/office/drawing/2014/main" id="{A378D4F7-4956-41BB-9D6C-E856D44EDB81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5185" y="1905000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2" name="Picture 113">
          <a:extLst>
            <a:ext uri="{FF2B5EF4-FFF2-40B4-BE49-F238E27FC236}">
              <a16:creationId xmlns:a16="http://schemas.microsoft.com/office/drawing/2014/main" id="{F32B9DC8-AFA2-4AC0-A714-EC3FE9CEFEE9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5185" y="190500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-38100</xdr:colOff>
      <xdr:row>0</xdr:row>
      <xdr:rowOff>-145351500</xdr:rowOff>
    </xdr:from>
    <xdr:to>
      <xdr:col>15</xdr:col>
      <xdr:colOff>102551</xdr:colOff>
      <xdr:row>0</xdr:row>
      <xdr:rowOff>-120154700</xdr:rowOff>
    </xdr:to>
    <xdr:sp macro="" textlink="">
      <xdr:nvSpPr>
        <xdr:cNvPr id="53" name="Freeform 118">
          <a:extLst>
            <a:ext uri="{FF2B5EF4-FFF2-40B4-BE49-F238E27FC236}">
              <a16:creationId xmlns:a16="http://schemas.microsoft.com/office/drawing/2014/main" id="{27D379DA-C0D3-4791-AA72-F48ED30D15F3}"/>
            </a:ext>
            <a:ext uri="{147F2762-F138-4A5C-976F-8EAC2B608ADB}">
              <a16:predDERef xmlns:a16="http://schemas.microsoft.com/office/drawing/2014/main" pred="{C642BCDC-33AE-4D4E-9B24-67C1E2C00F6A}"/>
            </a:ext>
          </a:extLst>
        </xdr:cNvPr>
        <xdr:cNvSpPr/>
      </xdr:nvSpPr>
      <xdr:spPr>
        <a:xfrm>
          <a:off x="-38100" y="-145351500"/>
          <a:ext cx="9284651" cy="25196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102</xdr:col>
      <xdr:colOff>85985</xdr:colOff>
      <xdr:row>10</xdr:row>
      <xdr:rowOff>0</xdr:rowOff>
    </xdr:from>
    <xdr:ext cx="0" cy="0"/>
    <xdr:pic>
      <xdr:nvPicPr>
        <xdr:cNvPr id="54" name="Picture 113">
          <a:extLst>
            <a:ext uri="{FF2B5EF4-FFF2-40B4-BE49-F238E27FC236}">
              <a16:creationId xmlns:a16="http://schemas.microsoft.com/office/drawing/2014/main" id="{21182797-E4DC-4ED5-9ECF-CE3F6A1911C8}"/>
            </a:ext>
            <a:ext uri="{147F2762-F138-4A5C-976F-8EAC2B608ADB}">
              <a16:predDERef xmlns:a16="http://schemas.microsoft.com/office/drawing/2014/main" pred="{6A19BF19-7D38-4424-BE83-664F37F5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5185" y="1905000"/>
          <a:ext cx="0" cy="0"/>
        </a:xfrm>
        <a:prstGeom prst="rect">
          <a:avLst/>
        </a:prstGeom>
      </xdr:spPr>
    </xdr:pic>
    <xdr:clientData/>
  </xdr:oneCellAnchor>
  <xdr:twoCellAnchor>
    <xdr:from>
      <xdr:col>33</xdr:col>
      <xdr:colOff>681591</xdr:colOff>
      <xdr:row>0</xdr:row>
      <xdr:rowOff>-72107429</xdr:rowOff>
    </xdr:from>
    <xdr:to>
      <xdr:col>39</xdr:col>
      <xdr:colOff>315030</xdr:colOff>
      <xdr:row>0</xdr:row>
      <xdr:rowOff>-66198750</xdr:rowOff>
    </xdr:to>
    <xdr:sp macro="" textlink="">
      <xdr:nvSpPr>
        <xdr:cNvPr id="55" name="TextBox 88">
          <a:extLst>
            <a:ext uri="{FF2B5EF4-FFF2-40B4-BE49-F238E27FC236}">
              <a16:creationId xmlns:a16="http://schemas.microsoft.com/office/drawing/2014/main" id="{CAC1D0F8-557B-4506-8927-4396E30BADBF}"/>
            </a:ext>
            <a:ext uri="{147F2762-F138-4A5C-976F-8EAC2B608ADB}">
              <a16:predDERef xmlns:a16="http://schemas.microsoft.com/office/drawing/2014/main" pred="{DA75BB9B-B12F-465F-849E-FFFEE830449E}"/>
            </a:ext>
          </a:extLst>
        </xdr:cNvPr>
        <xdr:cNvSpPr txBox="1"/>
      </xdr:nvSpPr>
      <xdr:spPr>
        <a:xfrm>
          <a:off x="20722191" y="-72107429"/>
          <a:ext cx="3367239" cy="5908679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HONG DA XIN 68 26002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(CRS)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LOA182M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14/1230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25/0200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26/2300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1204 SXP SOK/TAO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504 / LOAD 700 </a:t>
          </a:r>
        </a:p>
      </xdr:txBody>
    </xdr:sp>
    <xdr:clientData/>
  </xdr:twoCellAnchor>
  <xdr:twoCellAnchor>
    <xdr:from>
      <xdr:col>31</xdr:col>
      <xdr:colOff>95250</xdr:colOff>
      <xdr:row>3</xdr:row>
      <xdr:rowOff>444500</xdr:rowOff>
    </xdr:from>
    <xdr:to>
      <xdr:col>31</xdr:col>
      <xdr:colOff>695325</xdr:colOff>
      <xdr:row>4</xdr:row>
      <xdr:rowOff>466725</xdr:rowOff>
    </xdr:to>
    <xdr:sp macro="" textlink="">
      <xdr:nvSpPr>
        <xdr:cNvPr id="56" name="Star: 5 Points 55">
          <a:extLst>
            <a:ext uri="{FF2B5EF4-FFF2-40B4-BE49-F238E27FC236}">
              <a16:creationId xmlns:a16="http://schemas.microsoft.com/office/drawing/2014/main" id="{32FFC3B3-BD79-4EBE-9EAF-50ED6CFA1432}"/>
            </a:ext>
          </a:extLst>
        </xdr:cNvPr>
        <xdr:cNvSpPr/>
      </xdr:nvSpPr>
      <xdr:spPr>
        <a:xfrm>
          <a:off x="18992850" y="758825"/>
          <a:ext cx="514350" cy="1936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647700</xdr:colOff>
      <xdr:row>9</xdr:row>
      <xdr:rowOff>571500</xdr:rowOff>
    </xdr:from>
    <xdr:to>
      <xdr:col>47</xdr:col>
      <xdr:colOff>279402</xdr:colOff>
      <xdr:row>130</xdr:row>
      <xdr:rowOff>0</xdr:rowOff>
    </xdr:to>
    <xdr:sp macro="" textlink="">
      <xdr:nvSpPr>
        <xdr:cNvPr id="21016" name="Rectangle: Rounded Corners 58">
          <a:extLst>
            <a:ext uri="{FF2B5EF4-FFF2-40B4-BE49-F238E27FC236}">
              <a16:creationId xmlns:a16="http://schemas.microsoft.com/office/drawing/2014/main" id="{A01E06FD-40FF-4D54-9CEB-CAE60A934797}"/>
            </a:ext>
          </a:extLst>
        </xdr:cNvPr>
        <xdr:cNvSpPr/>
      </xdr:nvSpPr>
      <xdr:spPr>
        <a:xfrm flipH="1">
          <a:off x="45643800" y="5524500"/>
          <a:ext cx="2832102" cy="1275207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QC17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BOOM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UP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GANTRY POSSIBLE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BERTH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800-830</a:t>
          </a:r>
          <a:endParaRPr lang="en-US" sz="3600" b="1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819150</xdr:colOff>
      <xdr:row>30</xdr:row>
      <xdr:rowOff>381000</xdr:rowOff>
    </xdr:from>
    <xdr:to>
      <xdr:col>25</xdr:col>
      <xdr:colOff>933450</xdr:colOff>
      <xdr:row>46</xdr:row>
      <xdr:rowOff>152400</xdr:rowOff>
    </xdr:to>
    <xdr:sp macro="" textlink="">
      <xdr:nvSpPr>
        <xdr:cNvPr id="19131" name="Freeform 165">
          <a:extLst>
            <a:ext uri="{FF2B5EF4-FFF2-40B4-BE49-F238E27FC236}">
              <a16:creationId xmlns:a16="http://schemas.microsoft.com/office/drawing/2014/main" id="{6C2ECE07-3B36-4FD5-9836-A1AF663FCAFB}"/>
            </a:ext>
          </a:extLst>
        </xdr:cNvPr>
        <xdr:cNvSpPr/>
      </xdr:nvSpPr>
      <xdr:spPr>
        <a:xfrm>
          <a:off x="14839950" y="21221700"/>
          <a:ext cx="10820400" cy="119634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511174</xdr:colOff>
      <xdr:row>32</xdr:row>
      <xdr:rowOff>447676</xdr:rowOff>
    </xdr:from>
    <xdr:to>
      <xdr:col>23</xdr:col>
      <xdr:colOff>1044575</xdr:colOff>
      <xdr:row>40</xdr:row>
      <xdr:rowOff>609600</xdr:rowOff>
    </xdr:to>
    <xdr:sp macro="" textlink="">
      <xdr:nvSpPr>
        <xdr:cNvPr id="13641" name="TextBox 84">
          <a:extLst>
            <a:ext uri="{FF2B5EF4-FFF2-40B4-BE49-F238E27FC236}">
              <a16:creationId xmlns:a16="http://schemas.microsoft.com/office/drawing/2014/main" id="{B6DDD65F-ABDA-4A59-8447-1E3CA580B886}"/>
            </a:ext>
          </a:extLst>
        </xdr:cNvPr>
        <xdr:cNvSpPr txBox="1"/>
      </xdr:nvSpPr>
      <xdr:spPr>
        <a:xfrm>
          <a:off x="16665574" y="22812376"/>
          <a:ext cx="6972301" cy="6257924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ISTANBUL BRIDGE 2602E (CBS)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LOA294M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/32M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30/0200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31/1600 ETD 01/2300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1073 SFT JEC/ADE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588/LOAD 485</a:t>
          </a: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119856</xdr:colOff>
      <xdr:row>31</xdr:row>
      <xdr:rowOff>111374</xdr:rowOff>
    </xdr:from>
    <xdr:to>
      <xdr:col>25</xdr:col>
      <xdr:colOff>884859</xdr:colOff>
      <xdr:row>31</xdr:row>
      <xdr:rowOff>665681</xdr:rowOff>
    </xdr:to>
    <xdr:sp macro="" textlink="">
      <xdr:nvSpPr>
        <xdr:cNvPr id="17565" name="TextBox 85">
          <a:extLst>
            <a:ext uri="{FF2B5EF4-FFF2-40B4-BE49-F238E27FC236}">
              <a16:creationId xmlns:a16="http://schemas.microsoft.com/office/drawing/2014/main" id="{BE46EEEF-C18E-43C2-AE1E-183380C50791}"/>
            </a:ext>
          </a:extLst>
        </xdr:cNvPr>
        <xdr:cNvSpPr txBox="1"/>
      </xdr:nvSpPr>
      <xdr:spPr>
        <a:xfrm>
          <a:off x="23779956" y="21714074"/>
          <a:ext cx="1831803" cy="5543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347M</a:t>
          </a:r>
        </a:p>
      </xdr:txBody>
    </xdr:sp>
    <xdr:clientData/>
  </xdr:twoCellAnchor>
  <xdr:twoCellAnchor>
    <xdr:from>
      <xdr:col>15</xdr:col>
      <xdr:colOff>800100</xdr:colOff>
      <xdr:row>30</xdr:row>
      <xdr:rowOff>409576</xdr:rowOff>
    </xdr:from>
    <xdr:to>
      <xdr:col>17</xdr:col>
      <xdr:colOff>465849</xdr:colOff>
      <xdr:row>31</xdr:row>
      <xdr:rowOff>359014</xdr:rowOff>
    </xdr:to>
    <xdr:sp macro="" textlink="">
      <xdr:nvSpPr>
        <xdr:cNvPr id="17564" name="TextBox 86">
          <a:extLst>
            <a:ext uri="{FF2B5EF4-FFF2-40B4-BE49-F238E27FC236}">
              <a16:creationId xmlns:a16="http://schemas.microsoft.com/office/drawing/2014/main" id="{FF6B0E5E-3284-47C7-87F8-B63434EA2641}"/>
            </a:ext>
          </a:extLst>
        </xdr:cNvPr>
        <xdr:cNvSpPr txBox="1"/>
      </xdr:nvSpPr>
      <xdr:spPr>
        <a:xfrm>
          <a:off x="14820900" y="21250276"/>
          <a:ext cx="1799349" cy="7114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53M</a:t>
          </a:r>
        </a:p>
      </xdr:txBody>
    </xdr:sp>
    <xdr:clientData/>
  </xdr:twoCellAnchor>
  <xdr:twoCellAnchor>
    <xdr:from>
      <xdr:col>15</xdr:col>
      <xdr:colOff>904420</xdr:colOff>
      <xdr:row>62</xdr:row>
      <xdr:rowOff>38100</xdr:rowOff>
    </xdr:from>
    <xdr:to>
      <xdr:col>23</xdr:col>
      <xdr:colOff>101598</xdr:colOff>
      <xdr:row>76</xdr:row>
      <xdr:rowOff>228600</xdr:rowOff>
    </xdr:to>
    <xdr:sp macro="" textlink="">
      <xdr:nvSpPr>
        <xdr:cNvPr id="19785" name="Freeform 165">
          <a:extLst>
            <a:ext uri="{FF2B5EF4-FFF2-40B4-BE49-F238E27FC236}">
              <a16:creationId xmlns:a16="http://schemas.microsoft.com/office/drawing/2014/main" id="{D5C0C8F8-188E-4632-A8A3-5EC8B48B98B0}"/>
            </a:ext>
          </a:extLst>
        </xdr:cNvPr>
        <xdr:cNvSpPr/>
      </xdr:nvSpPr>
      <xdr:spPr>
        <a:xfrm>
          <a:off x="14925220" y="54406800"/>
          <a:ext cx="7769678" cy="108585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714375</xdr:colOff>
      <xdr:row>64</xdr:row>
      <xdr:rowOff>152399</xdr:rowOff>
    </xdr:from>
    <xdr:to>
      <xdr:col>23</xdr:col>
      <xdr:colOff>115207</xdr:colOff>
      <xdr:row>73</xdr:row>
      <xdr:rowOff>171706</xdr:rowOff>
    </xdr:to>
    <xdr:sp macro="" textlink="">
      <xdr:nvSpPr>
        <xdr:cNvPr id="19782" name="TextBox 84">
          <a:extLst>
            <a:ext uri="{FF2B5EF4-FFF2-40B4-BE49-F238E27FC236}">
              <a16:creationId xmlns:a16="http://schemas.microsoft.com/office/drawing/2014/main" id="{C6EF3DB0-71D9-46FC-B52A-EF44A6B135DC}"/>
            </a:ext>
          </a:extLst>
        </xdr:cNvPr>
        <xdr:cNvSpPr txBox="1"/>
      </xdr:nvSpPr>
      <xdr:spPr>
        <a:xfrm flipH="1">
          <a:off x="14735175" y="56045099"/>
          <a:ext cx="7973332" cy="687730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DANIEL A </a:t>
          </a:r>
          <a:r>
            <a:rPr lang="en-US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IRS03W26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(TRI-NB)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LOA155M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03/0001 ETB 03/0800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04/1200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1100 ARL SGA /SGA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500 /LOAD 600</a:t>
          </a:r>
        </a:p>
      </xdr:txBody>
    </xdr:sp>
    <xdr:clientData/>
  </xdr:twoCellAnchor>
  <xdr:twoCellAnchor>
    <xdr:from>
      <xdr:col>21</xdr:col>
      <xdr:colOff>189706</xdr:colOff>
      <xdr:row>62</xdr:row>
      <xdr:rowOff>178049</xdr:rowOff>
    </xdr:from>
    <xdr:to>
      <xdr:col>22</xdr:col>
      <xdr:colOff>1002334</xdr:colOff>
      <xdr:row>63</xdr:row>
      <xdr:rowOff>560104</xdr:rowOff>
    </xdr:to>
    <xdr:sp macro="" textlink="">
      <xdr:nvSpPr>
        <xdr:cNvPr id="19784" name="TextBox 85">
          <a:extLst>
            <a:ext uri="{FF2B5EF4-FFF2-40B4-BE49-F238E27FC236}">
              <a16:creationId xmlns:a16="http://schemas.microsoft.com/office/drawing/2014/main" id="{96FC77F8-1983-4863-86E8-8E00CBAB3630}"/>
            </a:ext>
          </a:extLst>
        </xdr:cNvPr>
        <xdr:cNvSpPr txBox="1"/>
      </xdr:nvSpPr>
      <xdr:spPr>
        <a:xfrm flipH="1">
          <a:off x="20649406" y="54546749"/>
          <a:ext cx="1879428" cy="1144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255M</a:t>
          </a:r>
        </a:p>
      </xdr:txBody>
    </xdr:sp>
    <xdr:clientData/>
  </xdr:twoCellAnchor>
  <xdr:twoCellAnchor>
    <xdr:from>
      <xdr:col>16</xdr:col>
      <xdr:colOff>12700</xdr:colOff>
      <xdr:row>62</xdr:row>
      <xdr:rowOff>209550</xdr:rowOff>
    </xdr:from>
    <xdr:to>
      <xdr:col>17</xdr:col>
      <xdr:colOff>1019175</xdr:colOff>
      <xdr:row>64</xdr:row>
      <xdr:rowOff>120404</xdr:rowOff>
    </xdr:to>
    <xdr:sp macro="" textlink="">
      <xdr:nvSpPr>
        <xdr:cNvPr id="19783" name="TextBox 86">
          <a:extLst>
            <a:ext uri="{FF2B5EF4-FFF2-40B4-BE49-F238E27FC236}">
              <a16:creationId xmlns:a16="http://schemas.microsoft.com/office/drawing/2014/main" id="{C75BBC51-A483-4B55-A3DB-5A0452275D24}"/>
            </a:ext>
          </a:extLst>
        </xdr:cNvPr>
        <xdr:cNvSpPr txBox="1"/>
      </xdr:nvSpPr>
      <xdr:spPr>
        <a:xfrm flipH="1">
          <a:off x="15100300" y="54578250"/>
          <a:ext cx="2073275" cy="143485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100M</a:t>
          </a:r>
        </a:p>
      </xdr:txBody>
    </xdr:sp>
    <xdr:clientData/>
  </xdr:twoCellAnchor>
  <xdr:twoCellAnchor>
    <xdr:from>
      <xdr:col>51</xdr:col>
      <xdr:colOff>381000</xdr:colOff>
      <xdr:row>14</xdr:row>
      <xdr:rowOff>266700</xdr:rowOff>
    </xdr:from>
    <xdr:to>
      <xdr:col>62</xdr:col>
      <xdr:colOff>152400</xdr:colOff>
      <xdr:row>37</xdr:row>
      <xdr:rowOff>342900</xdr:rowOff>
    </xdr:to>
    <xdr:sp macro="" textlink="">
      <xdr:nvSpPr>
        <xdr:cNvPr id="19032" name="Freeform 118">
          <a:extLst>
            <a:ext uri="{FF2B5EF4-FFF2-40B4-BE49-F238E27FC236}">
              <a16:creationId xmlns:a16="http://schemas.microsoft.com/office/drawing/2014/main" id="{3084A857-5D90-4700-9157-5BF845550B5D}"/>
            </a:ext>
          </a:extLst>
        </xdr:cNvPr>
        <xdr:cNvSpPr/>
      </xdr:nvSpPr>
      <xdr:spPr>
        <a:xfrm flipH="1">
          <a:off x="52844700" y="18059400"/>
          <a:ext cx="11506200" cy="17602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266700</xdr:colOff>
      <xdr:row>14</xdr:row>
      <xdr:rowOff>581027</xdr:rowOff>
    </xdr:from>
    <xdr:to>
      <xdr:col>53</xdr:col>
      <xdr:colOff>304800</xdr:colOff>
      <xdr:row>16</xdr:row>
      <xdr:rowOff>161927</xdr:rowOff>
    </xdr:to>
    <xdr:sp macro="" textlink="">
      <xdr:nvSpPr>
        <xdr:cNvPr id="17576" name="TextBox 401">
          <a:extLst>
            <a:ext uri="{FF2B5EF4-FFF2-40B4-BE49-F238E27FC236}">
              <a16:creationId xmlns:a16="http://schemas.microsoft.com/office/drawing/2014/main" id="{C29E8CBC-557C-42EF-B25B-719E5D5D2595}"/>
            </a:ext>
          </a:extLst>
        </xdr:cNvPr>
        <xdr:cNvSpPr txBox="1"/>
      </xdr:nvSpPr>
      <xdr:spPr>
        <a:xfrm>
          <a:off x="52730400" y="45805727"/>
          <a:ext cx="2171700" cy="1104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400M</a:t>
          </a:r>
        </a:p>
      </xdr:txBody>
    </xdr:sp>
    <xdr:clientData/>
  </xdr:twoCellAnchor>
  <xdr:twoCellAnchor>
    <xdr:from>
      <xdr:col>52</xdr:col>
      <xdr:colOff>381000</xdr:colOff>
      <xdr:row>17</xdr:row>
      <xdr:rowOff>495300</xdr:rowOff>
    </xdr:from>
    <xdr:to>
      <xdr:col>61</xdr:col>
      <xdr:colOff>132657</xdr:colOff>
      <xdr:row>30</xdr:row>
      <xdr:rowOff>228600</xdr:rowOff>
    </xdr:to>
    <xdr:sp macro="" textlink="">
      <xdr:nvSpPr>
        <xdr:cNvPr id="20998" name="TextBox 400">
          <a:extLst>
            <a:ext uri="{FF2B5EF4-FFF2-40B4-BE49-F238E27FC236}">
              <a16:creationId xmlns:a16="http://schemas.microsoft.com/office/drawing/2014/main" id="{A95138E0-C0AA-4506-8C6F-4485C79474AD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>
          <a:off x="53911500" y="11430000"/>
          <a:ext cx="9352857" cy="963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SYDNEY MDX010E19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 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LOA264M/43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ATA 30/0500 ATB 30/0900 ETD 01/0700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3578 CMA  ALX/PSD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1753 / LOAD 1825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12.10/12.50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847 Not Manifested </a:t>
          </a:r>
        </a:p>
      </xdr:txBody>
    </xdr:sp>
    <xdr:clientData/>
  </xdr:twoCellAnchor>
  <xdr:twoCellAnchor>
    <xdr:from>
      <xdr:col>59</xdr:col>
      <xdr:colOff>971550</xdr:colOff>
      <xdr:row>14</xdr:row>
      <xdr:rowOff>554964</xdr:rowOff>
    </xdr:from>
    <xdr:to>
      <xdr:col>62</xdr:col>
      <xdr:colOff>281272</xdr:colOff>
      <xdr:row>16</xdr:row>
      <xdr:rowOff>276225</xdr:rowOff>
    </xdr:to>
    <xdr:sp macro="" textlink="">
      <xdr:nvSpPr>
        <xdr:cNvPr id="17577" name="TextBox 402">
          <a:extLst>
            <a:ext uri="{FF2B5EF4-FFF2-40B4-BE49-F238E27FC236}">
              <a16:creationId xmlns:a16="http://schemas.microsoft.com/office/drawing/2014/main" id="{23A988F1-29F1-45BF-A892-C7E6239F4609}"/>
            </a:ext>
          </a:extLst>
        </xdr:cNvPr>
        <xdr:cNvSpPr txBox="1"/>
      </xdr:nvSpPr>
      <xdr:spPr>
        <a:xfrm>
          <a:off x="61969650" y="45779664"/>
          <a:ext cx="2510122" cy="12452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136M</a:t>
          </a:r>
        </a:p>
      </xdr:txBody>
    </xdr:sp>
    <xdr:clientData/>
  </xdr:twoCellAnchor>
  <xdr:twoCellAnchor>
    <xdr:from>
      <xdr:col>91</xdr:col>
      <xdr:colOff>104323</xdr:colOff>
      <xdr:row>24</xdr:row>
      <xdr:rowOff>704850</xdr:rowOff>
    </xdr:from>
    <xdr:to>
      <xdr:col>97</xdr:col>
      <xdr:colOff>590551</xdr:colOff>
      <xdr:row>28</xdr:row>
      <xdr:rowOff>723900</xdr:rowOff>
    </xdr:to>
    <xdr:sp macro="" textlink="">
      <xdr:nvSpPr>
        <xdr:cNvPr id="20847" name="Freeform 165">
          <a:extLst>
            <a:ext uri="{FF2B5EF4-FFF2-40B4-BE49-F238E27FC236}">
              <a16:creationId xmlns:a16="http://schemas.microsoft.com/office/drawing/2014/main" id="{B3F5652A-AC25-4647-97C0-57FF6280168D}"/>
            </a:ext>
          </a:extLst>
        </xdr:cNvPr>
        <xdr:cNvSpPr/>
      </xdr:nvSpPr>
      <xdr:spPr>
        <a:xfrm>
          <a:off x="94439923" y="16973550"/>
          <a:ext cx="6887028" cy="30670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91</xdr:col>
      <xdr:colOff>76200</xdr:colOff>
      <xdr:row>25</xdr:row>
      <xdr:rowOff>381000</xdr:rowOff>
    </xdr:from>
    <xdr:to>
      <xdr:col>97</xdr:col>
      <xdr:colOff>571501</xdr:colOff>
      <xdr:row>29</xdr:row>
      <xdr:rowOff>190500</xdr:rowOff>
    </xdr:to>
    <xdr:sp macro="" textlink="">
      <xdr:nvSpPr>
        <xdr:cNvPr id="20874" name="TextBox 84">
          <a:extLst>
            <a:ext uri="{FF2B5EF4-FFF2-40B4-BE49-F238E27FC236}">
              <a16:creationId xmlns:a16="http://schemas.microsoft.com/office/drawing/2014/main" id="{C9B635D0-D779-401D-B5B8-2381399C9532}"/>
            </a:ext>
          </a:extLst>
        </xdr:cNvPr>
        <xdr:cNvSpPr txBox="1"/>
      </xdr:nvSpPr>
      <xdr:spPr>
        <a:xfrm>
          <a:off x="94411800" y="17411700"/>
          <a:ext cx="6896101" cy="28575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MARGARETHA 26008 (ADHOC) </a:t>
          </a:r>
          <a:r>
            <a:rPr lang="en-US" sz="32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LOA145M</a:t>
          </a:r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30/0600  ETB 31/0600 ETD 31/0800 MOVES 23 BHL TBA/TBA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2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23 moda /LOAD NIL </a:t>
          </a:r>
          <a:r>
            <a:rPr kumimoji="0" lang="en-US" sz="32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r>
            <a:rPr kumimoji="0" lang="en-US" sz="32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NON CELLULAR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2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951707</xdr:colOff>
      <xdr:row>24</xdr:row>
      <xdr:rowOff>578099</xdr:rowOff>
    </xdr:from>
    <xdr:to>
      <xdr:col>97</xdr:col>
      <xdr:colOff>659435</xdr:colOff>
      <xdr:row>25</xdr:row>
      <xdr:rowOff>700172</xdr:rowOff>
    </xdr:to>
    <xdr:sp macro="" textlink="">
      <xdr:nvSpPr>
        <xdr:cNvPr id="20844" name="TextBox 85">
          <a:extLst>
            <a:ext uri="{FF2B5EF4-FFF2-40B4-BE49-F238E27FC236}">
              <a16:creationId xmlns:a16="http://schemas.microsoft.com/office/drawing/2014/main" id="{9024CD61-6718-4AC3-8720-3733FC43C5F1}"/>
            </a:ext>
          </a:extLst>
        </xdr:cNvPr>
        <xdr:cNvSpPr txBox="1"/>
      </xdr:nvSpPr>
      <xdr:spPr>
        <a:xfrm>
          <a:off x="99554507" y="16846799"/>
          <a:ext cx="1841328" cy="8840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35M</a:t>
          </a:r>
        </a:p>
      </xdr:txBody>
    </xdr:sp>
    <xdr:clientData/>
  </xdr:twoCellAnchor>
  <xdr:twoCellAnchor>
    <xdr:from>
      <xdr:col>91</xdr:col>
      <xdr:colOff>117476</xdr:colOff>
      <xdr:row>24</xdr:row>
      <xdr:rowOff>419100</xdr:rowOff>
    </xdr:from>
    <xdr:to>
      <xdr:col>92</xdr:col>
      <xdr:colOff>850025</xdr:colOff>
      <xdr:row>26</xdr:row>
      <xdr:rowOff>33834</xdr:rowOff>
    </xdr:to>
    <xdr:sp macro="" textlink="">
      <xdr:nvSpPr>
        <xdr:cNvPr id="20845" name="TextBox 86">
          <a:extLst>
            <a:ext uri="{FF2B5EF4-FFF2-40B4-BE49-F238E27FC236}">
              <a16:creationId xmlns:a16="http://schemas.microsoft.com/office/drawing/2014/main" id="{008E776F-6821-4D09-96E5-1822CEADEFF6}"/>
            </a:ext>
          </a:extLst>
        </xdr:cNvPr>
        <xdr:cNvSpPr txBox="1"/>
      </xdr:nvSpPr>
      <xdr:spPr>
        <a:xfrm>
          <a:off x="94453076" y="16687800"/>
          <a:ext cx="1799349" cy="113873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180M</a:t>
          </a:r>
        </a:p>
      </xdr:txBody>
    </xdr:sp>
    <xdr:clientData/>
  </xdr:twoCellAnchor>
  <xdr:twoCellAnchor>
    <xdr:from>
      <xdr:col>90</xdr:col>
      <xdr:colOff>1009649</xdr:colOff>
      <xdr:row>29</xdr:row>
      <xdr:rowOff>190500</xdr:rowOff>
    </xdr:from>
    <xdr:to>
      <xdr:col>98</xdr:col>
      <xdr:colOff>9524</xdr:colOff>
      <xdr:row>42</xdr:row>
      <xdr:rowOff>38100</xdr:rowOff>
    </xdr:to>
    <xdr:sp macro="" textlink="">
      <xdr:nvSpPr>
        <xdr:cNvPr id="20843" name="Freeform 118">
          <a:extLst>
            <a:ext uri="{FF2B5EF4-FFF2-40B4-BE49-F238E27FC236}">
              <a16:creationId xmlns:a16="http://schemas.microsoft.com/office/drawing/2014/main" id="{998222F9-7F48-4450-8BBC-F1EDCB02409C}"/>
            </a:ext>
          </a:extLst>
        </xdr:cNvPr>
        <xdr:cNvSpPr/>
      </xdr:nvSpPr>
      <xdr:spPr>
        <a:xfrm>
          <a:off x="94278449" y="20269200"/>
          <a:ext cx="7534275" cy="9753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90</xdr:col>
      <xdr:colOff>723900</xdr:colOff>
      <xdr:row>31</xdr:row>
      <xdr:rowOff>419100</xdr:rowOff>
    </xdr:from>
    <xdr:to>
      <xdr:col>98</xdr:col>
      <xdr:colOff>228600</xdr:colOff>
      <xdr:row>38</xdr:row>
      <xdr:rowOff>685800</xdr:rowOff>
    </xdr:to>
    <xdr:sp macro="" textlink="">
      <xdr:nvSpPr>
        <xdr:cNvPr id="20882" name="TextBox 88">
          <a:extLst>
            <a:ext uri="{FF2B5EF4-FFF2-40B4-BE49-F238E27FC236}">
              <a16:creationId xmlns:a16="http://schemas.microsoft.com/office/drawing/2014/main" id="{C7A1847D-ACE0-452E-ADC9-358C75424C7C}"/>
            </a:ext>
          </a:extLst>
        </xdr:cNvPr>
        <xdr:cNvSpPr txBox="1"/>
      </xdr:nvSpPr>
      <xdr:spPr>
        <a:xfrm flipH="1">
          <a:off x="93992700" y="22021800"/>
          <a:ext cx="8039100" cy="5600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 SHAN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SAG1226W (ADHOC)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134M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28/1900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31/1000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01/1600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642  AKN  ISK/IZT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272/LOAD 400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96</xdr:col>
      <xdr:colOff>167815</xdr:colOff>
      <xdr:row>29</xdr:row>
      <xdr:rowOff>619866</xdr:rowOff>
    </xdr:from>
    <xdr:to>
      <xdr:col>97</xdr:col>
      <xdr:colOff>876300</xdr:colOff>
      <xdr:row>30</xdr:row>
      <xdr:rowOff>742950</xdr:rowOff>
    </xdr:to>
    <xdr:sp macro="" textlink="">
      <xdr:nvSpPr>
        <xdr:cNvPr id="20840" name="TextBox 90">
          <a:extLst>
            <a:ext uri="{FF2B5EF4-FFF2-40B4-BE49-F238E27FC236}">
              <a16:creationId xmlns:a16="http://schemas.microsoft.com/office/drawing/2014/main" id="{3F6E746B-817C-4962-9B9F-68ED6BD227E7}"/>
            </a:ext>
          </a:extLst>
        </xdr:cNvPr>
        <xdr:cNvSpPr txBox="1"/>
      </xdr:nvSpPr>
      <xdr:spPr>
        <a:xfrm flipH="1">
          <a:off x="99837415" y="20698566"/>
          <a:ext cx="1775285" cy="8850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90</xdr:col>
      <xdr:colOff>847725</xdr:colOff>
      <xdr:row>29</xdr:row>
      <xdr:rowOff>514350</xdr:rowOff>
    </xdr:from>
    <xdr:to>
      <xdr:col>93</xdr:col>
      <xdr:colOff>304800</xdr:colOff>
      <xdr:row>30</xdr:row>
      <xdr:rowOff>400050</xdr:rowOff>
    </xdr:to>
    <xdr:sp macro="" textlink="">
      <xdr:nvSpPr>
        <xdr:cNvPr id="20841" name="TextBox 90">
          <a:extLst>
            <a:ext uri="{FF2B5EF4-FFF2-40B4-BE49-F238E27FC236}">
              <a16:creationId xmlns:a16="http://schemas.microsoft.com/office/drawing/2014/main" id="{74C2E884-C9EC-46C0-A5F5-44FA1FF5C56F}"/>
            </a:ext>
          </a:extLst>
        </xdr:cNvPr>
        <xdr:cNvSpPr txBox="1"/>
      </xdr:nvSpPr>
      <xdr:spPr>
        <a:xfrm flipH="1">
          <a:off x="94116525" y="20593050"/>
          <a:ext cx="2657475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169M</a:t>
          </a:r>
        </a:p>
      </xdr:txBody>
    </xdr:sp>
    <xdr:clientData/>
  </xdr:twoCellAnchor>
  <xdr:twoCellAnchor>
    <xdr:from>
      <xdr:col>70</xdr:col>
      <xdr:colOff>908051</xdr:colOff>
      <xdr:row>17</xdr:row>
      <xdr:rowOff>342900</xdr:rowOff>
    </xdr:from>
    <xdr:to>
      <xdr:col>77</xdr:col>
      <xdr:colOff>298451</xdr:colOff>
      <xdr:row>33</xdr:row>
      <xdr:rowOff>571500</xdr:rowOff>
    </xdr:to>
    <xdr:sp macro="" textlink="">
      <xdr:nvSpPr>
        <xdr:cNvPr id="20796" name="Freeform 118">
          <a:extLst>
            <a:ext uri="{FF2B5EF4-FFF2-40B4-BE49-F238E27FC236}">
              <a16:creationId xmlns:a16="http://schemas.microsoft.com/office/drawing/2014/main" id="{6B055F96-F348-4705-92C9-485F1645541F}"/>
            </a:ext>
          </a:extLst>
        </xdr:cNvPr>
        <xdr:cNvSpPr/>
      </xdr:nvSpPr>
      <xdr:spPr>
        <a:xfrm>
          <a:off x="72840851" y="11277600"/>
          <a:ext cx="6858000" cy="12420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431800</xdr:colOff>
      <xdr:row>19</xdr:row>
      <xdr:rowOff>571500</xdr:rowOff>
    </xdr:from>
    <xdr:to>
      <xdr:col>77</xdr:col>
      <xdr:colOff>473900</xdr:colOff>
      <xdr:row>25</xdr:row>
      <xdr:rowOff>562375</xdr:rowOff>
    </xdr:to>
    <xdr:sp macro="" textlink="">
      <xdr:nvSpPr>
        <xdr:cNvPr id="20806" name="TextBox 88">
          <a:extLst>
            <a:ext uri="{FF2B5EF4-FFF2-40B4-BE49-F238E27FC236}">
              <a16:creationId xmlns:a16="http://schemas.microsoft.com/office/drawing/2014/main" id="{C237E45F-9CD4-482E-BCC7-6BAA86602DE7}"/>
            </a:ext>
          </a:extLst>
        </xdr:cNvPr>
        <xdr:cNvSpPr txBox="1"/>
      </xdr:nvSpPr>
      <xdr:spPr>
        <a:xfrm>
          <a:off x="72364600" y="13030200"/>
          <a:ext cx="7509700" cy="45628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BANYAS 2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RS2632W (RSX)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LOA134M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28/2200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30/1500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31/2300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723 FLK SOK/YNB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398/ LOAD 325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CREW CHANGE</a:t>
          </a:r>
        </a:p>
      </xdr:txBody>
    </xdr:sp>
    <xdr:clientData/>
  </xdr:twoCellAnchor>
  <xdr:twoCellAnchor>
    <xdr:from>
      <xdr:col>75</xdr:col>
      <xdr:colOff>436582</xdr:colOff>
      <xdr:row>18</xdr:row>
      <xdr:rowOff>152401</xdr:rowOff>
    </xdr:from>
    <xdr:to>
      <xdr:col>77</xdr:col>
      <xdr:colOff>448325</xdr:colOff>
      <xdr:row>18</xdr:row>
      <xdr:rowOff>557390</xdr:rowOff>
    </xdr:to>
    <xdr:sp macro="" textlink="">
      <xdr:nvSpPr>
        <xdr:cNvPr id="20774" name="TextBox 90">
          <a:extLst>
            <a:ext uri="{FF2B5EF4-FFF2-40B4-BE49-F238E27FC236}">
              <a16:creationId xmlns:a16="http://schemas.microsoft.com/office/drawing/2014/main" id="{3724399C-F889-4522-A8EA-E6954B608431}"/>
            </a:ext>
          </a:extLst>
        </xdr:cNvPr>
        <xdr:cNvSpPr txBox="1"/>
      </xdr:nvSpPr>
      <xdr:spPr>
        <a:xfrm>
          <a:off x="77703382" y="11849101"/>
          <a:ext cx="2145343" cy="4049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586M</a:t>
          </a:r>
        </a:p>
      </xdr:txBody>
    </xdr:sp>
    <xdr:clientData/>
  </xdr:twoCellAnchor>
  <xdr:twoCellAnchor>
    <xdr:from>
      <xdr:col>70</xdr:col>
      <xdr:colOff>906687</xdr:colOff>
      <xdr:row>18</xdr:row>
      <xdr:rowOff>285265</xdr:rowOff>
    </xdr:from>
    <xdr:to>
      <xdr:col>72</xdr:col>
      <xdr:colOff>985641</xdr:colOff>
      <xdr:row>18</xdr:row>
      <xdr:rowOff>731096</xdr:rowOff>
    </xdr:to>
    <xdr:sp macro="" textlink="">
      <xdr:nvSpPr>
        <xdr:cNvPr id="20775" name="TextBox 90">
          <a:extLst>
            <a:ext uri="{FF2B5EF4-FFF2-40B4-BE49-F238E27FC236}">
              <a16:creationId xmlns:a16="http://schemas.microsoft.com/office/drawing/2014/main" id="{54129BCC-0096-4AB3-941B-230A56878EFF}"/>
            </a:ext>
          </a:extLst>
        </xdr:cNvPr>
        <xdr:cNvSpPr txBox="1"/>
      </xdr:nvSpPr>
      <xdr:spPr>
        <a:xfrm>
          <a:off x="72839487" y="11981965"/>
          <a:ext cx="2212554" cy="44583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</a:p>
      </xdr:txBody>
    </xdr:sp>
    <xdr:clientData/>
  </xdr:twoCellAnchor>
  <xdr:twoCellAnchor>
    <xdr:from>
      <xdr:col>80</xdr:col>
      <xdr:colOff>419100</xdr:colOff>
      <xdr:row>10</xdr:row>
      <xdr:rowOff>114300</xdr:rowOff>
    </xdr:from>
    <xdr:to>
      <xdr:col>88</xdr:col>
      <xdr:colOff>284413</xdr:colOff>
      <xdr:row>32</xdr:row>
      <xdr:rowOff>495300</xdr:rowOff>
    </xdr:to>
    <xdr:sp macro="" textlink="">
      <xdr:nvSpPr>
        <xdr:cNvPr id="20808" name="Freeform 118">
          <a:extLst>
            <a:ext uri="{FF2B5EF4-FFF2-40B4-BE49-F238E27FC236}">
              <a16:creationId xmlns:a16="http://schemas.microsoft.com/office/drawing/2014/main" id="{90CD0EFB-BB93-47D1-81F9-F339A510C54F}"/>
            </a:ext>
            <a:ext uri="{147F2762-F138-4A5C-976F-8EAC2B608ADB}">
              <a16:predDERef xmlns:a16="http://schemas.microsoft.com/office/drawing/2014/main" pred="{83B1F441-6708-4CD4-8A8A-1534F36ADC66}"/>
            </a:ext>
          </a:extLst>
        </xdr:cNvPr>
        <xdr:cNvSpPr/>
      </xdr:nvSpPr>
      <xdr:spPr>
        <a:xfrm>
          <a:off x="83019900" y="5715000"/>
          <a:ext cx="8399713" cy="171450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80</xdr:col>
      <xdr:colOff>609602</xdr:colOff>
      <xdr:row>12</xdr:row>
      <xdr:rowOff>101599</xdr:rowOff>
    </xdr:from>
    <xdr:to>
      <xdr:col>87</xdr:col>
      <xdr:colOff>971548</xdr:colOff>
      <xdr:row>20</xdr:row>
      <xdr:rowOff>304800</xdr:rowOff>
    </xdr:to>
    <xdr:sp macro="" textlink="">
      <xdr:nvSpPr>
        <xdr:cNvPr id="20807" name="TextBox 88">
          <a:extLst>
            <a:ext uri="{FF2B5EF4-FFF2-40B4-BE49-F238E27FC236}">
              <a16:creationId xmlns:a16="http://schemas.microsoft.com/office/drawing/2014/main" id="{5A0E2CE1-4BCD-4DEC-BE56-CE2356B8FEBD}"/>
            </a:ext>
            <a:ext uri="{147F2762-F138-4A5C-976F-8EAC2B608ADB}">
              <a16:predDERef xmlns:a16="http://schemas.microsoft.com/office/drawing/2014/main" pred="{3ABD1301-1855-4535-8DBD-6000333C69F3}"/>
            </a:ext>
          </a:extLst>
        </xdr:cNvPr>
        <xdr:cNvSpPr txBox="1"/>
      </xdr:nvSpPr>
      <xdr:spPr>
        <a:xfrm flipH="1">
          <a:off x="83210402" y="16370299"/>
          <a:ext cx="7829546" cy="629920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TRANSMAR LEGACY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18623 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(RES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204M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ATA 29/0900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ATB 29/0913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01/0600 MOVES 1869 AET ADA/ANCHOR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969 / LOAD 900 529</a:t>
          </a:r>
        </a:p>
      </xdr:txBody>
    </xdr:sp>
    <xdr:clientData/>
  </xdr:twoCellAnchor>
  <xdr:twoCellAnchor>
    <xdr:from>
      <xdr:col>86</xdr:col>
      <xdr:colOff>190502</xdr:colOff>
      <xdr:row>10</xdr:row>
      <xdr:rowOff>533400</xdr:rowOff>
    </xdr:from>
    <xdr:to>
      <xdr:col>87</xdr:col>
      <xdr:colOff>990602</xdr:colOff>
      <xdr:row>11</xdr:row>
      <xdr:rowOff>675767</xdr:rowOff>
    </xdr:to>
    <xdr:sp macro="" textlink="">
      <xdr:nvSpPr>
        <xdr:cNvPr id="20809" name="TextBox 90">
          <a:extLst>
            <a:ext uri="{FF2B5EF4-FFF2-40B4-BE49-F238E27FC236}">
              <a16:creationId xmlns:a16="http://schemas.microsoft.com/office/drawing/2014/main" id="{C1E6C171-4E5A-4E34-8DCE-C861F251395D}"/>
            </a:ext>
            <a:ext uri="{147F2762-F138-4A5C-976F-8EAC2B608ADB}">
              <a16:predDERef xmlns:a16="http://schemas.microsoft.com/office/drawing/2014/main" pred="{BFE0EB75-6329-468E-8418-5AA5807E6C9C}"/>
            </a:ext>
          </a:extLst>
        </xdr:cNvPr>
        <xdr:cNvSpPr txBox="1"/>
      </xdr:nvSpPr>
      <xdr:spPr>
        <a:xfrm flipH="1">
          <a:off x="89192102" y="15278100"/>
          <a:ext cx="1866900" cy="9043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265M</a:t>
          </a:r>
        </a:p>
      </xdr:txBody>
    </xdr:sp>
    <xdr:clientData/>
  </xdr:twoCellAnchor>
  <xdr:twoCellAnchor>
    <xdr:from>
      <xdr:col>80</xdr:col>
      <xdr:colOff>268536</xdr:colOff>
      <xdr:row>10</xdr:row>
      <xdr:rowOff>0</xdr:rowOff>
    </xdr:from>
    <xdr:to>
      <xdr:col>82</xdr:col>
      <xdr:colOff>800099</xdr:colOff>
      <xdr:row>12</xdr:row>
      <xdr:rowOff>609600</xdr:rowOff>
    </xdr:to>
    <xdr:sp macro="" textlink="">
      <xdr:nvSpPr>
        <xdr:cNvPr id="20810" name="TextBox 90">
          <a:extLst>
            <a:ext uri="{FF2B5EF4-FFF2-40B4-BE49-F238E27FC236}">
              <a16:creationId xmlns:a16="http://schemas.microsoft.com/office/drawing/2014/main" id="{95591C22-F4E3-4184-97F3-87D9BFEF20AC}"/>
            </a:ext>
            <a:ext uri="{147F2762-F138-4A5C-976F-8EAC2B608ADB}">
              <a16:predDERef xmlns:a16="http://schemas.microsoft.com/office/drawing/2014/main" pred="{652BD850-3388-41E1-B067-F3658170318A}"/>
            </a:ext>
          </a:extLst>
        </xdr:cNvPr>
        <xdr:cNvSpPr txBox="1"/>
      </xdr:nvSpPr>
      <xdr:spPr>
        <a:xfrm flipH="1">
          <a:off x="82869336" y="14584485"/>
          <a:ext cx="2665163" cy="2293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469M</a:t>
          </a:r>
        </a:p>
      </xdr:txBody>
    </xdr:sp>
    <xdr:clientData/>
  </xdr:twoCellAnchor>
  <xdr:twoCellAnchor>
    <xdr:from>
      <xdr:col>29</xdr:col>
      <xdr:colOff>647700</xdr:colOff>
      <xdr:row>20</xdr:row>
      <xdr:rowOff>381000</xdr:rowOff>
    </xdr:from>
    <xdr:to>
      <xdr:col>44</xdr:col>
      <xdr:colOff>381000</xdr:colOff>
      <xdr:row>68</xdr:row>
      <xdr:rowOff>381000</xdr:rowOff>
    </xdr:to>
    <xdr:sp macro="" textlink="">
      <xdr:nvSpPr>
        <xdr:cNvPr id="21046" name="Freeform 118">
          <a:extLst>
            <a:ext uri="{FF2B5EF4-FFF2-40B4-BE49-F238E27FC236}">
              <a16:creationId xmlns:a16="http://schemas.microsoft.com/office/drawing/2014/main" id="{EBA5C8C8-172C-469E-845A-4B84EC146838}"/>
            </a:ext>
            <a:ext uri="{147F2762-F138-4A5C-976F-8EAC2B608ADB}">
              <a16:predDERef xmlns:a16="http://schemas.microsoft.com/office/drawing/2014/main" pred="{95591C22-F4E3-4184-97F3-87D9BFEF20AC}"/>
            </a:ext>
          </a:extLst>
        </xdr:cNvPr>
        <xdr:cNvSpPr/>
      </xdr:nvSpPr>
      <xdr:spPr>
        <a:xfrm>
          <a:off x="29641800" y="13601700"/>
          <a:ext cx="15735300" cy="365760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r>
            <a:rPr lang="en-US" sz="40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29</xdr:col>
      <xdr:colOff>304800</xdr:colOff>
      <xdr:row>22</xdr:row>
      <xdr:rowOff>47624</xdr:rowOff>
    </xdr:from>
    <xdr:to>
      <xdr:col>32</xdr:col>
      <xdr:colOff>739476</xdr:colOff>
      <xdr:row>24</xdr:row>
      <xdr:rowOff>597455</xdr:rowOff>
    </xdr:to>
    <xdr:sp macro="" textlink="">
      <xdr:nvSpPr>
        <xdr:cNvPr id="16077" name="TextBox 401">
          <a:extLst>
            <a:ext uri="{FF2B5EF4-FFF2-40B4-BE49-F238E27FC236}">
              <a16:creationId xmlns:a16="http://schemas.microsoft.com/office/drawing/2014/main" id="{7EFF450B-41E6-4511-8895-CDB39B681EB8}"/>
            </a:ext>
          </a:extLst>
        </xdr:cNvPr>
        <xdr:cNvSpPr txBox="1"/>
      </xdr:nvSpPr>
      <xdr:spPr>
        <a:xfrm flipH="1">
          <a:off x="29298900" y="14792324"/>
          <a:ext cx="3635076" cy="207383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411M</a:t>
          </a:r>
        </a:p>
      </xdr:txBody>
    </xdr:sp>
    <xdr:clientData/>
  </xdr:twoCellAnchor>
  <xdr:twoCellAnchor>
    <xdr:from>
      <xdr:col>31</xdr:col>
      <xdr:colOff>371513</xdr:colOff>
      <xdr:row>26</xdr:row>
      <xdr:rowOff>481696</xdr:rowOff>
    </xdr:from>
    <xdr:to>
      <xdr:col>42</xdr:col>
      <xdr:colOff>370780</xdr:colOff>
      <xdr:row>38</xdr:row>
      <xdr:rowOff>678964</xdr:rowOff>
    </xdr:to>
    <xdr:sp macro="" textlink="">
      <xdr:nvSpPr>
        <xdr:cNvPr id="18585" name="TextBox 400">
          <a:extLst>
            <a:ext uri="{FF2B5EF4-FFF2-40B4-BE49-F238E27FC236}">
              <a16:creationId xmlns:a16="http://schemas.microsoft.com/office/drawing/2014/main" id="{3C4757E2-24D1-4F03-8B1D-654CEE77FB25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31499213" y="18274396"/>
          <a:ext cx="11734067" cy="934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APOLLON RX2030E19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(RES2EB)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366M/51M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28/2300 ETB 30/2100 ETD 03/2000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10589 CMA  AQJ/TAO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4695/ LOAD 5894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14.2/14.6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1031312</xdr:colOff>
      <xdr:row>23</xdr:row>
      <xdr:rowOff>21563</xdr:rowOff>
    </xdr:from>
    <xdr:to>
      <xdr:col>43</xdr:col>
      <xdr:colOff>1043272</xdr:colOff>
      <xdr:row>23</xdr:row>
      <xdr:rowOff>749813</xdr:rowOff>
    </xdr:to>
    <xdr:sp macro="" textlink="">
      <xdr:nvSpPr>
        <xdr:cNvPr id="16078" name="TextBox 402">
          <a:extLst>
            <a:ext uri="{FF2B5EF4-FFF2-40B4-BE49-F238E27FC236}">
              <a16:creationId xmlns:a16="http://schemas.microsoft.com/office/drawing/2014/main" id="{AEC94922-A496-4F5A-BAD7-C36A326329DC}"/>
            </a:ext>
          </a:extLst>
        </xdr:cNvPr>
        <xdr:cNvSpPr txBox="1"/>
      </xdr:nvSpPr>
      <xdr:spPr>
        <a:xfrm flipH="1">
          <a:off x="42827012" y="15528263"/>
          <a:ext cx="2145560" cy="728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</a:p>
      </xdr:txBody>
    </xdr:sp>
    <xdr:clientData/>
  </xdr:twoCellAnchor>
  <xdr:twoCellAnchor>
    <xdr:from>
      <xdr:col>80</xdr:col>
      <xdr:colOff>76200</xdr:colOff>
      <xdr:row>64</xdr:row>
      <xdr:rowOff>304800</xdr:rowOff>
    </xdr:from>
    <xdr:to>
      <xdr:col>87</xdr:col>
      <xdr:colOff>76200</xdr:colOff>
      <xdr:row>88</xdr:row>
      <xdr:rowOff>190500</xdr:rowOff>
    </xdr:to>
    <xdr:sp macro="" textlink="">
      <xdr:nvSpPr>
        <xdr:cNvPr id="20717" name="Freeform 118">
          <a:extLst>
            <a:ext uri="{FF2B5EF4-FFF2-40B4-BE49-F238E27FC236}">
              <a16:creationId xmlns:a16="http://schemas.microsoft.com/office/drawing/2014/main" id="{7EE84821-EFE2-485C-ABC7-17680BCBA26B}"/>
            </a:ext>
          </a:extLst>
        </xdr:cNvPr>
        <xdr:cNvSpPr/>
      </xdr:nvSpPr>
      <xdr:spPr>
        <a:xfrm>
          <a:off x="82677000" y="47053500"/>
          <a:ext cx="7467600" cy="18173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79</xdr:col>
      <xdr:colOff>981075</xdr:colOff>
      <xdr:row>68</xdr:row>
      <xdr:rowOff>9525</xdr:rowOff>
    </xdr:from>
    <xdr:to>
      <xdr:col>86</xdr:col>
      <xdr:colOff>1013650</xdr:colOff>
      <xdr:row>77</xdr:row>
      <xdr:rowOff>390525</xdr:rowOff>
    </xdr:to>
    <xdr:sp macro="" textlink="">
      <xdr:nvSpPr>
        <xdr:cNvPr id="20640" name="TextBox 88">
          <a:extLst>
            <a:ext uri="{FF2B5EF4-FFF2-40B4-BE49-F238E27FC236}">
              <a16:creationId xmlns:a16="http://schemas.microsoft.com/office/drawing/2014/main" id="{8DEE7084-8AB6-48FE-B9CC-710926F827E6}"/>
            </a:ext>
          </a:extLst>
        </xdr:cNvPr>
        <xdr:cNvSpPr txBox="1"/>
      </xdr:nvSpPr>
      <xdr:spPr>
        <a:xfrm>
          <a:off x="82515075" y="49806225"/>
          <a:ext cx="7500175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KAI DA HONG ZHOU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KDHZ2636W (ADHOC)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LOA150M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03/1100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03/1300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05/1200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1220 CUL SOK/SOK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600 / LOAD 620</a:t>
          </a:r>
        </a:p>
      </xdr:txBody>
    </xdr:sp>
    <xdr:clientData/>
  </xdr:twoCellAnchor>
  <xdr:twoCellAnchor>
    <xdr:from>
      <xdr:col>85</xdr:col>
      <xdr:colOff>538182</xdr:colOff>
      <xdr:row>65</xdr:row>
      <xdr:rowOff>209550</xdr:rowOff>
    </xdr:from>
    <xdr:to>
      <xdr:col>87</xdr:col>
      <xdr:colOff>511825</xdr:colOff>
      <xdr:row>66</xdr:row>
      <xdr:rowOff>19050</xdr:rowOff>
    </xdr:to>
    <xdr:sp macro="" textlink="">
      <xdr:nvSpPr>
        <xdr:cNvPr id="20685" name="TextBox 90">
          <a:extLst>
            <a:ext uri="{FF2B5EF4-FFF2-40B4-BE49-F238E27FC236}">
              <a16:creationId xmlns:a16="http://schemas.microsoft.com/office/drawing/2014/main" id="{077398DC-3240-4BC9-882F-27A83FB72A45}"/>
            </a:ext>
          </a:extLst>
        </xdr:cNvPr>
        <xdr:cNvSpPr txBox="1"/>
      </xdr:nvSpPr>
      <xdr:spPr>
        <a:xfrm flipH="1">
          <a:off x="88472982" y="47720250"/>
          <a:ext cx="21072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322M</a:t>
          </a:r>
        </a:p>
      </xdr:txBody>
    </xdr:sp>
    <xdr:clientData/>
  </xdr:twoCellAnchor>
  <xdr:twoCellAnchor>
    <xdr:from>
      <xdr:col>79</xdr:col>
      <xdr:colOff>1046387</xdr:colOff>
      <xdr:row>65</xdr:row>
      <xdr:rowOff>266700</xdr:rowOff>
    </xdr:from>
    <xdr:to>
      <xdr:col>82</xdr:col>
      <xdr:colOff>39491</xdr:colOff>
      <xdr:row>66</xdr:row>
      <xdr:rowOff>266700</xdr:rowOff>
    </xdr:to>
    <xdr:sp macro="" textlink="">
      <xdr:nvSpPr>
        <xdr:cNvPr id="20691" name="TextBox 90">
          <a:extLst>
            <a:ext uri="{FF2B5EF4-FFF2-40B4-BE49-F238E27FC236}">
              <a16:creationId xmlns:a16="http://schemas.microsoft.com/office/drawing/2014/main" id="{E3A2291E-3A8B-48EF-8D0F-C10F8EA46AB4}"/>
            </a:ext>
          </a:extLst>
        </xdr:cNvPr>
        <xdr:cNvSpPr txBox="1"/>
      </xdr:nvSpPr>
      <xdr:spPr>
        <a:xfrm flipH="1">
          <a:off x="82580387" y="47777400"/>
          <a:ext cx="2193504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472M</a:t>
          </a:r>
        </a:p>
      </xdr:txBody>
    </xdr:sp>
    <xdr:clientData/>
  </xdr:twoCellAnchor>
  <xdr:twoCellAnchor>
    <xdr:from>
      <xdr:col>92</xdr:col>
      <xdr:colOff>132898</xdr:colOff>
      <xdr:row>42</xdr:row>
      <xdr:rowOff>609601</xdr:rowOff>
    </xdr:from>
    <xdr:to>
      <xdr:col>97</xdr:col>
      <xdr:colOff>990600</xdr:colOff>
      <xdr:row>57</xdr:row>
      <xdr:rowOff>723900</xdr:rowOff>
    </xdr:to>
    <xdr:sp macro="" textlink="">
      <xdr:nvSpPr>
        <xdr:cNvPr id="20713" name="Freeform 165">
          <a:extLst>
            <a:ext uri="{FF2B5EF4-FFF2-40B4-BE49-F238E27FC236}">
              <a16:creationId xmlns:a16="http://schemas.microsoft.com/office/drawing/2014/main" id="{5A1420F1-B7EC-46D8-88B5-8A30075A69C1}"/>
            </a:ext>
          </a:extLst>
        </xdr:cNvPr>
        <xdr:cNvSpPr/>
      </xdr:nvSpPr>
      <xdr:spPr>
        <a:xfrm>
          <a:off x="95535298" y="30594301"/>
          <a:ext cx="6191702" cy="11544299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91</xdr:col>
      <xdr:colOff>952500</xdr:colOff>
      <xdr:row>44</xdr:row>
      <xdr:rowOff>561977</xdr:rowOff>
    </xdr:from>
    <xdr:to>
      <xdr:col>97</xdr:col>
      <xdr:colOff>838200</xdr:colOff>
      <xdr:row>53</xdr:row>
      <xdr:rowOff>123826</xdr:rowOff>
    </xdr:to>
    <xdr:sp macro="" textlink="">
      <xdr:nvSpPr>
        <xdr:cNvPr id="20715" name="TextBox 84">
          <a:extLst>
            <a:ext uri="{FF2B5EF4-FFF2-40B4-BE49-F238E27FC236}">
              <a16:creationId xmlns:a16="http://schemas.microsoft.com/office/drawing/2014/main" id="{ABEC6883-AECD-429C-BFEA-702E259CAD37}"/>
            </a:ext>
          </a:extLst>
        </xdr:cNvPr>
        <xdr:cNvSpPr txBox="1"/>
      </xdr:nvSpPr>
      <xdr:spPr>
        <a:xfrm>
          <a:off x="95288100" y="32070677"/>
          <a:ext cx="6286500" cy="641984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BABYLON BB2601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LOA101M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30/TBA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01/1800 ETD 03/0001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220  SJL PSD/NSA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856456</xdr:colOff>
      <xdr:row>43</xdr:row>
      <xdr:rowOff>273300</xdr:rowOff>
    </xdr:from>
    <xdr:to>
      <xdr:col>97</xdr:col>
      <xdr:colOff>573709</xdr:colOff>
      <xdr:row>44</xdr:row>
      <xdr:rowOff>409660</xdr:rowOff>
    </xdr:to>
    <xdr:sp macro="" textlink="">
      <xdr:nvSpPr>
        <xdr:cNvPr id="20706" name="TextBox 85">
          <a:extLst>
            <a:ext uri="{FF2B5EF4-FFF2-40B4-BE49-F238E27FC236}">
              <a16:creationId xmlns:a16="http://schemas.microsoft.com/office/drawing/2014/main" id="{23253893-DF47-4192-A860-A9ED6B262837}"/>
            </a:ext>
          </a:extLst>
        </xdr:cNvPr>
        <xdr:cNvSpPr txBox="1"/>
      </xdr:nvSpPr>
      <xdr:spPr>
        <a:xfrm>
          <a:off x="99459256" y="31020000"/>
          <a:ext cx="1850853" cy="8983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35M</a:t>
          </a:r>
        </a:p>
      </xdr:txBody>
    </xdr:sp>
    <xdr:clientData/>
  </xdr:twoCellAnchor>
  <xdr:twoCellAnchor>
    <xdr:from>
      <xdr:col>92</xdr:col>
      <xdr:colOff>155575</xdr:colOff>
      <xdr:row>43</xdr:row>
      <xdr:rowOff>190501</xdr:rowOff>
    </xdr:from>
    <xdr:to>
      <xdr:col>93</xdr:col>
      <xdr:colOff>897649</xdr:colOff>
      <xdr:row>44</xdr:row>
      <xdr:rowOff>581522</xdr:rowOff>
    </xdr:to>
    <xdr:sp macro="" textlink="">
      <xdr:nvSpPr>
        <xdr:cNvPr id="20701" name="TextBox 86">
          <a:extLst>
            <a:ext uri="{FF2B5EF4-FFF2-40B4-BE49-F238E27FC236}">
              <a16:creationId xmlns:a16="http://schemas.microsoft.com/office/drawing/2014/main" id="{BB6A1A10-999F-4723-AF41-C4BCE8AF96A7}"/>
            </a:ext>
          </a:extLst>
        </xdr:cNvPr>
        <xdr:cNvSpPr txBox="1"/>
      </xdr:nvSpPr>
      <xdr:spPr>
        <a:xfrm>
          <a:off x="95557975" y="30937201"/>
          <a:ext cx="1808874" cy="11530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136M</a:t>
          </a:r>
        </a:p>
      </xdr:txBody>
    </xdr:sp>
    <xdr:clientData/>
  </xdr:twoCellAnchor>
  <xdr:twoCellAnchor>
    <xdr:from>
      <xdr:col>52</xdr:col>
      <xdr:colOff>495298</xdr:colOff>
      <xdr:row>55</xdr:row>
      <xdr:rowOff>704850</xdr:rowOff>
    </xdr:from>
    <xdr:to>
      <xdr:col>60</xdr:col>
      <xdr:colOff>561973</xdr:colOff>
      <xdr:row>75</xdr:row>
      <xdr:rowOff>114300</xdr:rowOff>
    </xdr:to>
    <xdr:sp macro="" textlink="">
      <xdr:nvSpPr>
        <xdr:cNvPr id="15603" name="Freeform 118">
          <a:extLst>
            <a:ext uri="{FF2B5EF4-FFF2-40B4-BE49-F238E27FC236}">
              <a16:creationId xmlns:a16="http://schemas.microsoft.com/office/drawing/2014/main" id="{A15B779D-1C41-47D6-B28A-5372E4DA8B3A}"/>
            </a:ext>
          </a:extLst>
        </xdr:cNvPr>
        <xdr:cNvSpPr/>
      </xdr:nvSpPr>
      <xdr:spPr>
        <a:xfrm flipH="1">
          <a:off x="54025798" y="58883550"/>
          <a:ext cx="8601075" cy="146494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1009650</xdr:colOff>
      <xdr:row>58</xdr:row>
      <xdr:rowOff>133349</xdr:rowOff>
    </xdr:from>
    <xdr:to>
      <xdr:col>60</xdr:col>
      <xdr:colOff>4000</xdr:colOff>
      <xdr:row>65</xdr:row>
      <xdr:rowOff>361950</xdr:rowOff>
    </xdr:to>
    <xdr:sp macro="" textlink="">
      <xdr:nvSpPr>
        <xdr:cNvPr id="18308" name="TextBox 88">
          <a:extLst>
            <a:ext uri="{FF2B5EF4-FFF2-40B4-BE49-F238E27FC236}">
              <a16:creationId xmlns:a16="http://schemas.microsoft.com/office/drawing/2014/main" id="{84FB4CAA-14C5-4567-8720-72C88671A897}"/>
            </a:ext>
          </a:extLst>
        </xdr:cNvPr>
        <xdr:cNvSpPr txBox="1"/>
      </xdr:nvSpPr>
      <xdr:spPr>
        <a:xfrm flipH="1">
          <a:off x="54540150" y="60598049"/>
          <a:ext cx="7528750" cy="556260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KR TASMAN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KRTM2634E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(REX-2)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LOA191M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ETA02/1800 ETB 02/2000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04/1000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1751 CUL PKG/SOK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851/ LOAD 900</a:t>
          </a:r>
        </a:p>
      </xdr:txBody>
    </xdr:sp>
    <xdr:clientData/>
  </xdr:twoCellAnchor>
  <xdr:twoCellAnchor>
    <xdr:from>
      <xdr:col>58</xdr:col>
      <xdr:colOff>776307</xdr:colOff>
      <xdr:row>56</xdr:row>
      <xdr:rowOff>228600</xdr:rowOff>
    </xdr:from>
    <xdr:to>
      <xdr:col>60</xdr:col>
      <xdr:colOff>788050</xdr:colOff>
      <xdr:row>57</xdr:row>
      <xdr:rowOff>38100</xdr:rowOff>
    </xdr:to>
    <xdr:sp macro="" textlink="">
      <xdr:nvSpPr>
        <xdr:cNvPr id="15601" name="TextBox 90">
          <a:extLst>
            <a:ext uri="{FF2B5EF4-FFF2-40B4-BE49-F238E27FC236}">
              <a16:creationId xmlns:a16="http://schemas.microsoft.com/office/drawing/2014/main" id="{4334B963-4D3B-4598-854E-178FEC5C2E48}"/>
            </a:ext>
          </a:extLst>
        </xdr:cNvPr>
        <xdr:cNvSpPr txBox="1"/>
      </xdr:nvSpPr>
      <xdr:spPr>
        <a:xfrm flipH="1">
          <a:off x="60707607" y="59169300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189M</a:t>
          </a:r>
        </a:p>
      </xdr:txBody>
    </xdr:sp>
    <xdr:clientData/>
  </xdr:twoCellAnchor>
  <xdr:twoCellAnchor>
    <xdr:from>
      <xdr:col>52</xdr:col>
      <xdr:colOff>647700</xdr:colOff>
      <xdr:row>56</xdr:row>
      <xdr:rowOff>209550</xdr:rowOff>
    </xdr:from>
    <xdr:to>
      <xdr:col>54</xdr:col>
      <xdr:colOff>698079</xdr:colOff>
      <xdr:row>56</xdr:row>
      <xdr:rowOff>758583</xdr:rowOff>
    </xdr:to>
    <xdr:sp macro="" textlink="">
      <xdr:nvSpPr>
        <xdr:cNvPr id="15600" name="TextBox 90">
          <a:extLst>
            <a:ext uri="{FF2B5EF4-FFF2-40B4-BE49-F238E27FC236}">
              <a16:creationId xmlns:a16="http://schemas.microsoft.com/office/drawing/2014/main" id="{1F94520B-FB39-439D-B53A-373311A675FD}"/>
            </a:ext>
          </a:extLst>
        </xdr:cNvPr>
        <xdr:cNvSpPr txBox="1"/>
      </xdr:nvSpPr>
      <xdr:spPr>
        <a:xfrm flipH="1">
          <a:off x="54178200" y="59150250"/>
          <a:ext cx="2183979" cy="549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</a:p>
      </xdr:txBody>
    </xdr:sp>
    <xdr:clientData/>
  </xdr:twoCellAnchor>
  <xdr:twoCellAnchor>
    <xdr:from>
      <xdr:col>29</xdr:col>
      <xdr:colOff>762040</xdr:colOff>
      <xdr:row>69</xdr:row>
      <xdr:rowOff>0</xdr:rowOff>
    </xdr:from>
    <xdr:to>
      <xdr:col>44</xdr:col>
      <xdr:colOff>114340</xdr:colOff>
      <xdr:row>95</xdr:row>
      <xdr:rowOff>76200</xdr:rowOff>
    </xdr:to>
    <xdr:sp macro="" textlink="">
      <xdr:nvSpPr>
        <xdr:cNvPr id="20318" name="Freeform 118">
          <a:extLst>
            <a:ext uri="{FF2B5EF4-FFF2-40B4-BE49-F238E27FC236}">
              <a16:creationId xmlns:a16="http://schemas.microsoft.com/office/drawing/2014/main" id="{3ECF6E26-28C7-4B99-B4FB-E35F586D21D6}"/>
            </a:ext>
          </a:extLst>
        </xdr:cNvPr>
        <xdr:cNvSpPr/>
      </xdr:nvSpPr>
      <xdr:spPr>
        <a:xfrm>
          <a:off x="29756140" y="59702700"/>
          <a:ext cx="15354300" cy="19888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76200</xdr:colOff>
      <xdr:row>70</xdr:row>
      <xdr:rowOff>152401</xdr:rowOff>
    </xdr:from>
    <xdr:to>
      <xdr:col>32</xdr:col>
      <xdr:colOff>381000</xdr:colOff>
      <xdr:row>71</xdr:row>
      <xdr:rowOff>212529</xdr:rowOff>
    </xdr:to>
    <xdr:sp macro="" textlink="">
      <xdr:nvSpPr>
        <xdr:cNvPr id="18299" name="TextBox 401">
          <a:extLst>
            <a:ext uri="{FF2B5EF4-FFF2-40B4-BE49-F238E27FC236}">
              <a16:creationId xmlns:a16="http://schemas.microsoft.com/office/drawing/2014/main" id="{7180F53B-DCAB-4133-89B9-7B1AE014B279}"/>
            </a:ext>
          </a:extLst>
        </xdr:cNvPr>
        <xdr:cNvSpPr txBox="1"/>
      </xdr:nvSpPr>
      <xdr:spPr>
        <a:xfrm flipH="1">
          <a:off x="30137100" y="69761101"/>
          <a:ext cx="2438400" cy="82212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411M</a:t>
          </a:r>
        </a:p>
      </xdr:txBody>
    </xdr:sp>
    <xdr:clientData/>
  </xdr:twoCellAnchor>
  <xdr:twoCellAnchor>
    <xdr:from>
      <xdr:col>30</xdr:col>
      <xdr:colOff>1038250</xdr:colOff>
      <xdr:row>73</xdr:row>
      <xdr:rowOff>1</xdr:rowOff>
    </xdr:from>
    <xdr:to>
      <xdr:col>43</xdr:col>
      <xdr:colOff>114295</xdr:colOff>
      <xdr:row>83</xdr:row>
      <xdr:rowOff>419101</xdr:rowOff>
    </xdr:to>
    <xdr:sp macro="" textlink="">
      <xdr:nvSpPr>
        <xdr:cNvPr id="20333" name="TextBox 400">
          <a:extLst>
            <a:ext uri="{FF2B5EF4-FFF2-40B4-BE49-F238E27FC236}">
              <a16:creationId xmlns:a16="http://schemas.microsoft.com/office/drawing/2014/main" id="{3B44DE15-E6E5-4238-964B-E4AB8FD3F35A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31099150" y="62750701"/>
          <a:ext cx="12944445" cy="803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SIMONA IS634R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366M /51M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03/0800 ETB 03/2200 ETD 06/0200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4777 MSC AKI/KAP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2093 / LOAD 2684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RF:289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16.60/16.60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593162</xdr:colOff>
      <xdr:row>70</xdr:row>
      <xdr:rowOff>21564</xdr:rowOff>
    </xdr:from>
    <xdr:to>
      <xdr:col>43</xdr:col>
      <xdr:colOff>605122</xdr:colOff>
      <xdr:row>71</xdr:row>
      <xdr:rowOff>171450</xdr:rowOff>
    </xdr:to>
    <xdr:sp macro="" textlink="">
      <xdr:nvSpPr>
        <xdr:cNvPr id="18298" name="TextBox 402">
          <a:extLst>
            <a:ext uri="{FF2B5EF4-FFF2-40B4-BE49-F238E27FC236}">
              <a16:creationId xmlns:a16="http://schemas.microsoft.com/office/drawing/2014/main" id="{A49D3FD4-A975-423A-B855-74CD69960FE3}"/>
            </a:ext>
          </a:extLst>
        </xdr:cNvPr>
        <xdr:cNvSpPr txBox="1"/>
      </xdr:nvSpPr>
      <xdr:spPr>
        <a:xfrm flipH="1">
          <a:off x="42388862" y="69630264"/>
          <a:ext cx="2145560" cy="9118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</a:p>
      </xdr:txBody>
    </xdr:sp>
    <xdr:clientData/>
  </xdr:twoCellAnchor>
  <xdr:twoCellAnchor>
    <xdr:from>
      <xdr:col>102</xdr:col>
      <xdr:colOff>247197</xdr:colOff>
      <xdr:row>10</xdr:row>
      <xdr:rowOff>76200</xdr:rowOff>
    </xdr:from>
    <xdr:to>
      <xdr:col>109</xdr:col>
      <xdr:colOff>577850</xdr:colOff>
      <xdr:row>30</xdr:row>
      <xdr:rowOff>152400</xdr:rowOff>
    </xdr:to>
    <xdr:sp macro="" textlink="">
      <xdr:nvSpPr>
        <xdr:cNvPr id="20812" name="Freeform 165">
          <a:extLst>
            <a:ext uri="{FF2B5EF4-FFF2-40B4-BE49-F238E27FC236}">
              <a16:creationId xmlns:a16="http://schemas.microsoft.com/office/drawing/2014/main" id="{98877DB2-7A9A-469C-A250-7F76AC0500B8}"/>
            </a:ext>
          </a:extLst>
        </xdr:cNvPr>
        <xdr:cNvSpPr/>
      </xdr:nvSpPr>
      <xdr:spPr>
        <a:xfrm>
          <a:off x="106317597" y="14820900"/>
          <a:ext cx="7798253" cy="15316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102</xdr:col>
      <xdr:colOff>38100</xdr:colOff>
      <xdr:row>12</xdr:row>
      <xdr:rowOff>114300</xdr:rowOff>
    </xdr:from>
    <xdr:to>
      <xdr:col>109</xdr:col>
      <xdr:colOff>534307</xdr:colOff>
      <xdr:row>21</xdr:row>
      <xdr:rowOff>685800</xdr:rowOff>
    </xdr:to>
    <xdr:sp macro="" textlink="">
      <xdr:nvSpPr>
        <xdr:cNvPr id="23086" name="TextBox 84">
          <a:extLst>
            <a:ext uri="{FF2B5EF4-FFF2-40B4-BE49-F238E27FC236}">
              <a16:creationId xmlns:a16="http://schemas.microsoft.com/office/drawing/2014/main" id="{DD7EF3D8-6A77-4BA7-95BD-9A7F4CCE9893}"/>
            </a:ext>
          </a:extLst>
        </xdr:cNvPr>
        <xdr:cNvSpPr txBox="1"/>
      </xdr:nvSpPr>
      <xdr:spPr>
        <a:xfrm>
          <a:off x="106108500" y="7239000"/>
          <a:ext cx="7963807" cy="74295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X-PRESS KARAKORAM</a:t>
          </a:r>
        </a:p>
        <a:p>
          <a:pPr algn="ctr"/>
          <a:r>
            <a:rPr lang="en-US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26007E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LOA222M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ATA 28/2236 ATB 29/0054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31/1700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834 XPF SOK/TBC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304 /LOAD 401 311</a:t>
          </a:r>
        </a:p>
      </xdr:txBody>
    </xdr:sp>
    <xdr:clientData/>
  </xdr:twoCellAnchor>
  <xdr:twoCellAnchor>
    <xdr:from>
      <xdr:col>107</xdr:col>
      <xdr:colOff>589756</xdr:colOff>
      <xdr:row>10</xdr:row>
      <xdr:rowOff>520949</xdr:rowOff>
    </xdr:from>
    <xdr:to>
      <xdr:col>109</xdr:col>
      <xdr:colOff>316534</xdr:colOff>
      <xdr:row>11</xdr:row>
      <xdr:rowOff>685884</xdr:rowOff>
    </xdr:to>
    <xdr:sp macro="" textlink="">
      <xdr:nvSpPr>
        <xdr:cNvPr id="20813" name="TextBox 85">
          <a:extLst>
            <a:ext uri="{FF2B5EF4-FFF2-40B4-BE49-F238E27FC236}">
              <a16:creationId xmlns:a16="http://schemas.microsoft.com/office/drawing/2014/main" id="{56879660-FEF6-4D1E-A9E2-C6283905CF10}"/>
            </a:ext>
          </a:extLst>
        </xdr:cNvPr>
        <xdr:cNvSpPr txBox="1"/>
      </xdr:nvSpPr>
      <xdr:spPr>
        <a:xfrm>
          <a:off x="111994156" y="15265649"/>
          <a:ext cx="1860378" cy="9269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860M</a:t>
          </a:r>
        </a:p>
      </xdr:txBody>
    </xdr:sp>
    <xdr:clientData/>
  </xdr:twoCellAnchor>
  <xdr:twoCellAnchor>
    <xdr:from>
      <xdr:col>102</xdr:col>
      <xdr:colOff>688975</xdr:colOff>
      <xdr:row>10</xdr:row>
      <xdr:rowOff>323850</xdr:rowOff>
    </xdr:from>
    <xdr:to>
      <xdr:col>104</xdr:col>
      <xdr:colOff>628650</xdr:colOff>
      <xdr:row>11</xdr:row>
      <xdr:rowOff>724396</xdr:rowOff>
    </xdr:to>
    <xdr:sp macro="" textlink="">
      <xdr:nvSpPr>
        <xdr:cNvPr id="20814" name="TextBox 86">
          <a:extLst>
            <a:ext uri="{FF2B5EF4-FFF2-40B4-BE49-F238E27FC236}">
              <a16:creationId xmlns:a16="http://schemas.microsoft.com/office/drawing/2014/main" id="{3BC9E264-3B6A-4A58-A014-4C7A643F575B}"/>
            </a:ext>
          </a:extLst>
        </xdr:cNvPr>
        <xdr:cNvSpPr txBox="1"/>
      </xdr:nvSpPr>
      <xdr:spPr>
        <a:xfrm>
          <a:off x="106759375" y="15068550"/>
          <a:ext cx="2073275" cy="11625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1082M</a:t>
          </a:r>
        </a:p>
      </xdr:txBody>
    </xdr:sp>
    <xdr:clientData/>
  </xdr:twoCellAnchor>
  <xdr:twoCellAnchor>
    <xdr:from>
      <xdr:col>16</xdr:col>
      <xdr:colOff>914400</xdr:colOff>
      <xdr:row>121</xdr:row>
      <xdr:rowOff>76200</xdr:rowOff>
    </xdr:from>
    <xdr:to>
      <xdr:col>30</xdr:col>
      <xdr:colOff>304797</xdr:colOff>
      <xdr:row>130</xdr:row>
      <xdr:rowOff>0</xdr:rowOff>
    </xdr:to>
    <xdr:sp macro="" textlink="">
      <xdr:nvSpPr>
        <xdr:cNvPr id="20255" name="Freeform 118">
          <a:extLst>
            <a:ext uri="{FF2B5EF4-FFF2-40B4-BE49-F238E27FC236}">
              <a16:creationId xmlns:a16="http://schemas.microsoft.com/office/drawing/2014/main" id="{00D2A002-B061-4D55-B49F-89A2F6E2D85C}"/>
            </a:ext>
          </a:extLst>
        </xdr:cNvPr>
        <xdr:cNvSpPr/>
      </xdr:nvSpPr>
      <xdr:spPr>
        <a:xfrm>
          <a:off x="16002000" y="99402900"/>
          <a:ext cx="14363697" cy="7124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914400</xdr:colOff>
      <xdr:row>121</xdr:row>
      <xdr:rowOff>54637</xdr:rowOff>
    </xdr:from>
    <xdr:to>
      <xdr:col>18</xdr:col>
      <xdr:colOff>876300</xdr:colOff>
      <xdr:row>122</xdr:row>
      <xdr:rowOff>638174</xdr:rowOff>
    </xdr:to>
    <xdr:sp macro="" textlink="">
      <xdr:nvSpPr>
        <xdr:cNvPr id="20241" name="TextBox 401">
          <a:extLst>
            <a:ext uri="{FF2B5EF4-FFF2-40B4-BE49-F238E27FC236}">
              <a16:creationId xmlns:a16="http://schemas.microsoft.com/office/drawing/2014/main" id="{D796264D-92DD-4A2B-B0DF-F85794191650}"/>
            </a:ext>
          </a:extLst>
        </xdr:cNvPr>
        <xdr:cNvSpPr txBox="1"/>
      </xdr:nvSpPr>
      <xdr:spPr>
        <a:xfrm flipH="1">
          <a:off x="16002000" y="99381337"/>
          <a:ext cx="2133600" cy="1345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100M</a:t>
          </a:r>
        </a:p>
      </xdr:txBody>
    </xdr:sp>
    <xdr:clientData/>
  </xdr:twoCellAnchor>
  <xdr:twoCellAnchor>
    <xdr:from>
      <xdr:col>17</xdr:col>
      <xdr:colOff>1038258</xdr:colOff>
      <xdr:row>122</xdr:row>
      <xdr:rowOff>609600</xdr:rowOff>
    </xdr:from>
    <xdr:to>
      <xdr:col>28</xdr:col>
      <xdr:colOff>1037525</xdr:colOff>
      <xdr:row>127</xdr:row>
      <xdr:rowOff>714374</xdr:rowOff>
    </xdr:to>
    <xdr:sp macro="" textlink="">
      <xdr:nvSpPr>
        <xdr:cNvPr id="20267" name="TextBox 400">
          <a:extLst>
            <a:ext uri="{FF2B5EF4-FFF2-40B4-BE49-F238E27FC236}">
              <a16:creationId xmlns:a16="http://schemas.microsoft.com/office/drawing/2014/main" id="{CC15D510-B388-45A8-90BC-3DE07E920B21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17192658" y="100698300"/>
          <a:ext cx="11772167" cy="391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LA SCALA 0MXP7W1MA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(MEDEX-W)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334M/43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08/0300  ETB 08/0600 ETD 09/0100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967 CMA  DJI / PSD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467 / LOAD 500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</a:p>
      </xdr:txBody>
    </xdr:sp>
    <xdr:clientData/>
  </xdr:twoCellAnchor>
  <xdr:twoCellAnchor>
    <xdr:from>
      <xdr:col>28</xdr:col>
      <xdr:colOff>133350</xdr:colOff>
      <xdr:row>120</xdr:row>
      <xdr:rowOff>647700</xdr:rowOff>
    </xdr:from>
    <xdr:to>
      <xdr:col>30</xdr:col>
      <xdr:colOff>509872</xdr:colOff>
      <xdr:row>122</xdr:row>
      <xdr:rowOff>368961</xdr:rowOff>
    </xdr:to>
    <xdr:sp macro="" textlink="">
      <xdr:nvSpPr>
        <xdr:cNvPr id="20240" name="TextBox 402">
          <a:extLst>
            <a:ext uri="{FF2B5EF4-FFF2-40B4-BE49-F238E27FC236}">
              <a16:creationId xmlns:a16="http://schemas.microsoft.com/office/drawing/2014/main" id="{FBFFE02A-D0CF-469A-B966-2A61D1EA596E}"/>
            </a:ext>
          </a:extLst>
        </xdr:cNvPr>
        <xdr:cNvSpPr txBox="1"/>
      </xdr:nvSpPr>
      <xdr:spPr>
        <a:xfrm flipH="1">
          <a:off x="28060650" y="99212400"/>
          <a:ext cx="2510122" cy="12452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434M</a:t>
          </a:r>
        </a:p>
      </xdr:txBody>
    </xdr:sp>
    <xdr:clientData/>
  </xdr:twoCellAnchor>
  <xdr:twoCellAnchor>
    <xdr:from>
      <xdr:col>71</xdr:col>
      <xdr:colOff>76200</xdr:colOff>
      <xdr:row>65</xdr:row>
      <xdr:rowOff>304801</xdr:rowOff>
    </xdr:from>
    <xdr:to>
      <xdr:col>78</xdr:col>
      <xdr:colOff>190500</xdr:colOff>
      <xdr:row>73</xdr:row>
      <xdr:rowOff>685800</xdr:rowOff>
    </xdr:to>
    <xdr:sp macro="" textlink="">
      <xdr:nvSpPr>
        <xdr:cNvPr id="17778" name="Freeform 118">
          <a:extLst>
            <a:ext uri="{FF2B5EF4-FFF2-40B4-BE49-F238E27FC236}">
              <a16:creationId xmlns:a16="http://schemas.microsoft.com/office/drawing/2014/main" id="{EA9AB165-9BDC-442B-BCD1-95C0AAD42D4A}"/>
            </a:ext>
          </a:extLst>
        </xdr:cNvPr>
        <xdr:cNvSpPr/>
      </xdr:nvSpPr>
      <xdr:spPr>
        <a:xfrm>
          <a:off x="73075800" y="47815501"/>
          <a:ext cx="7581900" cy="6476999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71</xdr:col>
      <xdr:colOff>266699</xdr:colOff>
      <xdr:row>67</xdr:row>
      <xdr:rowOff>114300</xdr:rowOff>
    </xdr:from>
    <xdr:to>
      <xdr:col>77</xdr:col>
      <xdr:colOff>533399</xdr:colOff>
      <xdr:row>75</xdr:row>
      <xdr:rowOff>76200</xdr:rowOff>
    </xdr:to>
    <xdr:sp macro="" textlink="">
      <xdr:nvSpPr>
        <xdr:cNvPr id="17301" name="TextBox 145">
          <a:extLst>
            <a:ext uri="{FF2B5EF4-FFF2-40B4-BE49-F238E27FC236}">
              <a16:creationId xmlns:a16="http://schemas.microsoft.com/office/drawing/2014/main" id="{34317356-CD59-4CED-B4A6-CB91EA09496E}"/>
            </a:ext>
          </a:extLst>
        </xdr:cNvPr>
        <xdr:cNvSpPr txBox="1"/>
      </xdr:nvSpPr>
      <xdr:spPr>
        <a:xfrm flipH="1">
          <a:off x="73266299" y="49149000"/>
          <a:ext cx="6667500" cy="6057900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SUMMIT XIAMEN   X608W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03/1200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03/1400 ETD 04/0800 MOVES 338 GGS  PZU/BEY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138/LOAD 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914400</xdr:colOff>
      <xdr:row>65</xdr:row>
      <xdr:rowOff>381000</xdr:rowOff>
    </xdr:from>
    <xdr:to>
      <xdr:col>73</xdr:col>
      <xdr:colOff>81032</xdr:colOff>
      <xdr:row>67</xdr:row>
      <xdr:rowOff>550033</xdr:rowOff>
    </xdr:to>
    <xdr:sp macro="" textlink="">
      <xdr:nvSpPr>
        <xdr:cNvPr id="17774" name="TextBox 150">
          <a:extLst>
            <a:ext uri="{FF2B5EF4-FFF2-40B4-BE49-F238E27FC236}">
              <a16:creationId xmlns:a16="http://schemas.microsoft.com/office/drawing/2014/main" id="{CB2451A8-5A00-4737-83E6-0FF26B0603EE}"/>
            </a:ext>
          </a:extLst>
        </xdr:cNvPr>
        <xdr:cNvSpPr txBox="1"/>
      </xdr:nvSpPr>
      <xdr:spPr>
        <a:xfrm flipH="1">
          <a:off x="72847200" y="47891700"/>
          <a:ext cx="2367032" cy="1693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750M</a:t>
          </a:r>
        </a:p>
      </xdr:txBody>
    </xdr:sp>
    <xdr:clientData/>
  </xdr:twoCellAnchor>
  <xdr:twoCellAnchor>
    <xdr:from>
      <xdr:col>76</xdr:col>
      <xdr:colOff>133352</xdr:colOff>
      <xdr:row>65</xdr:row>
      <xdr:rowOff>723900</xdr:rowOff>
    </xdr:from>
    <xdr:to>
      <xdr:col>78</xdr:col>
      <xdr:colOff>59084</xdr:colOff>
      <xdr:row>67</xdr:row>
      <xdr:rowOff>723900</xdr:rowOff>
    </xdr:to>
    <xdr:sp macro="" textlink="">
      <xdr:nvSpPr>
        <xdr:cNvPr id="17775" name="TextBox 153">
          <a:extLst>
            <a:ext uri="{FF2B5EF4-FFF2-40B4-BE49-F238E27FC236}">
              <a16:creationId xmlns:a16="http://schemas.microsoft.com/office/drawing/2014/main" id="{7D6F4D6D-E55E-4F97-BDC1-8275AF5B67AE}"/>
            </a:ext>
          </a:extLst>
        </xdr:cNvPr>
        <xdr:cNvSpPr txBox="1"/>
      </xdr:nvSpPr>
      <xdr:spPr>
        <a:xfrm rot="10800000" flipH="1" flipV="1">
          <a:off x="78466952" y="48234600"/>
          <a:ext cx="2059332" cy="152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603M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80</xdr:col>
      <xdr:colOff>76200</xdr:colOff>
      <xdr:row>36</xdr:row>
      <xdr:rowOff>304800</xdr:rowOff>
    </xdr:from>
    <xdr:to>
      <xdr:col>87</xdr:col>
      <xdr:colOff>1047750</xdr:colOff>
      <xdr:row>56</xdr:row>
      <xdr:rowOff>76200</xdr:rowOff>
    </xdr:to>
    <xdr:sp macro="" textlink="">
      <xdr:nvSpPr>
        <xdr:cNvPr id="20792" name="Freeform 118">
          <a:extLst>
            <a:ext uri="{FF2B5EF4-FFF2-40B4-BE49-F238E27FC236}">
              <a16:creationId xmlns:a16="http://schemas.microsoft.com/office/drawing/2014/main" id="{FDCD924F-841E-4BC8-B6CE-A6784F4E129F}"/>
            </a:ext>
          </a:extLst>
        </xdr:cNvPr>
        <xdr:cNvSpPr/>
      </xdr:nvSpPr>
      <xdr:spPr>
        <a:xfrm>
          <a:off x="82677000" y="25717500"/>
          <a:ext cx="8439150" cy="150114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80</xdr:col>
      <xdr:colOff>381000</xdr:colOff>
      <xdr:row>38</xdr:row>
      <xdr:rowOff>647700</xdr:rowOff>
    </xdr:from>
    <xdr:to>
      <xdr:col>87</xdr:col>
      <xdr:colOff>699326</xdr:colOff>
      <xdr:row>50</xdr:row>
      <xdr:rowOff>38100</xdr:rowOff>
    </xdr:to>
    <xdr:sp macro="" textlink="">
      <xdr:nvSpPr>
        <xdr:cNvPr id="20798" name="TextBox 88">
          <a:extLst>
            <a:ext uri="{FF2B5EF4-FFF2-40B4-BE49-F238E27FC236}">
              <a16:creationId xmlns:a16="http://schemas.microsoft.com/office/drawing/2014/main" id="{4ACD39EE-AF9A-46E5-83F5-EE05C86F16FC}"/>
            </a:ext>
          </a:extLst>
        </xdr:cNvPr>
        <xdr:cNvSpPr txBox="1"/>
      </xdr:nvSpPr>
      <xdr:spPr>
        <a:xfrm>
          <a:off x="82981800" y="27584400"/>
          <a:ext cx="7785926" cy="85344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CUL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HUMEN  CUHM2635W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(REX-2)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LOA184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01/0300 ETB 01/0500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02/2200  MOVES 1507 CUL SOK /SOK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757/ LOAD 750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C00FF"/>
              </a:solidFill>
              <a:effectLst/>
              <a:latin typeface="+mn-lt"/>
              <a:ea typeface="+mn-ea"/>
              <a:cs typeface="+mn-cs"/>
            </a:rPr>
            <a:t>SHIP CRANES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C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85</xdr:col>
      <xdr:colOff>814408</xdr:colOff>
      <xdr:row>37</xdr:row>
      <xdr:rowOff>123825</xdr:rowOff>
    </xdr:from>
    <xdr:to>
      <xdr:col>87</xdr:col>
      <xdr:colOff>816626</xdr:colOff>
      <xdr:row>37</xdr:row>
      <xdr:rowOff>571500</xdr:rowOff>
    </xdr:to>
    <xdr:sp macro="" textlink="">
      <xdr:nvSpPr>
        <xdr:cNvPr id="20794" name="TextBox 90">
          <a:extLst>
            <a:ext uri="{FF2B5EF4-FFF2-40B4-BE49-F238E27FC236}">
              <a16:creationId xmlns:a16="http://schemas.microsoft.com/office/drawing/2014/main" id="{3D93F61F-C1A8-4854-B31D-809A5DBB9CE2}"/>
            </a:ext>
          </a:extLst>
        </xdr:cNvPr>
        <xdr:cNvSpPr txBox="1"/>
      </xdr:nvSpPr>
      <xdr:spPr>
        <a:xfrm>
          <a:off x="88749208" y="26298525"/>
          <a:ext cx="2135818" cy="447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300M</a:t>
          </a:r>
        </a:p>
      </xdr:txBody>
    </xdr:sp>
    <xdr:clientData/>
  </xdr:twoCellAnchor>
  <xdr:twoCellAnchor>
    <xdr:from>
      <xdr:col>80</xdr:col>
      <xdr:colOff>46263</xdr:colOff>
      <xdr:row>36</xdr:row>
      <xdr:rowOff>751990</xdr:rowOff>
    </xdr:from>
    <xdr:to>
      <xdr:col>82</xdr:col>
      <xdr:colOff>191892</xdr:colOff>
      <xdr:row>37</xdr:row>
      <xdr:rowOff>685800</xdr:rowOff>
    </xdr:to>
    <xdr:sp macro="" textlink="">
      <xdr:nvSpPr>
        <xdr:cNvPr id="20795" name="TextBox 90">
          <a:extLst>
            <a:ext uri="{FF2B5EF4-FFF2-40B4-BE49-F238E27FC236}">
              <a16:creationId xmlns:a16="http://schemas.microsoft.com/office/drawing/2014/main" id="{37E91FCC-4CDF-46B0-97D5-9CBA9BEA9792}"/>
            </a:ext>
          </a:extLst>
        </xdr:cNvPr>
        <xdr:cNvSpPr txBox="1"/>
      </xdr:nvSpPr>
      <xdr:spPr>
        <a:xfrm>
          <a:off x="82647063" y="26164690"/>
          <a:ext cx="2279229" cy="6958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484M</a:t>
          </a:r>
        </a:p>
      </xdr:txBody>
    </xdr:sp>
    <xdr:clientData/>
  </xdr:twoCellAnchor>
  <xdr:twoCellAnchor>
    <xdr:from>
      <xdr:col>89</xdr:col>
      <xdr:colOff>723900</xdr:colOff>
      <xdr:row>10</xdr:row>
      <xdr:rowOff>190500</xdr:rowOff>
    </xdr:from>
    <xdr:to>
      <xdr:col>97</xdr:col>
      <xdr:colOff>513013</xdr:colOff>
      <xdr:row>24</xdr:row>
      <xdr:rowOff>152400</xdr:rowOff>
    </xdr:to>
    <xdr:sp macro="" textlink="">
      <xdr:nvSpPr>
        <xdr:cNvPr id="20848" name="Freeform 118">
          <a:extLst>
            <a:ext uri="{FF2B5EF4-FFF2-40B4-BE49-F238E27FC236}">
              <a16:creationId xmlns:a16="http://schemas.microsoft.com/office/drawing/2014/main" id="{90E59771-939B-4180-BFDF-5CCAE8117F5E}"/>
            </a:ext>
            <a:ext uri="{147F2762-F138-4A5C-976F-8EAC2B608ADB}">
              <a16:predDERef xmlns:a16="http://schemas.microsoft.com/office/drawing/2014/main" pred="{83B1F441-6708-4CD4-8A8A-1534F36ADC66}"/>
            </a:ext>
          </a:extLst>
        </xdr:cNvPr>
        <xdr:cNvSpPr/>
      </xdr:nvSpPr>
      <xdr:spPr>
        <a:xfrm>
          <a:off x="92925900" y="5791200"/>
          <a:ext cx="8323513" cy="106299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89</xdr:col>
      <xdr:colOff>685800</xdr:colOff>
      <xdr:row>11</xdr:row>
      <xdr:rowOff>419100</xdr:rowOff>
    </xdr:from>
    <xdr:to>
      <xdr:col>97</xdr:col>
      <xdr:colOff>381000</xdr:colOff>
      <xdr:row>19</xdr:row>
      <xdr:rowOff>304800</xdr:rowOff>
    </xdr:to>
    <xdr:sp macro="" textlink="">
      <xdr:nvSpPr>
        <xdr:cNvPr id="20883" name="TextBox 88">
          <a:extLst>
            <a:ext uri="{FF2B5EF4-FFF2-40B4-BE49-F238E27FC236}">
              <a16:creationId xmlns:a16="http://schemas.microsoft.com/office/drawing/2014/main" id="{769BD074-141E-4EEF-B5CF-CC29BBE9D90B}"/>
            </a:ext>
            <a:ext uri="{147F2762-F138-4A5C-976F-8EAC2B608ADB}">
              <a16:predDERef xmlns:a16="http://schemas.microsoft.com/office/drawing/2014/main" pred="{3ABD1301-1855-4535-8DBD-6000333C69F3}"/>
            </a:ext>
          </a:extLst>
        </xdr:cNvPr>
        <xdr:cNvSpPr txBox="1"/>
      </xdr:nvSpPr>
      <xdr:spPr>
        <a:xfrm flipH="1">
          <a:off x="92887800" y="15925800"/>
          <a:ext cx="8229600" cy="5981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NALURI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KNLR2372E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180M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ATA 28/1200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ATB 28/1318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31/0400 MOVES 1508  PIL  SGA/PZU </a:t>
          </a: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786/ LOAD 740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crew change 209</a:t>
          </a:r>
        </a:p>
      </xdr:txBody>
    </xdr:sp>
    <xdr:clientData/>
  </xdr:twoCellAnchor>
  <xdr:twoCellAnchor>
    <xdr:from>
      <xdr:col>95</xdr:col>
      <xdr:colOff>571500</xdr:colOff>
      <xdr:row>10</xdr:row>
      <xdr:rowOff>312615</xdr:rowOff>
    </xdr:from>
    <xdr:to>
      <xdr:col>97</xdr:col>
      <xdr:colOff>361950</xdr:colOff>
      <xdr:row>11</xdr:row>
      <xdr:rowOff>454982</xdr:rowOff>
    </xdr:to>
    <xdr:sp macro="" textlink="">
      <xdr:nvSpPr>
        <xdr:cNvPr id="20838" name="TextBox 90">
          <a:extLst>
            <a:ext uri="{FF2B5EF4-FFF2-40B4-BE49-F238E27FC236}">
              <a16:creationId xmlns:a16="http://schemas.microsoft.com/office/drawing/2014/main" id="{857BB1E4-4C27-4872-AF14-FA65ED734551}"/>
            </a:ext>
            <a:ext uri="{147F2762-F138-4A5C-976F-8EAC2B608ADB}">
              <a16:predDERef xmlns:a16="http://schemas.microsoft.com/office/drawing/2014/main" pred="{BFE0EB75-6329-468E-8418-5AA5807E6C9C}"/>
            </a:ext>
          </a:extLst>
        </xdr:cNvPr>
        <xdr:cNvSpPr txBox="1"/>
      </xdr:nvSpPr>
      <xdr:spPr>
        <a:xfrm flipH="1">
          <a:off x="99174300" y="15057315"/>
          <a:ext cx="1924050" cy="9043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35M</a:t>
          </a:r>
        </a:p>
      </xdr:txBody>
    </xdr:sp>
    <xdr:clientData/>
  </xdr:twoCellAnchor>
  <xdr:twoCellAnchor>
    <xdr:from>
      <xdr:col>90</xdr:col>
      <xdr:colOff>1835</xdr:colOff>
      <xdr:row>10</xdr:row>
      <xdr:rowOff>457200</xdr:rowOff>
    </xdr:from>
    <xdr:to>
      <xdr:col>91</xdr:col>
      <xdr:colOff>663456</xdr:colOff>
      <xdr:row>11</xdr:row>
      <xdr:rowOff>462859</xdr:rowOff>
    </xdr:to>
    <xdr:sp macro="" textlink="">
      <xdr:nvSpPr>
        <xdr:cNvPr id="20839" name="TextBox 90">
          <a:extLst>
            <a:ext uri="{FF2B5EF4-FFF2-40B4-BE49-F238E27FC236}">
              <a16:creationId xmlns:a16="http://schemas.microsoft.com/office/drawing/2014/main" id="{874D6555-DC89-4ED3-9DC7-7A0061C486A8}"/>
            </a:ext>
            <a:ext uri="{147F2762-F138-4A5C-976F-8EAC2B608ADB}">
              <a16:predDERef xmlns:a16="http://schemas.microsoft.com/office/drawing/2014/main" pred="{652BD850-3388-41E1-B067-F3658170318A}"/>
            </a:ext>
          </a:extLst>
        </xdr:cNvPr>
        <xdr:cNvSpPr txBox="1"/>
      </xdr:nvSpPr>
      <xdr:spPr>
        <a:xfrm flipH="1">
          <a:off x="93270635" y="15201900"/>
          <a:ext cx="1728421" cy="76765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215M</a:t>
          </a:r>
        </a:p>
      </xdr:txBody>
    </xdr:sp>
    <xdr:clientData/>
  </xdr:twoCellAnchor>
  <xdr:twoCellAnchor>
    <xdr:from>
      <xdr:col>15</xdr:col>
      <xdr:colOff>457201</xdr:colOff>
      <xdr:row>10</xdr:row>
      <xdr:rowOff>76200</xdr:rowOff>
    </xdr:from>
    <xdr:to>
      <xdr:col>25</xdr:col>
      <xdr:colOff>228600</xdr:colOff>
      <xdr:row>29</xdr:row>
      <xdr:rowOff>571500</xdr:rowOff>
    </xdr:to>
    <xdr:sp macro="" textlink="">
      <xdr:nvSpPr>
        <xdr:cNvPr id="20751" name="Freeform 118">
          <a:extLst>
            <a:ext uri="{FF2B5EF4-FFF2-40B4-BE49-F238E27FC236}">
              <a16:creationId xmlns:a16="http://schemas.microsoft.com/office/drawing/2014/main" id="{676F8EA5-9738-449C-B3B9-6AF82D0301F2}"/>
            </a:ext>
            <a:ext uri="{147F2762-F138-4A5C-976F-8EAC2B608ADB}">
              <a16:predDERef xmlns:a16="http://schemas.microsoft.com/office/drawing/2014/main" pred="{B07EA2AA-159C-44FE-B5F9-24C1E0259D46}"/>
            </a:ext>
          </a:extLst>
        </xdr:cNvPr>
        <xdr:cNvSpPr/>
      </xdr:nvSpPr>
      <xdr:spPr>
        <a:xfrm>
          <a:off x="14478001" y="5676900"/>
          <a:ext cx="10477499" cy="14973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180973</xdr:colOff>
      <xdr:row>13</xdr:row>
      <xdr:rowOff>34968</xdr:rowOff>
    </xdr:from>
    <xdr:to>
      <xdr:col>24</xdr:col>
      <xdr:colOff>115016</xdr:colOff>
      <xdr:row>19</xdr:row>
      <xdr:rowOff>647699</xdr:rowOff>
    </xdr:to>
    <xdr:sp macro="" textlink="">
      <xdr:nvSpPr>
        <xdr:cNvPr id="20752" name="TextBox 88">
          <a:extLst>
            <a:ext uri="{FF2B5EF4-FFF2-40B4-BE49-F238E27FC236}">
              <a16:creationId xmlns:a16="http://schemas.microsoft.com/office/drawing/2014/main" id="{403CA8E5-66C2-4294-8A98-C3F8DA455D98}"/>
            </a:ext>
          </a:extLst>
        </xdr:cNvPr>
        <xdr:cNvSpPr txBox="1"/>
      </xdr:nvSpPr>
      <xdr:spPr>
        <a:xfrm flipH="1">
          <a:off x="15268573" y="7921668"/>
          <a:ext cx="8506543" cy="518473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XIN HAI KOU 337E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LOA263M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ATA 29/1030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ATB 29/1325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31/1500 MOVES 2368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 ISK/LAU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1536 / LOAD 800</a:t>
          </a:r>
        </a:p>
      </xdr:txBody>
    </xdr:sp>
    <xdr:clientData/>
  </xdr:twoCellAnchor>
  <xdr:twoCellAnchor>
    <xdr:from>
      <xdr:col>22</xdr:col>
      <xdr:colOff>1006352</xdr:colOff>
      <xdr:row>10</xdr:row>
      <xdr:rowOff>606674</xdr:rowOff>
    </xdr:from>
    <xdr:to>
      <xdr:col>25</xdr:col>
      <xdr:colOff>128195</xdr:colOff>
      <xdr:row>12</xdr:row>
      <xdr:rowOff>52203</xdr:rowOff>
    </xdr:to>
    <xdr:sp macro="" textlink="">
      <xdr:nvSpPr>
        <xdr:cNvPr id="20753" name="TextBox 90">
          <a:extLst>
            <a:ext uri="{FF2B5EF4-FFF2-40B4-BE49-F238E27FC236}">
              <a16:creationId xmlns:a16="http://schemas.microsoft.com/office/drawing/2014/main" id="{FEF76995-CABF-495E-81E7-C6981C9CDAFA}"/>
            </a:ext>
          </a:extLst>
        </xdr:cNvPr>
        <xdr:cNvSpPr txBox="1"/>
      </xdr:nvSpPr>
      <xdr:spPr>
        <a:xfrm flipH="1">
          <a:off x="22532852" y="15351374"/>
          <a:ext cx="2322243" cy="9695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347M</a:t>
          </a:r>
        </a:p>
      </xdr:txBody>
    </xdr:sp>
    <xdr:clientData/>
  </xdr:twoCellAnchor>
  <xdr:twoCellAnchor>
    <xdr:from>
      <xdr:col>15</xdr:col>
      <xdr:colOff>114300</xdr:colOff>
      <xdr:row>10</xdr:row>
      <xdr:rowOff>479425</xdr:rowOff>
    </xdr:from>
    <xdr:to>
      <xdr:col>17</xdr:col>
      <xdr:colOff>630010</xdr:colOff>
      <xdr:row>12</xdr:row>
      <xdr:rowOff>28040</xdr:rowOff>
    </xdr:to>
    <xdr:sp macro="" textlink="">
      <xdr:nvSpPr>
        <xdr:cNvPr id="20754" name="TextBox 90">
          <a:extLst>
            <a:ext uri="{FF2B5EF4-FFF2-40B4-BE49-F238E27FC236}">
              <a16:creationId xmlns:a16="http://schemas.microsoft.com/office/drawing/2014/main" id="{082C77A7-5F38-4E5D-B971-B79660AA3596}"/>
            </a:ext>
          </a:extLst>
        </xdr:cNvPr>
        <xdr:cNvSpPr txBox="1"/>
      </xdr:nvSpPr>
      <xdr:spPr>
        <a:xfrm flipH="1">
          <a:off x="14135100" y="15224125"/>
          <a:ext cx="2649310" cy="10726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84M</a:t>
          </a:r>
        </a:p>
      </xdr:txBody>
    </xdr:sp>
    <xdr:clientData/>
  </xdr:twoCellAnchor>
  <xdr:twoCellAnchor>
    <xdr:from>
      <xdr:col>102</xdr:col>
      <xdr:colOff>1018723</xdr:colOff>
      <xdr:row>47</xdr:row>
      <xdr:rowOff>704850</xdr:rowOff>
    </xdr:from>
    <xdr:to>
      <xdr:col>109</xdr:col>
      <xdr:colOff>438151</xdr:colOff>
      <xdr:row>67</xdr:row>
      <xdr:rowOff>723900</xdr:rowOff>
    </xdr:to>
    <xdr:sp macro="" textlink="">
      <xdr:nvSpPr>
        <xdr:cNvPr id="20718" name="Freeform 165">
          <a:extLst>
            <a:ext uri="{FF2B5EF4-FFF2-40B4-BE49-F238E27FC236}">
              <a16:creationId xmlns:a16="http://schemas.microsoft.com/office/drawing/2014/main" id="{C6265801-7926-4854-BDC2-F7849842A3E1}"/>
            </a:ext>
          </a:extLst>
        </xdr:cNvPr>
        <xdr:cNvSpPr/>
      </xdr:nvSpPr>
      <xdr:spPr>
        <a:xfrm>
          <a:off x="107089123" y="43643550"/>
          <a:ext cx="6887028" cy="152590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102</xdr:col>
      <xdr:colOff>914400</xdr:colOff>
      <xdr:row>51</xdr:row>
      <xdr:rowOff>385763</xdr:rowOff>
    </xdr:from>
    <xdr:to>
      <xdr:col>109</xdr:col>
      <xdr:colOff>342901</xdr:colOff>
      <xdr:row>59</xdr:row>
      <xdr:rowOff>204788</xdr:rowOff>
    </xdr:to>
    <xdr:sp macro="" textlink="">
      <xdr:nvSpPr>
        <xdr:cNvPr id="20728" name="TextBox 84">
          <a:extLst>
            <a:ext uri="{FF2B5EF4-FFF2-40B4-BE49-F238E27FC236}">
              <a16:creationId xmlns:a16="http://schemas.microsoft.com/office/drawing/2014/main" id="{47115148-EEC0-4523-9A81-CA52C9B46238}"/>
            </a:ext>
          </a:extLst>
        </xdr:cNvPr>
        <xdr:cNvSpPr txBox="1"/>
      </xdr:nvSpPr>
      <xdr:spPr>
        <a:xfrm>
          <a:off x="106984800" y="46372463"/>
          <a:ext cx="6896101" cy="59150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LDR BEDEL 2602S 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</a:t>
          </a:r>
          <a:r>
            <a:rPr lang="en-US" sz="32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LOA88 M</a:t>
          </a:r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01/1100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02/0300 ETD 03/1800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375 OVP SOK/TBA</a:t>
          </a:r>
        </a:p>
        <a:p>
          <a:pPr algn="ctr"/>
          <a:r>
            <a:rPr lang="en-US" sz="3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2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175 /LOAD 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</a:p>
        <a:p>
          <a:pPr algn="ctr"/>
          <a:endParaRPr lang="en-US" sz="32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3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107</xdr:col>
      <xdr:colOff>704057</xdr:colOff>
      <xdr:row>47</xdr:row>
      <xdr:rowOff>654299</xdr:rowOff>
    </xdr:from>
    <xdr:to>
      <xdr:col>109</xdr:col>
      <xdr:colOff>430835</xdr:colOff>
      <xdr:row>49</xdr:row>
      <xdr:rowOff>14372</xdr:rowOff>
    </xdr:to>
    <xdr:sp macro="" textlink="">
      <xdr:nvSpPr>
        <xdr:cNvPr id="20671" name="TextBox 85">
          <a:extLst>
            <a:ext uri="{FF2B5EF4-FFF2-40B4-BE49-F238E27FC236}">
              <a16:creationId xmlns:a16="http://schemas.microsoft.com/office/drawing/2014/main" id="{9C094F69-6CC3-4100-8D69-A34DD9B177E7}"/>
            </a:ext>
          </a:extLst>
        </xdr:cNvPr>
        <xdr:cNvSpPr txBox="1"/>
      </xdr:nvSpPr>
      <xdr:spPr>
        <a:xfrm>
          <a:off x="112108457" y="43592999"/>
          <a:ext cx="1860378" cy="8840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860M</a:t>
          </a:r>
        </a:p>
      </xdr:txBody>
    </xdr:sp>
    <xdr:clientData/>
  </xdr:twoCellAnchor>
  <xdr:twoCellAnchor>
    <xdr:from>
      <xdr:col>102</xdr:col>
      <xdr:colOff>955676</xdr:colOff>
      <xdr:row>47</xdr:row>
      <xdr:rowOff>609600</xdr:rowOff>
    </xdr:from>
    <xdr:to>
      <xdr:col>104</xdr:col>
      <xdr:colOff>621425</xdr:colOff>
      <xdr:row>49</xdr:row>
      <xdr:rowOff>224334</xdr:rowOff>
    </xdr:to>
    <xdr:sp macro="" textlink="">
      <xdr:nvSpPr>
        <xdr:cNvPr id="20672" name="TextBox 86">
          <a:extLst>
            <a:ext uri="{FF2B5EF4-FFF2-40B4-BE49-F238E27FC236}">
              <a16:creationId xmlns:a16="http://schemas.microsoft.com/office/drawing/2014/main" id="{63420B0D-3202-4638-8077-47CDF22D021F}"/>
            </a:ext>
          </a:extLst>
        </xdr:cNvPr>
        <xdr:cNvSpPr txBox="1"/>
      </xdr:nvSpPr>
      <xdr:spPr>
        <a:xfrm>
          <a:off x="107026076" y="43548300"/>
          <a:ext cx="1799349" cy="113873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1005M</a:t>
          </a:r>
        </a:p>
      </xdr:txBody>
    </xdr:sp>
    <xdr:clientData/>
  </xdr:twoCellAnchor>
  <xdr:twoCellAnchor>
    <xdr:from>
      <xdr:col>70</xdr:col>
      <xdr:colOff>990600</xdr:colOff>
      <xdr:row>117</xdr:row>
      <xdr:rowOff>381000</xdr:rowOff>
    </xdr:from>
    <xdr:to>
      <xdr:col>78</xdr:col>
      <xdr:colOff>1047750</xdr:colOff>
      <xdr:row>130</xdr:row>
      <xdr:rowOff>0</xdr:rowOff>
    </xdr:to>
    <xdr:sp macro="" textlink="">
      <xdr:nvSpPr>
        <xdr:cNvPr id="17912" name="Freeform 118">
          <a:extLst>
            <a:ext uri="{FF2B5EF4-FFF2-40B4-BE49-F238E27FC236}">
              <a16:creationId xmlns:a16="http://schemas.microsoft.com/office/drawing/2014/main" id="{49A1418B-8DBF-40F7-9E01-37C40336AE25}"/>
            </a:ext>
          </a:extLst>
        </xdr:cNvPr>
        <xdr:cNvSpPr/>
      </xdr:nvSpPr>
      <xdr:spPr>
        <a:xfrm>
          <a:off x="72923400" y="114947700"/>
          <a:ext cx="8591550" cy="18021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71</xdr:col>
      <xdr:colOff>533400</xdr:colOff>
      <xdr:row>122</xdr:row>
      <xdr:rowOff>38099</xdr:rowOff>
    </xdr:from>
    <xdr:to>
      <xdr:col>78</xdr:col>
      <xdr:colOff>585025</xdr:colOff>
      <xdr:row>129</xdr:row>
      <xdr:rowOff>266700</xdr:rowOff>
    </xdr:to>
    <xdr:sp macro="" textlink="">
      <xdr:nvSpPr>
        <xdr:cNvPr id="17309" name="TextBox 88">
          <a:extLst>
            <a:ext uri="{FF2B5EF4-FFF2-40B4-BE49-F238E27FC236}">
              <a16:creationId xmlns:a16="http://schemas.microsoft.com/office/drawing/2014/main" id="{C569D529-2365-4C96-84D2-52E9C5A08D50}"/>
            </a:ext>
          </a:extLst>
        </xdr:cNvPr>
        <xdr:cNvSpPr txBox="1"/>
      </xdr:nvSpPr>
      <xdr:spPr>
        <a:xfrm>
          <a:off x="73533000" y="118414799"/>
          <a:ext cx="7519225" cy="556260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CUL KLANG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CUKL2634E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(REX-2)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LOA189M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07/2100 ETB 07/2300 TBA ETD 09/TBA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PKG/PKG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1324 / LOAD TBA</a:t>
          </a:r>
        </a:p>
      </xdr:txBody>
    </xdr:sp>
    <xdr:clientData/>
  </xdr:twoCellAnchor>
  <xdr:twoCellAnchor>
    <xdr:from>
      <xdr:col>76</xdr:col>
      <xdr:colOff>785832</xdr:colOff>
      <xdr:row>118</xdr:row>
      <xdr:rowOff>419100</xdr:rowOff>
    </xdr:from>
    <xdr:to>
      <xdr:col>78</xdr:col>
      <xdr:colOff>797575</xdr:colOff>
      <xdr:row>119</xdr:row>
      <xdr:rowOff>228600</xdr:rowOff>
    </xdr:to>
    <xdr:sp macro="" textlink="">
      <xdr:nvSpPr>
        <xdr:cNvPr id="17914" name="TextBox 90">
          <a:extLst>
            <a:ext uri="{FF2B5EF4-FFF2-40B4-BE49-F238E27FC236}">
              <a16:creationId xmlns:a16="http://schemas.microsoft.com/office/drawing/2014/main" id="{AA43B76F-EE4D-45F8-986D-CF6AD13B48A0}"/>
            </a:ext>
          </a:extLst>
        </xdr:cNvPr>
        <xdr:cNvSpPr txBox="1"/>
      </xdr:nvSpPr>
      <xdr:spPr>
        <a:xfrm>
          <a:off x="79119432" y="115747800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544M</a:t>
          </a:r>
        </a:p>
      </xdr:txBody>
    </xdr:sp>
    <xdr:clientData/>
  </xdr:twoCellAnchor>
  <xdr:twoCellAnchor>
    <xdr:from>
      <xdr:col>71</xdr:col>
      <xdr:colOff>190500</xdr:colOff>
      <xdr:row>118</xdr:row>
      <xdr:rowOff>304800</xdr:rowOff>
    </xdr:from>
    <xdr:to>
      <xdr:col>73</xdr:col>
      <xdr:colOff>231354</xdr:colOff>
      <xdr:row>119</xdr:row>
      <xdr:rowOff>91833</xdr:rowOff>
    </xdr:to>
    <xdr:sp macro="" textlink="">
      <xdr:nvSpPr>
        <xdr:cNvPr id="17913" name="TextBox 90">
          <a:extLst>
            <a:ext uri="{FF2B5EF4-FFF2-40B4-BE49-F238E27FC236}">
              <a16:creationId xmlns:a16="http://schemas.microsoft.com/office/drawing/2014/main" id="{56034D27-1DCD-44E3-8C8D-4BE1F7B09BDD}"/>
            </a:ext>
          </a:extLst>
        </xdr:cNvPr>
        <xdr:cNvSpPr txBox="1"/>
      </xdr:nvSpPr>
      <xdr:spPr>
        <a:xfrm>
          <a:off x="73190100" y="115633500"/>
          <a:ext cx="2174454" cy="549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</a:p>
      </xdr:txBody>
    </xdr:sp>
    <xdr:clientData/>
  </xdr:twoCellAnchor>
  <xdr:twoCellAnchor>
    <xdr:from>
      <xdr:col>52</xdr:col>
      <xdr:colOff>988765</xdr:colOff>
      <xdr:row>38</xdr:row>
      <xdr:rowOff>133349</xdr:rowOff>
    </xdr:from>
    <xdr:to>
      <xdr:col>59</xdr:col>
      <xdr:colOff>1026865</xdr:colOff>
      <xdr:row>54</xdr:row>
      <xdr:rowOff>76200</xdr:rowOff>
    </xdr:to>
    <xdr:sp macro="" textlink="">
      <xdr:nvSpPr>
        <xdr:cNvPr id="19049" name="Freeform 118">
          <a:extLst>
            <a:ext uri="{FF2B5EF4-FFF2-40B4-BE49-F238E27FC236}">
              <a16:creationId xmlns:a16="http://schemas.microsoft.com/office/drawing/2014/main" id="{4290C73F-7EFC-4C70-B9B3-9981DA1C938D}"/>
            </a:ext>
            <a:ext uri="{147F2762-F138-4A5C-976F-8EAC2B608ADB}">
              <a16:predDERef xmlns:a16="http://schemas.microsoft.com/office/drawing/2014/main" pred="{83B1F441-6708-4CD4-8A8A-1534F36ADC66}"/>
            </a:ext>
          </a:extLst>
        </xdr:cNvPr>
        <xdr:cNvSpPr/>
      </xdr:nvSpPr>
      <xdr:spPr>
        <a:xfrm flipH="1">
          <a:off x="54519265" y="36214049"/>
          <a:ext cx="7505700" cy="12134851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864941</xdr:colOff>
      <xdr:row>42</xdr:row>
      <xdr:rowOff>226890</xdr:rowOff>
    </xdr:from>
    <xdr:to>
      <xdr:col>60</xdr:col>
      <xdr:colOff>160087</xdr:colOff>
      <xdr:row>50</xdr:row>
      <xdr:rowOff>152400</xdr:rowOff>
    </xdr:to>
    <xdr:sp macro="" textlink="">
      <xdr:nvSpPr>
        <xdr:cNvPr id="19055" name="TextBox 88">
          <a:extLst>
            <a:ext uri="{FF2B5EF4-FFF2-40B4-BE49-F238E27FC236}">
              <a16:creationId xmlns:a16="http://schemas.microsoft.com/office/drawing/2014/main" id="{034D9C1C-497C-4A70-9793-44366D03C5E2}"/>
            </a:ext>
            <a:ext uri="{147F2762-F138-4A5C-976F-8EAC2B608ADB}">
              <a16:predDERef xmlns:a16="http://schemas.microsoft.com/office/drawing/2014/main" pred="{3ABD1301-1855-4535-8DBD-6000333C69F3}"/>
            </a:ext>
          </a:extLst>
        </xdr:cNvPr>
        <xdr:cNvSpPr txBox="1"/>
      </xdr:nvSpPr>
      <xdr:spPr>
        <a:xfrm>
          <a:off x="54395441" y="39355590"/>
          <a:ext cx="7829546" cy="602151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TRANSMAR ODYSSEY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25618 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(RES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161 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31/1500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01/0900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02/1600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920 AET ADA/ADA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520 / LOAD 400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58</xdr:col>
      <xdr:colOff>360116</xdr:colOff>
      <xdr:row>38</xdr:row>
      <xdr:rowOff>350716</xdr:rowOff>
    </xdr:from>
    <xdr:to>
      <xdr:col>60</xdr:col>
      <xdr:colOff>112466</xdr:colOff>
      <xdr:row>39</xdr:row>
      <xdr:rowOff>288778</xdr:rowOff>
    </xdr:to>
    <xdr:sp macro="" textlink="">
      <xdr:nvSpPr>
        <xdr:cNvPr id="19138" name="TextBox 90">
          <a:extLst>
            <a:ext uri="{FF2B5EF4-FFF2-40B4-BE49-F238E27FC236}">
              <a16:creationId xmlns:a16="http://schemas.microsoft.com/office/drawing/2014/main" id="{B25E1C91-0417-40AA-AD27-76051E2CCB4B}"/>
            </a:ext>
            <a:ext uri="{147F2762-F138-4A5C-976F-8EAC2B608ADB}">
              <a16:predDERef xmlns:a16="http://schemas.microsoft.com/office/drawing/2014/main" pred="{BFE0EB75-6329-468E-8418-5AA5807E6C9C}"/>
            </a:ext>
          </a:extLst>
        </xdr:cNvPr>
        <xdr:cNvSpPr txBox="1"/>
      </xdr:nvSpPr>
      <xdr:spPr>
        <a:xfrm>
          <a:off x="60291416" y="36431416"/>
          <a:ext cx="1885950" cy="70006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219M</a:t>
          </a:r>
        </a:p>
      </xdr:txBody>
    </xdr:sp>
    <xdr:clientData/>
  </xdr:twoCellAnchor>
  <xdr:twoCellAnchor>
    <xdr:from>
      <xdr:col>52</xdr:col>
      <xdr:colOff>761998</xdr:colOff>
      <xdr:row>37</xdr:row>
      <xdr:rowOff>495301</xdr:rowOff>
    </xdr:from>
    <xdr:to>
      <xdr:col>55</xdr:col>
      <xdr:colOff>226761</xdr:colOff>
      <xdr:row>39</xdr:row>
      <xdr:rowOff>746921</xdr:rowOff>
    </xdr:to>
    <xdr:sp macro="" textlink="">
      <xdr:nvSpPr>
        <xdr:cNvPr id="19135" name="TextBox 90">
          <a:extLst>
            <a:ext uri="{FF2B5EF4-FFF2-40B4-BE49-F238E27FC236}">
              <a16:creationId xmlns:a16="http://schemas.microsoft.com/office/drawing/2014/main" id="{DB1B04D2-96E5-4CCF-9C2B-A04B4BE1F4C1}"/>
            </a:ext>
            <a:ext uri="{147F2762-F138-4A5C-976F-8EAC2B608ADB}">
              <a16:predDERef xmlns:a16="http://schemas.microsoft.com/office/drawing/2014/main" pred="{652BD850-3388-41E1-B067-F3658170318A}"/>
            </a:ext>
          </a:extLst>
        </xdr:cNvPr>
        <xdr:cNvSpPr txBox="1"/>
      </xdr:nvSpPr>
      <xdr:spPr>
        <a:xfrm>
          <a:off x="54292498" y="35814001"/>
          <a:ext cx="2665163" cy="17756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380M</a:t>
          </a:r>
        </a:p>
      </xdr:txBody>
    </xdr:sp>
    <xdr:clientData/>
  </xdr:twoCellAnchor>
  <xdr:twoCellAnchor>
    <xdr:from>
      <xdr:col>15</xdr:col>
      <xdr:colOff>876300</xdr:colOff>
      <xdr:row>80</xdr:row>
      <xdr:rowOff>228600</xdr:rowOff>
    </xdr:from>
    <xdr:to>
      <xdr:col>25</xdr:col>
      <xdr:colOff>304800</xdr:colOff>
      <xdr:row>99</xdr:row>
      <xdr:rowOff>266700</xdr:rowOff>
    </xdr:to>
    <xdr:sp macro="" textlink="">
      <xdr:nvSpPr>
        <xdr:cNvPr id="19998" name="Freeform 118">
          <a:extLst>
            <a:ext uri="{FF2B5EF4-FFF2-40B4-BE49-F238E27FC236}">
              <a16:creationId xmlns:a16="http://schemas.microsoft.com/office/drawing/2014/main" id="{0AD47954-ADA2-4451-A038-920BEC2E712A}"/>
            </a:ext>
          </a:extLst>
        </xdr:cNvPr>
        <xdr:cNvSpPr/>
      </xdr:nvSpPr>
      <xdr:spPr>
        <a:xfrm>
          <a:off x="14897100" y="68313300"/>
          <a:ext cx="10134600" cy="14516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38100</xdr:colOff>
      <xdr:row>80</xdr:row>
      <xdr:rowOff>207037</xdr:rowOff>
    </xdr:from>
    <xdr:to>
      <xdr:col>18</xdr:col>
      <xdr:colOff>0</xdr:colOff>
      <xdr:row>82</xdr:row>
      <xdr:rowOff>28574</xdr:rowOff>
    </xdr:to>
    <xdr:sp macro="" textlink="">
      <xdr:nvSpPr>
        <xdr:cNvPr id="20000" name="TextBox 401">
          <a:extLst>
            <a:ext uri="{FF2B5EF4-FFF2-40B4-BE49-F238E27FC236}">
              <a16:creationId xmlns:a16="http://schemas.microsoft.com/office/drawing/2014/main" id="{A3C963F0-1856-47A0-92CC-E7D214D5AFC8}"/>
            </a:ext>
          </a:extLst>
        </xdr:cNvPr>
        <xdr:cNvSpPr txBox="1"/>
      </xdr:nvSpPr>
      <xdr:spPr>
        <a:xfrm flipH="1">
          <a:off x="15125700" y="68291737"/>
          <a:ext cx="2133600" cy="1345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80M</a:t>
          </a:r>
        </a:p>
      </xdr:txBody>
    </xdr:sp>
    <xdr:clientData/>
  </xdr:twoCellAnchor>
  <xdr:twoCellAnchor>
    <xdr:from>
      <xdr:col>15</xdr:col>
      <xdr:colOff>1028734</xdr:colOff>
      <xdr:row>84</xdr:row>
      <xdr:rowOff>371475</xdr:rowOff>
    </xdr:from>
    <xdr:to>
      <xdr:col>24</xdr:col>
      <xdr:colOff>561976</xdr:colOff>
      <xdr:row>92</xdr:row>
      <xdr:rowOff>295275</xdr:rowOff>
    </xdr:to>
    <xdr:sp macro="" textlink="">
      <xdr:nvSpPr>
        <xdr:cNvPr id="19997" name="TextBox 400">
          <a:extLst>
            <a:ext uri="{FF2B5EF4-FFF2-40B4-BE49-F238E27FC236}">
              <a16:creationId xmlns:a16="http://schemas.microsoft.com/office/drawing/2014/main" id="{3D7A4032-60E1-42BD-BEBE-8FEFD91C46D9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15078109" y="89620725"/>
          <a:ext cx="9010617" cy="6019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MAPUTO PHXSSSE19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(MED5)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174M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04/1900 ETB 04/2100 ETD 06/TBC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CMA  MER/NGB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195 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</a:p>
      </xdr:txBody>
    </xdr:sp>
    <xdr:clientData/>
  </xdr:twoCellAnchor>
  <xdr:twoCellAnchor>
    <xdr:from>
      <xdr:col>23</xdr:col>
      <xdr:colOff>104775</xdr:colOff>
      <xdr:row>80</xdr:row>
      <xdr:rowOff>533400</xdr:rowOff>
    </xdr:from>
    <xdr:to>
      <xdr:col>25</xdr:col>
      <xdr:colOff>471772</xdr:colOff>
      <xdr:row>82</xdr:row>
      <xdr:rowOff>254661</xdr:rowOff>
    </xdr:to>
    <xdr:sp macro="" textlink="">
      <xdr:nvSpPr>
        <xdr:cNvPr id="19999" name="TextBox 402">
          <a:extLst>
            <a:ext uri="{FF2B5EF4-FFF2-40B4-BE49-F238E27FC236}">
              <a16:creationId xmlns:a16="http://schemas.microsoft.com/office/drawing/2014/main" id="{B9BBF1EC-09C6-4C31-BCFC-79DF7CFC34D4}"/>
            </a:ext>
          </a:extLst>
        </xdr:cNvPr>
        <xdr:cNvSpPr txBox="1"/>
      </xdr:nvSpPr>
      <xdr:spPr>
        <a:xfrm flipH="1">
          <a:off x="22698075" y="68618100"/>
          <a:ext cx="2500597" cy="12452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254M</a:t>
          </a:r>
        </a:p>
      </xdr:txBody>
    </xdr:sp>
    <xdr:clientData/>
  </xdr:twoCellAnchor>
  <xdr:twoCellAnchor>
    <xdr:from>
      <xdr:col>30</xdr:col>
      <xdr:colOff>838200</xdr:colOff>
      <xdr:row>96</xdr:row>
      <xdr:rowOff>76200</xdr:rowOff>
    </xdr:from>
    <xdr:to>
      <xdr:col>44</xdr:col>
      <xdr:colOff>209547</xdr:colOff>
      <xdr:row>112</xdr:row>
      <xdr:rowOff>457200</xdr:rowOff>
    </xdr:to>
    <xdr:sp macro="" textlink="">
      <xdr:nvSpPr>
        <xdr:cNvPr id="20024" name="Freeform 118">
          <a:extLst>
            <a:ext uri="{FF2B5EF4-FFF2-40B4-BE49-F238E27FC236}">
              <a16:creationId xmlns:a16="http://schemas.microsoft.com/office/drawing/2014/main" id="{3C8B9D63-002C-4772-B9AD-077F551253F2}"/>
            </a:ext>
          </a:extLst>
        </xdr:cNvPr>
        <xdr:cNvSpPr/>
      </xdr:nvSpPr>
      <xdr:spPr>
        <a:xfrm>
          <a:off x="30899100" y="80352900"/>
          <a:ext cx="14306547" cy="125730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990600</xdr:colOff>
      <xdr:row>96</xdr:row>
      <xdr:rowOff>245137</xdr:rowOff>
    </xdr:from>
    <xdr:to>
      <xdr:col>32</xdr:col>
      <xdr:colOff>990600</xdr:colOff>
      <xdr:row>98</xdr:row>
      <xdr:rowOff>66674</xdr:rowOff>
    </xdr:to>
    <xdr:sp macro="" textlink="">
      <xdr:nvSpPr>
        <xdr:cNvPr id="20026" name="TextBox 401">
          <a:extLst>
            <a:ext uri="{FF2B5EF4-FFF2-40B4-BE49-F238E27FC236}">
              <a16:creationId xmlns:a16="http://schemas.microsoft.com/office/drawing/2014/main" id="{DEE91EFE-533B-4147-8766-81444A85ED65}"/>
            </a:ext>
          </a:extLst>
        </xdr:cNvPr>
        <xdr:cNvSpPr txBox="1"/>
      </xdr:nvSpPr>
      <xdr:spPr>
        <a:xfrm flipH="1">
          <a:off x="31051500" y="80521837"/>
          <a:ext cx="2133600" cy="1345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443M</a:t>
          </a:r>
        </a:p>
      </xdr:txBody>
    </xdr:sp>
    <xdr:clientData/>
  </xdr:twoCellAnchor>
  <xdr:twoCellAnchor>
    <xdr:from>
      <xdr:col>31</xdr:col>
      <xdr:colOff>809658</xdr:colOff>
      <xdr:row>100</xdr:row>
      <xdr:rowOff>228600</xdr:rowOff>
    </xdr:from>
    <xdr:to>
      <xdr:col>42</xdr:col>
      <xdr:colOff>808925</xdr:colOff>
      <xdr:row>107</xdr:row>
      <xdr:rowOff>333374</xdr:rowOff>
    </xdr:to>
    <xdr:sp macro="" textlink="">
      <xdr:nvSpPr>
        <xdr:cNvPr id="20334" name="TextBox 400">
          <a:extLst>
            <a:ext uri="{FF2B5EF4-FFF2-40B4-BE49-F238E27FC236}">
              <a16:creationId xmlns:a16="http://schemas.microsoft.com/office/drawing/2014/main" id="{C4B567D6-2E9C-4D97-ACA4-9E7569E5C039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31937358" y="83553300"/>
          <a:ext cx="11734067" cy="5438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NABUCCO 0PEH2E1MA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334M/43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06/0300 ETB 06/0500 ETD 07/1300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2500 CMA  SOK/DQM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1000 / LOAD 1000 DRAFT: TBC  M</a:t>
          </a:r>
        </a:p>
      </xdr:txBody>
    </xdr:sp>
    <xdr:clientData/>
  </xdr:twoCellAnchor>
  <xdr:twoCellAnchor>
    <xdr:from>
      <xdr:col>41</xdr:col>
      <xdr:colOff>1019175</xdr:colOff>
      <xdr:row>96</xdr:row>
      <xdr:rowOff>228600</xdr:rowOff>
    </xdr:from>
    <xdr:to>
      <xdr:col>44</xdr:col>
      <xdr:colOff>319372</xdr:colOff>
      <xdr:row>97</xdr:row>
      <xdr:rowOff>711861</xdr:rowOff>
    </xdr:to>
    <xdr:sp macro="" textlink="">
      <xdr:nvSpPr>
        <xdr:cNvPr id="20025" name="TextBox 402">
          <a:extLst>
            <a:ext uri="{FF2B5EF4-FFF2-40B4-BE49-F238E27FC236}">
              <a16:creationId xmlns:a16="http://schemas.microsoft.com/office/drawing/2014/main" id="{A910C067-1BC0-4BB1-B568-254968256213}"/>
            </a:ext>
          </a:extLst>
        </xdr:cNvPr>
        <xdr:cNvSpPr txBox="1"/>
      </xdr:nvSpPr>
      <xdr:spPr>
        <a:xfrm flipH="1">
          <a:off x="42814875" y="80505300"/>
          <a:ext cx="2500597" cy="12452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</a:p>
      </xdr:txBody>
    </xdr:sp>
    <xdr:clientData/>
  </xdr:twoCellAnchor>
  <xdr:twoCellAnchor>
    <xdr:from>
      <xdr:col>50</xdr:col>
      <xdr:colOff>1028695</xdr:colOff>
      <xdr:row>75</xdr:row>
      <xdr:rowOff>685800</xdr:rowOff>
    </xdr:from>
    <xdr:to>
      <xdr:col>64</xdr:col>
      <xdr:colOff>419092</xdr:colOff>
      <xdr:row>88</xdr:row>
      <xdr:rowOff>723900</xdr:rowOff>
    </xdr:to>
    <xdr:sp macro="" textlink="">
      <xdr:nvSpPr>
        <xdr:cNvPr id="5088" name="Freeform 118">
          <a:extLst>
            <a:ext uri="{FF2B5EF4-FFF2-40B4-BE49-F238E27FC236}">
              <a16:creationId xmlns:a16="http://schemas.microsoft.com/office/drawing/2014/main" id="{B3C7AA32-C469-47A2-94D1-6A5EA2B7480C}"/>
            </a:ext>
          </a:extLst>
        </xdr:cNvPr>
        <xdr:cNvSpPr/>
      </xdr:nvSpPr>
      <xdr:spPr>
        <a:xfrm flipH="1">
          <a:off x="52425595" y="83248500"/>
          <a:ext cx="14325597" cy="9944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1028700</xdr:colOff>
      <xdr:row>75</xdr:row>
      <xdr:rowOff>664237</xdr:rowOff>
    </xdr:from>
    <xdr:to>
      <xdr:col>52</xdr:col>
      <xdr:colOff>1028700</xdr:colOff>
      <xdr:row>77</xdr:row>
      <xdr:rowOff>485774</xdr:rowOff>
    </xdr:to>
    <xdr:sp macro="" textlink="">
      <xdr:nvSpPr>
        <xdr:cNvPr id="16520" name="TextBox 401">
          <a:extLst>
            <a:ext uri="{FF2B5EF4-FFF2-40B4-BE49-F238E27FC236}">
              <a16:creationId xmlns:a16="http://schemas.microsoft.com/office/drawing/2014/main" id="{AEF2815A-53C1-4841-B7A4-097A5C70E6A6}"/>
            </a:ext>
          </a:extLst>
        </xdr:cNvPr>
        <xdr:cNvSpPr txBox="1"/>
      </xdr:nvSpPr>
      <xdr:spPr>
        <a:xfrm>
          <a:off x="52425600" y="83226937"/>
          <a:ext cx="2133600" cy="1345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</a:p>
      </xdr:txBody>
    </xdr:sp>
    <xdr:clientData/>
  </xdr:twoCellAnchor>
  <xdr:twoCellAnchor>
    <xdr:from>
      <xdr:col>52</xdr:col>
      <xdr:colOff>161958</xdr:colOff>
      <xdr:row>79</xdr:row>
      <xdr:rowOff>419100</xdr:rowOff>
    </xdr:from>
    <xdr:to>
      <xdr:col>63</xdr:col>
      <xdr:colOff>161225</xdr:colOff>
      <xdr:row>87</xdr:row>
      <xdr:rowOff>266700</xdr:rowOff>
    </xdr:to>
    <xdr:sp macro="" textlink="">
      <xdr:nvSpPr>
        <xdr:cNvPr id="20019" name="TextBox 400">
          <a:extLst>
            <a:ext uri="{FF2B5EF4-FFF2-40B4-BE49-F238E27FC236}">
              <a16:creationId xmlns:a16="http://schemas.microsoft.com/office/drawing/2014/main" id="{8F865E19-7BF5-4869-8D11-86246FC12FDB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>
          <a:off x="53692458" y="86029800"/>
          <a:ext cx="11734067" cy="594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PELLEAS 0MXP7W1MA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(MEDEX-E)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350M/42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04/0700 ETB 04/1200 ETD 05/1400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2400 CMA  BEY/PSD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1129 / LOAD 1200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LINER REQUEST TO  BERTHED PORT SIDE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62</xdr:col>
      <xdr:colOff>257175</xdr:colOff>
      <xdr:row>75</xdr:row>
      <xdr:rowOff>495300</xdr:rowOff>
    </xdr:from>
    <xdr:to>
      <xdr:col>64</xdr:col>
      <xdr:colOff>624172</xdr:colOff>
      <xdr:row>77</xdr:row>
      <xdr:rowOff>216561</xdr:rowOff>
    </xdr:to>
    <xdr:sp macro="" textlink="">
      <xdr:nvSpPr>
        <xdr:cNvPr id="16518" name="TextBox 402">
          <a:extLst>
            <a:ext uri="{FF2B5EF4-FFF2-40B4-BE49-F238E27FC236}">
              <a16:creationId xmlns:a16="http://schemas.microsoft.com/office/drawing/2014/main" id="{80154DC4-F5BE-409C-818B-3734F1C20E74}"/>
            </a:ext>
          </a:extLst>
        </xdr:cNvPr>
        <xdr:cNvSpPr txBox="1"/>
      </xdr:nvSpPr>
      <xdr:spPr>
        <a:xfrm>
          <a:off x="64455675" y="83058000"/>
          <a:ext cx="2500597" cy="12452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80M</a:t>
          </a:r>
        </a:p>
      </xdr:txBody>
    </xdr:sp>
    <xdr:clientData/>
  </xdr:twoCellAnchor>
  <xdr:twoCellAnchor>
    <xdr:from>
      <xdr:col>91</xdr:col>
      <xdr:colOff>457200</xdr:colOff>
      <xdr:row>109</xdr:row>
      <xdr:rowOff>228600</xdr:rowOff>
    </xdr:from>
    <xdr:to>
      <xdr:col>97</xdr:col>
      <xdr:colOff>971550</xdr:colOff>
      <xdr:row>126</xdr:row>
      <xdr:rowOff>495300</xdr:rowOff>
    </xdr:to>
    <xdr:sp macro="" textlink="">
      <xdr:nvSpPr>
        <xdr:cNvPr id="17546" name="Freeform 118">
          <a:extLst>
            <a:ext uri="{FF2B5EF4-FFF2-40B4-BE49-F238E27FC236}">
              <a16:creationId xmlns:a16="http://schemas.microsoft.com/office/drawing/2014/main" id="{E53157E9-A678-435E-8FDE-0C6BCC8F5199}"/>
            </a:ext>
          </a:extLst>
        </xdr:cNvPr>
        <xdr:cNvSpPr/>
      </xdr:nvSpPr>
      <xdr:spPr>
        <a:xfrm>
          <a:off x="94792800" y="81267300"/>
          <a:ext cx="6915150" cy="13220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90</xdr:col>
      <xdr:colOff>914400</xdr:colOff>
      <xdr:row>112</xdr:row>
      <xdr:rowOff>266700</xdr:rowOff>
    </xdr:from>
    <xdr:to>
      <xdr:col>97</xdr:col>
      <xdr:colOff>966025</xdr:colOff>
      <xdr:row>119</xdr:row>
      <xdr:rowOff>495300</xdr:rowOff>
    </xdr:to>
    <xdr:sp macro="" textlink="">
      <xdr:nvSpPr>
        <xdr:cNvPr id="17919" name="TextBox 88">
          <a:extLst>
            <a:ext uri="{FF2B5EF4-FFF2-40B4-BE49-F238E27FC236}">
              <a16:creationId xmlns:a16="http://schemas.microsoft.com/office/drawing/2014/main" id="{7F3438C6-0239-42F0-9D2C-3E2307FF7464}"/>
            </a:ext>
          </a:extLst>
        </xdr:cNvPr>
        <xdr:cNvSpPr txBox="1"/>
      </xdr:nvSpPr>
      <xdr:spPr>
        <a:xfrm>
          <a:off x="94183200" y="83591400"/>
          <a:ext cx="7519225" cy="55626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ZBM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CZBM2635E (IMR)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07/0500 ETB 07/0700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MUN/JIB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TBA/ LOAD TBA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C00FF"/>
              </a:solidFill>
              <a:effectLst/>
              <a:uLnTx/>
              <a:uFillTx/>
              <a:latin typeface="+mn-lt"/>
              <a:ea typeface="+mn-ea"/>
              <a:cs typeface="+mn-cs"/>
            </a:rPr>
            <a:t>SHIP CRANES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1014432</xdr:colOff>
      <xdr:row>110</xdr:row>
      <xdr:rowOff>190500</xdr:rowOff>
    </xdr:from>
    <xdr:to>
      <xdr:col>97</xdr:col>
      <xdr:colOff>1026175</xdr:colOff>
      <xdr:row>111</xdr:row>
      <xdr:rowOff>0</xdr:rowOff>
    </xdr:to>
    <xdr:sp macro="" textlink="">
      <xdr:nvSpPr>
        <xdr:cNvPr id="17523" name="TextBox 90">
          <a:extLst>
            <a:ext uri="{FF2B5EF4-FFF2-40B4-BE49-F238E27FC236}">
              <a16:creationId xmlns:a16="http://schemas.microsoft.com/office/drawing/2014/main" id="{6C7BEE3F-3C2F-4EBC-8DB2-90E83D1F4B66}"/>
            </a:ext>
          </a:extLst>
        </xdr:cNvPr>
        <xdr:cNvSpPr txBox="1"/>
      </xdr:nvSpPr>
      <xdr:spPr>
        <a:xfrm>
          <a:off x="99617232" y="81991200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91</xdr:col>
      <xdr:colOff>381000</xdr:colOff>
      <xdr:row>110</xdr:row>
      <xdr:rowOff>0</xdr:rowOff>
    </xdr:from>
    <xdr:to>
      <xdr:col>93</xdr:col>
      <xdr:colOff>383754</xdr:colOff>
      <xdr:row>111</xdr:row>
      <xdr:rowOff>114299</xdr:rowOff>
    </xdr:to>
    <xdr:sp macro="" textlink="">
      <xdr:nvSpPr>
        <xdr:cNvPr id="17526" name="TextBox 90">
          <a:extLst>
            <a:ext uri="{FF2B5EF4-FFF2-40B4-BE49-F238E27FC236}">
              <a16:creationId xmlns:a16="http://schemas.microsoft.com/office/drawing/2014/main" id="{DDD5081F-7F3B-46F9-9019-42E305BEAD82}"/>
            </a:ext>
          </a:extLst>
        </xdr:cNvPr>
        <xdr:cNvSpPr txBox="1"/>
      </xdr:nvSpPr>
      <xdr:spPr>
        <a:xfrm>
          <a:off x="94716600" y="81800700"/>
          <a:ext cx="2136354" cy="8762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</a:p>
      </xdr:txBody>
    </xdr:sp>
    <xdr:clientData/>
  </xdr:twoCellAnchor>
  <xdr:twoCellAnchor>
    <xdr:from>
      <xdr:col>71</xdr:col>
      <xdr:colOff>209098</xdr:colOff>
      <xdr:row>34</xdr:row>
      <xdr:rowOff>381000</xdr:rowOff>
    </xdr:from>
    <xdr:to>
      <xdr:col>77</xdr:col>
      <xdr:colOff>0</xdr:colOff>
      <xdr:row>45</xdr:row>
      <xdr:rowOff>228600</xdr:rowOff>
    </xdr:to>
    <xdr:sp macro="" textlink="">
      <xdr:nvSpPr>
        <xdr:cNvPr id="20665" name="Freeform 165">
          <a:extLst>
            <a:ext uri="{FF2B5EF4-FFF2-40B4-BE49-F238E27FC236}">
              <a16:creationId xmlns:a16="http://schemas.microsoft.com/office/drawing/2014/main" id="{C4AC4449-24DB-4CEA-881C-E5795A654301}"/>
            </a:ext>
          </a:extLst>
        </xdr:cNvPr>
        <xdr:cNvSpPr/>
      </xdr:nvSpPr>
      <xdr:spPr>
        <a:xfrm>
          <a:off x="73208698" y="24269700"/>
          <a:ext cx="6191702" cy="8229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71</xdr:col>
      <xdr:colOff>114300</xdr:colOff>
      <xdr:row>36</xdr:row>
      <xdr:rowOff>104777</xdr:rowOff>
    </xdr:from>
    <xdr:to>
      <xdr:col>77</xdr:col>
      <xdr:colOff>0</xdr:colOff>
      <xdr:row>42</xdr:row>
      <xdr:rowOff>342901</xdr:rowOff>
    </xdr:to>
    <xdr:sp macro="" textlink="">
      <xdr:nvSpPr>
        <xdr:cNvPr id="20680" name="TextBox 84">
          <a:extLst>
            <a:ext uri="{FF2B5EF4-FFF2-40B4-BE49-F238E27FC236}">
              <a16:creationId xmlns:a16="http://schemas.microsoft.com/office/drawing/2014/main" id="{85E7F2CE-0008-4DC0-ADCB-F285F0484C2F}"/>
            </a:ext>
          </a:extLst>
        </xdr:cNvPr>
        <xdr:cNvSpPr txBox="1"/>
      </xdr:nvSpPr>
      <xdr:spPr>
        <a:xfrm>
          <a:off x="73113900" y="25517477"/>
          <a:ext cx="6286500" cy="4810124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AL AHMED AH2615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LOA101M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29/TBA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01/0100 ETD 01/2200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171  ALM PZU/PZU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28/LOAD 143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</a:p>
      </xdr:txBody>
    </xdr:sp>
    <xdr:clientData/>
  </xdr:twoCellAnchor>
  <xdr:twoCellAnchor>
    <xdr:from>
      <xdr:col>75</xdr:col>
      <xdr:colOff>18256</xdr:colOff>
      <xdr:row>34</xdr:row>
      <xdr:rowOff>616199</xdr:rowOff>
    </xdr:from>
    <xdr:to>
      <xdr:col>76</xdr:col>
      <xdr:colOff>802309</xdr:colOff>
      <xdr:row>35</xdr:row>
      <xdr:rowOff>752559</xdr:rowOff>
    </xdr:to>
    <xdr:sp macro="" textlink="">
      <xdr:nvSpPr>
        <xdr:cNvPr id="20662" name="TextBox 85">
          <a:extLst>
            <a:ext uri="{FF2B5EF4-FFF2-40B4-BE49-F238E27FC236}">
              <a16:creationId xmlns:a16="http://schemas.microsoft.com/office/drawing/2014/main" id="{2788525E-385C-48E7-9B49-0155B9AF1728}"/>
            </a:ext>
          </a:extLst>
        </xdr:cNvPr>
        <xdr:cNvSpPr txBox="1"/>
      </xdr:nvSpPr>
      <xdr:spPr>
        <a:xfrm>
          <a:off x="77285056" y="24504899"/>
          <a:ext cx="1850853" cy="8983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619M</a:t>
          </a:r>
        </a:p>
      </xdr:txBody>
    </xdr:sp>
    <xdr:clientData/>
  </xdr:twoCellAnchor>
  <xdr:twoCellAnchor>
    <xdr:from>
      <xdr:col>71</xdr:col>
      <xdr:colOff>231775</xdr:colOff>
      <xdr:row>34</xdr:row>
      <xdr:rowOff>228600</xdr:rowOff>
    </xdr:from>
    <xdr:to>
      <xdr:col>72</xdr:col>
      <xdr:colOff>983374</xdr:colOff>
      <xdr:row>35</xdr:row>
      <xdr:rowOff>619621</xdr:rowOff>
    </xdr:to>
    <xdr:sp macro="" textlink="">
      <xdr:nvSpPr>
        <xdr:cNvPr id="20663" name="TextBox 86">
          <a:extLst>
            <a:ext uri="{FF2B5EF4-FFF2-40B4-BE49-F238E27FC236}">
              <a16:creationId xmlns:a16="http://schemas.microsoft.com/office/drawing/2014/main" id="{3B0F463D-EA91-4DF6-A6E5-DA99809CC51A}"/>
            </a:ext>
          </a:extLst>
        </xdr:cNvPr>
        <xdr:cNvSpPr txBox="1"/>
      </xdr:nvSpPr>
      <xdr:spPr>
        <a:xfrm>
          <a:off x="73231375" y="24117300"/>
          <a:ext cx="1818399" cy="11530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</a:p>
      </xdr:txBody>
    </xdr:sp>
    <xdr:clientData/>
  </xdr:twoCellAnchor>
  <xdr:twoCellAnchor>
    <xdr:from>
      <xdr:col>88</xdr:col>
      <xdr:colOff>333375</xdr:colOff>
      <xdr:row>70</xdr:row>
      <xdr:rowOff>266700</xdr:rowOff>
    </xdr:from>
    <xdr:to>
      <xdr:col>98</xdr:col>
      <xdr:colOff>244365</xdr:colOff>
      <xdr:row>85</xdr:row>
      <xdr:rowOff>114300</xdr:rowOff>
    </xdr:to>
    <xdr:sp macro="" textlink="">
      <xdr:nvSpPr>
        <xdr:cNvPr id="15508" name="Freeform 118">
          <a:extLst>
            <a:ext uri="{FF2B5EF4-FFF2-40B4-BE49-F238E27FC236}">
              <a16:creationId xmlns:a16="http://schemas.microsoft.com/office/drawing/2014/main" id="{D6D4D0A7-0EBB-4AB4-8309-12B6192EDCDB}"/>
            </a:ext>
            <a:ext uri="{147F2762-F138-4A5C-976F-8EAC2B608ADB}">
              <a16:predDERef xmlns:a16="http://schemas.microsoft.com/office/drawing/2014/main" pred="{B07EA2AA-159C-44FE-B5F9-24C1E0259D46}"/>
            </a:ext>
          </a:extLst>
        </xdr:cNvPr>
        <xdr:cNvSpPr/>
      </xdr:nvSpPr>
      <xdr:spPr>
        <a:xfrm>
          <a:off x="89963625" y="51487388"/>
          <a:ext cx="10388490" cy="11277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89</xdr:col>
      <xdr:colOff>442913</xdr:colOff>
      <xdr:row>73</xdr:row>
      <xdr:rowOff>663619</xdr:rowOff>
    </xdr:from>
    <xdr:to>
      <xdr:col>97</xdr:col>
      <xdr:colOff>424581</xdr:colOff>
      <xdr:row>81</xdr:row>
      <xdr:rowOff>501899</xdr:rowOff>
    </xdr:to>
    <xdr:sp macro="" textlink="">
      <xdr:nvSpPr>
        <xdr:cNvPr id="15528" name="TextBox 88">
          <a:extLst>
            <a:ext uri="{FF2B5EF4-FFF2-40B4-BE49-F238E27FC236}">
              <a16:creationId xmlns:a16="http://schemas.microsoft.com/office/drawing/2014/main" id="{2CFCF668-BAC5-429F-AD8E-A5A5434453E3}"/>
            </a:ext>
          </a:extLst>
        </xdr:cNvPr>
        <xdr:cNvSpPr txBox="1"/>
      </xdr:nvSpPr>
      <xdr:spPr>
        <a:xfrm flipH="1">
          <a:off x="91120913" y="54170307"/>
          <a:ext cx="8363668" cy="593428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JOLLY CLIVIA 26233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(MICS 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LOA262M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03/2300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04/0100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05/TBA MOVES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LMC AQJ /LAU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TBA / LOAD TBA</a:t>
          </a:r>
        </a:p>
      </xdr:txBody>
    </xdr:sp>
    <xdr:clientData/>
  </xdr:twoCellAnchor>
  <xdr:twoCellAnchor>
    <xdr:from>
      <xdr:col>96</xdr:col>
      <xdr:colOff>317378</xdr:colOff>
      <xdr:row>70</xdr:row>
      <xdr:rowOff>397124</xdr:rowOff>
    </xdr:from>
    <xdr:to>
      <xdr:col>98</xdr:col>
      <xdr:colOff>486971</xdr:colOff>
      <xdr:row>72</xdr:row>
      <xdr:rowOff>191285</xdr:rowOff>
    </xdr:to>
    <xdr:sp macro="" textlink="">
      <xdr:nvSpPr>
        <xdr:cNvPr id="18227" name="TextBox 90">
          <a:extLst>
            <a:ext uri="{FF2B5EF4-FFF2-40B4-BE49-F238E27FC236}">
              <a16:creationId xmlns:a16="http://schemas.microsoft.com/office/drawing/2014/main" id="{A48E79C1-785A-44EF-A919-6C8A2DB1AD2E}"/>
            </a:ext>
          </a:extLst>
        </xdr:cNvPr>
        <xdr:cNvSpPr txBox="1"/>
      </xdr:nvSpPr>
      <xdr:spPr>
        <a:xfrm flipH="1">
          <a:off x="98329628" y="51617812"/>
          <a:ext cx="2265093" cy="13181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30M</a:t>
          </a:r>
        </a:p>
      </xdr:txBody>
    </xdr:sp>
    <xdr:clientData/>
  </xdr:twoCellAnchor>
  <xdr:twoCellAnchor>
    <xdr:from>
      <xdr:col>87</xdr:col>
      <xdr:colOff>800100</xdr:colOff>
      <xdr:row>70</xdr:row>
      <xdr:rowOff>419100</xdr:rowOff>
    </xdr:from>
    <xdr:to>
      <xdr:col>90</xdr:col>
      <xdr:colOff>249010</xdr:colOff>
      <xdr:row>72</xdr:row>
      <xdr:rowOff>353415</xdr:rowOff>
    </xdr:to>
    <xdr:sp macro="" textlink="">
      <xdr:nvSpPr>
        <xdr:cNvPr id="18228" name="TextBox 90">
          <a:extLst>
            <a:ext uri="{FF2B5EF4-FFF2-40B4-BE49-F238E27FC236}">
              <a16:creationId xmlns:a16="http://schemas.microsoft.com/office/drawing/2014/main" id="{A2A1DB16-BBA3-49AF-8E1F-B8B501F54C72}"/>
            </a:ext>
          </a:extLst>
        </xdr:cNvPr>
        <xdr:cNvSpPr txBox="1"/>
      </xdr:nvSpPr>
      <xdr:spPr>
        <a:xfrm flipH="1">
          <a:off x="91478100" y="106603800"/>
          <a:ext cx="2649310" cy="14583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292M</a:t>
          </a:r>
        </a:p>
      </xdr:txBody>
    </xdr:sp>
    <xdr:clientData/>
  </xdr:twoCellAnchor>
  <xdr:twoCellAnchor>
    <xdr:from>
      <xdr:col>50</xdr:col>
      <xdr:colOff>762000</xdr:colOff>
      <xdr:row>89</xdr:row>
      <xdr:rowOff>752476</xdr:rowOff>
    </xdr:from>
    <xdr:to>
      <xdr:col>65</xdr:col>
      <xdr:colOff>495300</xdr:colOff>
      <xdr:row>111</xdr:row>
      <xdr:rowOff>723900</xdr:rowOff>
    </xdr:to>
    <xdr:sp macro="" textlink="">
      <xdr:nvSpPr>
        <xdr:cNvPr id="16474" name="Freeform 118">
          <a:extLst>
            <a:ext uri="{FF2B5EF4-FFF2-40B4-BE49-F238E27FC236}">
              <a16:creationId xmlns:a16="http://schemas.microsoft.com/office/drawing/2014/main" id="{CE7E46D0-8BEF-4A54-A508-7CB91A810C87}"/>
            </a:ext>
          </a:extLst>
        </xdr:cNvPr>
        <xdr:cNvSpPr/>
      </xdr:nvSpPr>
      <xdr:spPr>
        <a:xfrm flipH="1">
          <a:off x="52158900" y="93983176"/>
          <a:ext cx="15735300" cy="16735424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838200</xdr:colOff>
      <xdr:row>89</xdr:row>
      <xdr:rowOff>723900</xdr:rowOff>
    </xdr:from>
    <xdr:to>
      <xdr:col>54</xdr:col>
      <xdr:colOff>206076</xdr:colOff>
      <xdr:row>92</xdr:row>
      <xdr:rowOff>511731</xdr:rowOff>
    </xdr:to>
    <xdr:sp macro="" textlink="">
      <xdr:nvSpPr>
        <xdr:cNvPr id="13666" name="TextBox 401">
          <a:extLst>
            <a:ext uri="{FF2B5EF4-FFF2-40B4-BE49-F238E27FC236}">
              <a16:creationId xmlns:a16="http://schemas.microsoft.com/office/drawing/2014/main" id="{AEB4CE62-DD45-44FD-9459-6E5257EB2733}"/>
            </a:ext>
          </a:extLst>
        </xdr:cNvPr>
        <xdr:cNvSpPr txBox="1"/>
      </xdr:nvSpPr>
      <xdr:spPr>
        <a:xfrm flipH="1">
          <a:off x="52235100" y="93954600"/>
          <a:ext cx="3635076" cy="207383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</a:p>
      </xdr:txBody>
    </xdr:sp>
    <xdr:clientData/>
  </xdr:twoCellAnchor>
  <xdr:twoCellAnchor>
    <xdr:from>
      <xdr:col>52</xdr:col>
      <xdr:colOff>819187</xdr:colOff>
      <xdr:row>92</xdr:row>
      <xdr:rowOff>495300</xdr:rowOff>
    </xdr:from>
    <xdr:to>
      <xdr:col>63</xdr:col>
      <xdr:colOff>818454</xdr:colOff>
      <xdr:row>106</xdr:row>
      <xdr:rowOff>59840</xdr:rowOff>
    </xdr:to>
    <xdr:sp macro="" textlink="">
      <xdr:nvSpPr>
        <xdr:cNvPr id="16475" name="TextBox 400">
          <a:extLst>
            <a:ext uri="{FF2B5EF4-FFF2-40B4-BE49-F238E27FC236}">
              <a16:creationId xmlns:a16="http://schemas.microsoft.com/office/drawing/2014/main" id="{7D971CC4-40BC-4E85-9027-2120047298A5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54349687" y="96012000"/>
          <a:ext cx="11734067" cy="1023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CASSIOPEIA 0RDOPE1MA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(RES2-WB)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364M/46M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05/0600 ETB 05/1600 ETD 07/1000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4000 CMA  JIB/SOK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1000/ LOAD 3000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116912</xdr:colOff>
      <xdr:row>90</xdr:row>
      <xdr:rowOff>583539</xdr:rowOff>
    </xdr:from>
    <xdr:to>
      <xdr:col>65</xdr:col>
      <xdr:colOff>128872</xdr:colOff>
      <xdr:row>91</xdr:row>
      <xdr:rowOff>549789</xdr:rowOff>
    </xdr:to>
    <xdr:sp macro="" textlink="">
      <xdr:nvSpPr>
        <xdr:cNvPr id="16472" name="TextBox 402">
          <a:extLst>
            <a:ext uri="{FF2B5EF4-FFF2-40B4-BE49-F238E27FC236}">
              <a16:creationId xmlns:a16="http://schemas.microsoft.com/office/drawing/2014/main" id="{F85E84C6-944C-4B3F-8CDE-B692A10BCB27}"/>
            </a:ext>
          </a:extLst>
        </xdr:cNvPr>
        <xdr:cNvSpPr txBox="1"/>
      </xdr:nvSpPr>
      <xdr:spPr>
        <a:xfrm flipH="1">
          <a:off x="65382212" y="94576239"/>
          <a:ext cx="2145560" cy="728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66M</a:t>
          </a:r>
        </a:p>
      </xdr:txBody>
    </xdr:sp>
    <xdr:clientData/>
  </xdr:twoCellAnchor>
  <xdr:twoCellAnchor>
    <xdr:from>
      <xdr:col>83</xdr:col>
      <xdr:colOff>76200</xdr:colOff>
      <xdr:row>103</xdr:row>
      <xdr:rowOff>471488</xdr:rowOff>
    </xdr:from>
    <xdr:to>
      <xdr:col>88</xdr:col>
      <xdr:colOff>76200</xdr:colOff>
      <xdr:row>116</xdr:row>
      <xdr:rowOff>609600</xdr:rowOff>
    </xdr:to>
    <xdr:sp macro="" textlink="">
      <xdr:nvSpPr>
        <xdr:cNvPr id="17304" name="Freeform 118">
          <a:extLst>
            <a:ext uri="{FF2B5EF4-FFF2-40B4-BE49-F238E27FC236}">
              <a16:creationId xmlns:a16="http://schemas.microsoft.com/office/drawing/2014/main" id="{D41167E9-9C78-42AC-8841-C135B89C0927}"/>
            </a:ext>
          </a:extLst>
        </xdr:cNvPr>
        <xdr:cNvSpPr/>
      </xdr:nvSpPr>
      <xdr:spPr>
        <a:xfrm>
          <a:off x="85877400" y="113514188"/>
          <a:ext cx="5334000" cy="10044112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723900</xdr:colOff>
      <xdr:row>106</xdr:row>
      <xdr:rowOff>495300</xdr:rowOff>
    </xdr:from>
    <xdr:to>
      <xdr:col>88</xdr:col>
      <xdr:colOff>152400</xdr:colOff>
      <xdr:row>115</xdr:row>
      <xdr:rowOff>533400</xdr:rowOff>
    </xdr:to>
    <xdr:sp macro="" textlink="">
      <xdr:nvSpPr>
        <xdr:cNvPr id="17308" name="TextBox 88">
          <a:extLst>
            <a:ext uri="{FF2B5EF4-FFF2-40B4-BE49-F238E27FC236}">
              <a16:creationId xmlns:a16="http://schemas.microsoft.com/office/drawing/2014/main" id="{34DA596F-5732-45BF-A9E5-2B9A3EF72BA0}"/>
            </a:ext>
          </a:extLst>
        </xdr:cNvPr>
        <xdr:cNvSpPr txBox="1"/>
      </xdr:nvSpPr>
      <xdr:spPr>
        <a:xfrm>
          <a:off x="85458300" y="115824000"/>
          <a:ext cx="5829300" cy="68961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 YANBU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RS2635W (RSX)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LOA129M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06/1700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06/1900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07/TBA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FLK SOK/YNB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600" b="1" baseline="0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86</xdr:col>
      <xdr:colOff>314344</xdr:colOff>
      <xdr:row>103</xdr:row>
      <xdr:rowOff>664727</xdr:rowOff>
    </xdr:from>
    <xdr:to>
      <xdr:col>88</xdr:col>
      <xdr:colOff>326087</xdr:colOff>
      <xdr:row>104</xdr:row>
      <xdr:rowOff>353961</xdr:rowOff>
    </xdr:to>
    <xdr:sp macro="" textlink="">
      <xdr:nvSpPr>
        <xdr:cNvPr id="18539" name="TextBox 90">
          <a:extLst>
            <a:ext uri="{FF2B5EF4-FFF2-40B4-BE49-F238E27FC236}">
              <a16:creationId xmlns:a16="http://schemas.microsoft.com/office/drawing/2014/main" id="{E40CA6C8-15E9-4D28-95C4-A98CB6AEA55A}"/>
            </a:ext>
          </a:extLst>
        </xdr:cNvPr>
        <xdr:cNvSpPr txBox="1"/>
      </xdr:nvSpPr>
      <xdr:spPr>
        <a:xfrm>
          <a:off x="89315944" y="113707427"/>
          <a:ext cx="2145343" cy="45123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300M</a:t>
          </a:r>
        </a:p>
      </xdr:txBody>
    </xdr:sp>
    <xdr:clientData/>
  </xdr:twoCellAnchor>
  <xdr:twoCellAnchor>
    <xdr:from>
      <xdr:col>83</xdr:col>
      <xdr:colOff>22449</xdr:colOff>
      <xdr:row>103</xdr:row>
      <xdr:rowOff>598242</xdr:rowOff>
    </xdr:from>
    <xdr:to>
      <xdr:col>85</xdr:col>
      <xdr:colOff>101403</xdr:colOff>
      <xdr:row>104</xdr:row>
      <xdr:rowOff>332982</xdr:rowOff>
    </xdr:to>
    <xdr:sp macro="" textlink="">
      <xdr:nvSpPr>
        <xdr:cNvPr id="18068" name="TextBox 90">
          <a:extLst>
            <a:ext uri="{FF2B5EF4-FFF2-40B4-BE49-F238E27FC236}">
              <a16:creationId xmlns:a16="http://schemas.microsoft.com/office/drawing/2014/main" id="{3E50551D-21DC-42E2-A707-F007AF0E9AFB}"/>
            </a:ext>
          </a:extLst>
        </xdr:cNvPr>
        <xdr:cNvSpPr txBox="1"/>
      </xdr:nvSpPr>
      <xdr:spPr>
        <a:xfrm>
          <a:off x="85823649" y="113640942"/>
          <a:ext cx="2212554" cy="49674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429M</a:t>
          </a:r>
        </a:p>
      </xdr:txBody>
    </xdr:sp>
    <xdr:clientData/>
  </xdr:twoCellAnchor>
  <xdr:twoCellAnchor>
    <xdr:from>
      <xdr:col>82</xdr:col>
      <xdr:colOff>904875</xdr:colOff>
      <xdr:row>89</xdr:row>
      <xdr:rowOff>0</xdr:rowOff>
    </xdr:from>
    <xdr:to>
      <xdr:col>87</xdr:col>
      <xdr:colOff>928687</xdr:colOff>
      <xdr:row>103</xdr:row>
      <xdr:rowOff>38100</xdr:rowOff>
    </xdr:to>
    <xdr:sp macro="" textlink="">
      <xdr:nvSpPr>
        <xdr:cNvPr id="18397" name="Freeform 118">
          <a:extLst>
            <a:ext uri="{FF2B5EF4-FFF2-40B4-BE49-F238E27FC236}">
              <a16:creationId xmlns:a16="http://schemas.microsoft.com/office/drawing/2014/main" id="{E8F5A198-559B-4481-B479-0B838028F98A}"/>
            </a:ext>
          </a:extLst>
        </xdr:cNvPr>
        <xdr:cNvSpPr/>
      </xdr:nvSpPr>
      <xdr:spPr>
        <a:xfrm>
          <a:off x="84248625" y="65698688"/>
          <a:ext cx="5262562" cy="10706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100012</xdr:colOff>
      <xdr:row>92</xdr:row>
      <xdr:rowOff>533399</xdr:rowOff>
    </xdr:from>
    <xdr:to>
      <xdr:col>88</xdr:col>
      <xdr:colOff>671512</xdr:colOff>
      <xdr:row>100</xdr:row>
      <xdr:rowOff>533400</xdr:rowOff>
    </xdr:to>
    <xdr:sp macro="" textlink="">
      <xdr:nvSpPr>
        <xdr:cNvPr id="18396" name="TextBox 88">
          <a:extLst>
            <a:ext uri="{FF2B5EF4-FFF2-40B4-BE49-F238E27FC236}">
              <a16:creationId xmlns:a16="http://schemas.microsoft.com/office/drawing/2014/main" id="{434E0E09-8359-4225-814D-5E7B6914393F}"/>
            </a:ext>
          </a:extLst>
        </xdr:cNvPr>
        <xdr:cNvSpPr txBox="1"/>
      </xdr:nvSpPr>
      <xdr:spPr>
        <a:xfrm>
          <a:off x="83443762" y="68518087"/>
          <a:ext cx="6858000" cy="609600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ZHONG LIAN SHAN TOU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ZLST2632W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LOA124M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04/2300 ETB 05/1400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SOK/SOK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TBA 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 CELLULAR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C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85</xdr:col>
      <xdr:colOff>862031</xdr:colOff>
      <xdr:row>89</xdr:row>
      <xdr:rowOff>700088</xdr:rowOff>
    </xdr:from>
    <xdr:to>
      <xdr:col>87</xdr:col>
      <xdr:colOff>873774</xdr:colOff>
      <xdr:row>90</xdr:row>
      <xdr:rowOff>509588</xdr:rowOff>
    </xdr:to>
    <xdr:sp macro="" textlink="">
      <xdr:nvSpPr>
        <xdr:cNvPr id="18385" name="TextBox 90">
          <a:extLst>
            <a:ext uri="{FF2B5EF4-FFF2-40B4-BE49-F238E27FC236}">
              <a16:creationId xmlns:a16="http://schemas.microsoft.com/office/drawing/2014/main" id="{375F9E1E-E300-4786-BF10-37E88AA9CEFA}"/>
            </a:ext>
          </a:extLst>
        </xdr:cNvPr>
        <xdr:cNvSpPr txBox="1"/>
      </xdr:nvSpPr>
      <xdr:spPr>
        <a:xfrm>
          <a:off x="87349031" y="66398776"/>
          <a:ext cx="21072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300M</a:t>
          </a:r>
        </a:p>
      </xdr:txBody>
    </xdr:sp>
    <xdr:clientData/>
  </xdr:twoCellAnchor>
  <xdr:twoCellAnchor>
    <xdr:from>
      <xdr:col>82</xdr:col>
      <xdr:colOff>685799</xdr:colOff>
      <xdr:row>90</xdr:row>
      <xdr:rowOff>28576</xdr:rowOff>
    </xdr:from>
    <xdr:to>
      <xdr:col>84</xdr:col>
      <xdr:colOff>726653</xdr:colOff>
      <xdr:row>90</xdr:row>
      <xdr:rowOff>577609</xdr:rowOff>
    </xdr:to>
    <xdr:sp macro="" textlink="">
      <xdr:nvSpPr>
        <xdr:cNvPr id="18386" name="TextBox 90">
          <a:extLst>
            <a:ext uri="{FF2B5EF4-FFF2-40B4-BE49-F238E27FC236}">
              <a16:creationId xmlns:a16="http://schemas.microsoft.com/office/drawing/2014/main" id="{ADA4D228-C793-43B0-9BAE-294FF42AA925}"/>
            </a:ext>
          </a:extLst>
        </xdr:cNvPr>
        <xdr:cNvSpPr txBox="1"/>
      </xdr:nvSpPr>
      <xdr:spPr>
        <a:xfrm>
          <a:off x="84029549" y="66489264"/>
          <a:ext cx="2136354" cy="549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424M</a:t>
          </a:r>
        </a:p>
      </xdr:txBody>
    </xdr:sp>
    <xdr:clientData/>
  </xdr:twoCellAnchor>
  <xdr:twoCellAnchor>
    <xdr:from>
      <xdr:col>103</xdr:col>
      <xdr:colOff>437735</xdr:colOff>
      <xdr:row>68</xdr:row>
      <xdr:rowOff>666750</xdr:rowOff>
    </xdr:from>
    <xdr:to>
      <xdr:col>109</xdr:col>
      <xdr:colOff>195211</xdr:colOff>
      <xdr:row>83</xdr:row>
      <xdr:rowOff>647700</xdr:rowOff>
    </xdr:to>
    <xdr:sp macro="" textlink="">
      <xdr:nvSpPr>
        <xdr:cNvPr id="20722" name="Freeform 118">
          <a:extLst>
            <a:ext uri="{FF2B5EF4-FFF2-40B4-BE49-F238E27FC236}">
              <a16:creationId xmlns:a16="http://schemas.microsoft.com/office/drawing/2014/main" id="{13A003E9-0BC3-4C65-A1AC-B64E992C4379}"/>
            </a:ext>
          </a:extLst>
        </xdr:cNvPr>
        <xdr:cNvSpPr/>
      </xdr:nvSpPr>
      <xdr:spPr>
        <a:xfrm>
          <a:off x="107574935" y="59607450"/>
          <a:ext cx="6158276" cy="11410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103</xdr:col>
      <xdr:colOff>551642</xdr:colOff>
      <xdr:row>70</xdr:row>
      <xdr:rowOff>413206</xdr:rowOff>
    </xdr:from>
    <xdr:to>
      <xdr:col>108</xdr:col>
      <xdr:colOff>913744</xdr:colOff>
      <xdr:row>80</xdr:row>
      <xdr:rowOff>190499</xdr:rowOff>
    </xdr:to>
    <xdr:sp macro="" textlink="">
      <xdr:nvSpPr>
        <xdr:cNvPr id="20742" name="TextBox 88">
          <a:extLst>
            <a:ext uri="{FF2B5EF4-FFF2-40B4-BE49-F238E27FC236}">
              <a16:creationId xmlns:a16="http://schemas.microsoft.com/office/drawing/2014/main" id="{57CD063C-C644-40DA-B6D6-2727C2199B30}"/>
            </a:ext>
          </a:extLst>
        </xdr:cNvPr>
        <xdr:cNvSpPr txBox="1"/>
      </xdr:nvSpPr>
      <xdr:spPr>
        <a:xfrm>
          <a:off x="107688842" y="60877906"/>
          <a:ext cx="5696102" cy="7397293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 NORAH QUEEN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001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LOA91M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ETA02/TBA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03/2000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05/TBA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TBA FMC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 CELLULAR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PORT SIDE 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106</xdr:col>
      <xdr:colOff>893331</xdr:colOff>
      <xdr:row>68</xdr:row>
      <xdr:rowOff>571500</xdr:rowOff>
    </xdr:from>
    <xdr:to>
      <xdr:col>109</xdr:col>
      <xdr:colOff>647962</xdr:colOff>
      <xdr:row>70</xdr:row>
      <xdr:rowOff>502781</xdr:rowOff>
    </xdr:to>
    <xdr:sp macro="" textlink="">
      <xdr:nvSpPr>
        <xdr:cNvPr id="20719" name="TextBox 90">
          <a:extLst>
            <a:ext uri="{FF2B5EF4-FFF2-40B4-BE49-F238E27FC236}">
              <a16:creationId xmlns:a16="http://schemas.microsoft.com/office/drawing/2014/main" id="{9B3CA870-2814-422B-BFFC-1BED8A4844CE}"/>
            </a:ext>
          </a:extLst>
        </xdr:cNvPr>
        <xdr:cNvSpPr txBox="1"/>
      </xdr:nvSpPr>
      <xdr:spPr>
        <a:xfrm>
          <a:off x="111230931" y="59512200"/>
          <a:ext cx="2955031" cy="14552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</a:p>
      </xdr:txBody>
    </xdr:sp>
    <xdr:clientData/>
  </xdr:twoCellAnchor>
  <xdr:twoCellAnchor>
    <xdr:from>
      <xdr:col>103</xdr:col>
      <xdr:colOff>419100</xdr:colOff>
      <xdr:row>68</xdr:row>
      <xdr:rowOff>583395</xdr:rowOff>
    </xdr:from>
    <xdr:to>
      <xdr:col>105</xdr:col>
      <xdr:colOff>384175</xdr:colOff>
      <xdr:row>70</xdr:row>
      <xdr:rowOff>353214</xdr:rowOff>
    </xdr:to>
    <xdr:sp macro="" textlink="">
      <xdr:nvSpPr>
        <xdr:cNvPr id="20720" name="TextBox 470">
          <a:extLst>
            <a:ext uri="{FF2B5EF4-FFF2-40B4-BE49-F238E27FC236}">
              <a16:creationId xmlns:a16="http://schemas.microsoft.com/office/drawing/2014/main" id="{68C2221D-DD58-4EC4-B9BE-FDCA8712E32C}"/>
            </a:ext>
          </a:extLst>
        </xdr:cNvPr>
        <xdr:cNvSpPr txBox="1"/>
      </xdr:nvSpPr>
      <xdr:spPr>
        <a:xfrm>
          <a:off x="107556300" y="59524095"/>
          <a:ext cx="2098675" cy="12938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951M</a:t>
          </a:r>
        </a:p>
      </xdr:txBody>
    </xdr:sp>
    <xdr:clientData/>
  </xdr:twoCellAnchor>
  <xdr:twoCellAnchor>
    <xdr:from>
      <xdr:col>81</xdr:col>
      <xdr:colOff>285750</xdr:colOff>
      <xdr:row>122</xdr:row>
      <xdr:rowOff>723900</xdr:rowOff>
    </xdr:from>
    <xdr:to>
      <xdr:col>87</xdr:col>
      <xdr:colOff>1028700</xdr:colOff>
      <xdr:row>130</xdr:row>
      <xdr:rowOff>0</xdr:rowOff>
    </xdr:to>
    <xdr:sp macro="" textlink="">
      <xdr:nvSpPr>
        <xdr:cNvPr id="18960" name="Freeform 118">
          <a:extLst>
            <a:ext uri="{FF2B5EF4-FFF2-40B4-BE49-F238E27FC236}">
              <a16:creationId xmlns:a16="http://schemas.microsoft.com/office/drawing/2014/main" id="{7B1A2AB5-06F8-4F39-8D56-F9D439444A6F}"/>
            </a:ext>
          </a:extLst>
        </xdr:cNvPr>
        <xdr:cNvSpPr/>
      </xdr:nvSpPr>
      <xdr:spPr>
        <a:xfrm>
          <a:off x="82581750" y="91568588"/>
          <a:ext cx="7029450" cy="17030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80</xdr:col>
      <xdr:colOff>1009650</xdr:colOff>
      <xdr:row>125</xdr:row>
      <xdr:rowOff>0</xdr:rowOff>
    </xdr:from>
    <xdr:to>
      <xdr:col>88</xdr:col>
      <xdr:colOff>13525</xdr:colOff>
      <xdr:row>130</xdr:row>
      <xdr:rowOff>0</xdr:rowOff>
    </xdr:to>
    <xdr:sp macro="" textlink="">
      <xdr:nvSpPr>
        <xdr:cNvPr id="20388" name="TextBox 88">
          <a:extLst>
            <a:ext uri="{FF2B5EF4-FFF2-40B4-BE49-F238E27FC236}">
              <a16:creationId xmlns:a16="http://schemas.microsoft.com/office/drawing/2014/main" id="{49C3C9F3-0F3D-4147-AA90-760DAD852209}"/>
            </a:ext>
          </a:extLst>
        </xdr:cNvPr>
        <xdr:cNvSpPr txBox="1"/>
      </xdr:nvSpPr>
      <xdr:spPr>
        <a:xfrm>
          <a:off x="82162650" y="93440250"/>
          <a:ext cx="7385875" cy="3810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CUL YANGPU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CUYP2634E (REX-2)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08/0800 ETB 08/1000 TBA ETD 10/TBA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SIN /NGB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TBA/ LOAD TBA</a:t>
          </a:r>
        </a:p>
      </xdr:txBody>
    </xdr:sp>
    <xdr:clientData/>
  </xdr:twoCellAnchor>
  <xdr:twoCellAnchor>
    <xdr:from>
      <xdr:col>86</xdr:col>
      <xdr:colOff>61932</xdr:colOff>
      <xdr:row>124</xdr:row>
      <xdr:rowOff>0</xdr:rowOff>
    </xdr:from>
    <xdr:to>
      <xdr:col>88</xdr:col>
      <xdr:colOff>73675</xdr:colOff>
      <xdr:row>124</xdr:row>
      <xdr:rowOff>571500</xdr:rowOff>
    </xdr:to>
    <xdr:sp macro="" textlink="">
      <xdr:nvSpPr>
        <xdr:cNvPr id="17283" name="TextBox 90">
          <a:extLst>
            <a:ext uri="{FF2B5EF4-FFF2-40B4-BE49-F238E27FC236}">
              <a16:creationId xmlns:a16="http://schemas.microsoft.com/office/drawing/2014/main" id="{BCFDEBF3-27BB-43C6-B627-7B795CF39217}"/>
            </a:ext>
          </a:extLst>
        </xdr:cNvPr>
        <xdr:cNvSpPr txBox="1"/>
      </xdr:nvSpPr>
      <xdr:spPr>
        <a:xfrm>
          <a:off x="89063532" y="92468700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300M</a:t>
          </a:r>
        </a:p>
      </xdr:txBody>
    </xdr:sp>
    <xdr:clientData/>
  </xdr:twoCellAnchor>
  <xdr:twoCellAnchor>
    <xdr:from>
      <xdr:col>81</xdr:col>
      <xdr:colOff>233362</xdr:colOff>
      <xdr:row>123</xdr:row>
      <xdr:rowOff>647700</xdr:rowOff>
    </xdr:from>
    <xdr:to>
      <xdr:col>83</xdr:col>
      <xdr:colOff>274216</xdr:colOff>
      <xdr:row>124</xdr:row>
      <xdr:rowOff>434733</xdr:rowOff>
    </xdr:to>
    <xdr:sp macro="" textlink="">
      <xdr:nvSpPr>
        <xdr:cNvPr id="17284" name="TextBox 90">
          <a:extLst>
            <a:ext uri="{FF2B5EF4-FFF2-40B4-BE49-F238E27FC236}">
              <a16:creationId xmlns:a16="http://schemas.microsoft.com/office/drawing/2014/main" id="{23B7CCBD-E551-4A11-BCE0-51FEE754B5C0}"/>
            </a:ext>
          </a:extLst>
        </xdr:cNvPr>
        <xdr:cNvSpPr txBox="1"/>
      </xdr:nvSpPr>
      <xdr:spPr>
        <a:xfrm>
          <a:off x="82529362" y="92254388"/>
          <a:ext cx="2136354" cy="549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472M</a:t>
          </a:r>
        </a:p>
      </xdr:txBody>
    </xdr:sp>
    <xdr:clientData/>
  </xdr:twoCellAnchor>
  <xdr:twoCellAnchor>
    <xdr:from>
      <xdr:col>16</xdr:col>
      <xdr:colOff>342900</xdr:colOff>
      <xdr:row>100</xdr:row>
      <xdr:rowOff>38100</xdr:rowOff>
    </xdr:from>
    <xdr:to>
      <xdr:col>24</xdr:col>
      <xdr:colOff>170113</xdr:colOff>
      <xdr:row>120</xdr:row>
      <xdr:rowOff>152400</xdr:rowOff>
    </xdr:to>
    <xdr:sp macro="" textlink="">
      <xdr:nvSpPr>
        <xdr:cNvPr id="16512" name="Freeform 118">
          <a:extLst>
            <a:ext uri="{FF2B5EF4-FFF2-40B4-BE49-F238E27FC236}">
              <a16:creationId xmlns:a16="http://schemas.microsoft.com/office/drawing/2014/main" id="{52F8B3A3-934C-4223-93EA-E7D0D48B17C4}"/>
            </a:ext>
            <a:ext uri="{147F2762-F138-4A5C-976F-8EAC2B608ADB}">
              <a16:predDERef xmlns:a16="http://schemas.microsoft.com/office/drawing/2014/main" pred="{83B1F441-6708-4CD4-8A8A-1534F36ADC66}"/>
            </a:ext>
          </a:extLst>
        </xdr:cNvPr>
        <xdr:cNvSpPr/>
      </xdr:nvSpPr>
      <xdr:spPr>
        <a:xfrm>
          <a:off x="15430500" y="101650800"/>
          <a:ext cx="8399713" cy="15354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304802</xdr:colOff>
      <xdr:row>101</xdr:row>
      <xdr:rowOff>445965</xdr:rowOff>
    </xdr:from>
    <xdr:to>
      <xdr:col>23</xdr:col>
      <xdr:colOff>628648</xdr:colOff>
      <xdr:row>116</xdr:row>
      <xdr:rowOff>266700</xdr:rowOff>
    </xdr:to>
    <xdr:sp macro="" textlink="">
      <xdr:nvSpPr>
        <xdr:cNvPr id="19387" name="TextBox 88">
          <a:extLst>
            <a:ext uri="{FF2B5EF4-FFF2-40B4-BE49-F238E27FC236}">
              <a16:creationId xmlns:a16="http://schemas.microsoft.com/office/drawing/2014/main" id="{ABBF00A4-605D-4BCD-B11C-7626424A2431}"/>
            </a:ext>
            <a:ext uri="{147F2762-F138-4A5C-976F-8EAC2B608ADB}">
              <a16:predDERef xmlns:a16="http://schemas.microsoft.com/office/drawing/2014/main" pred="{3ABD1301-1855-4535-8DBD-6000333C69F3}"/>
            </a:ext>
          </a:extLst>
        </xdr:cNvPr>
        <xdr:cNvSpPr txBox="1"/>
      </xdr:nvSpPr>
      <xdr:spPr>
        <a:xfrm flipH="1">
          <a:off x="15392402" y="102820665"/>
          <a:ext cx="7829546" cy="112507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TRANSMAR LEGACY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18624 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(RES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204M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06/1000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06/1200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08/TBA MOVES TBA AET ADA/ADA </a:t>
          </a: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TBA / LOAD 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228602</xdr:colOff>
      <xdr:row>101</xdr:row>
      <xdr:rowOff>26866</xdr:rowOff>
    </xdr:from>
    <xdr:to>
      <xdr:col>23</xdr:col>
      <xdr:colOff>1028702</xdr:colOff>
      <xdr:row>102</xdr:row>
      <xdr:rowOff>169233</xdr:rowOff>
    </xdr:to>
    <xdr:sp macro="" textlink="">
      <xdr:nvSpPr>
        <xdr:cNvPr id="16514" name="TextBox 90">
          <a:extLst>
            <a:ext uri="{FF2B5EF4-FFF2-40B4-BE49-F238E27FC236}">
              <a16:creationId xmlns:a16="http://schemas.microsoft.com/office/drawing/2014/main" id="{FBC09A05-10C3-4BC8-9914-C5B1473CC4AC}"/>
            </a:ext>
            <a:ext uri="{147F2762-F138-4A5C-976F-8EAC2B608ADB}">
              <a16:predDERef xmlns:a16="http://schemas.microsoft.com/office/drawing/2014/main" pred="{BFE0EB75-6329-468E-8418-5AA5807E6C9C}"/>
            </a:ext>
          </a:extLst>
        </xdr:cNvPr>
        <xdr:cNvSpPr txBox="1"/>
      </xdr:nvSpPr>
      <xdr:spPr>
        <a:xfrm flipH="1">
          <a:off x="21755102" y="102401566"/>
          <a:ext cx="1866900" cy="9043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265M</a:t>
          </a:r>
        </a:p>
      </xdr:txBody>
    </xdr:sp>
    <xdr:clientData/>
  </xdr:twoCellAnchor>
  <xdr:twoCellAnchor>
    <xdr:from>
      <xdr:col>16</xdr:col>
      <xdr:colOff>573336</xdr:colOff>
      <xdr:row>100</xdr:row>
      <xdr:rowOff>133351</xdr:rowOff>
    </xdr:from>
    <xdr:to>
      <xdr:col>19</xdr:col>
      <xdr:colOff>-1</xdr:colOff>
      <xdr:row>103</xdr:row>
      <xdr:rowOff>141166</xdr:rowOff>
    </xdr:to>
    <xdr:sp macro="" textlink="">
      <xdr:nvSpPr>
        <xdr:cNvPr id="16515" name="TextBox 90">
          <a:extLst>
            <a:ext uri="{FF2B5EF4-FFF2-40B4-BE49-F238E27FC236}">
              <a16:creationId xmlns:a16="http://schemas.microsoft.com/office/drawing/2014/main" id="{EBFB94F3-DC23-49DD-8D05-C715FAFC0E28}"/>
            </a:ext>
            <a:ext uri="{147F2762-F138-4A5C-976F-8EAC2B608ADB}">
              <a16:predDERef xmlns:a16="http://schemas.microsoft.com/office/drawing/2014/main" pred="{652BD850-3388-41E1-B067-F3658170318A}"/>
            </a:ext>
          </a:extLst>
        </xdr:cNvPr>
        <xdr:cNvSpPr txBox="1"/>
      </xdr:nvSpPr>
      <xdr:spPr>
        <a:xfrm flipH="1">
          <a:off x="15660936" y="101746051"/>
          <a:ext cx="2665163" cy="2293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100M</a:t>
          </a:r>
        </a:p>
      </xdr:txBody>
    </xdr:sp>
    <xdr:clientData/>
  </xdr:twoCellAnchor>
  <xdr:twoCellAnchor>
    <xdr:from>
      <xdr:col>34</xdr:col>
      <xdr:colOff>190500</xdr:colOff>
      <xdr:row>113</xdr:row>
      <xdr:rowOff>76199</xdr:rowOff>
    </xdr:from>
    <xdr:to>
      <xdr:col>43</xdr:col>
      <xdr:colOff>1028740</xdr:colOff>
      <xdr:row>130</xdr:row>
      <xdr:rowOff>0</xdr:rowOff>
    </xdr:to>
    <xdr:sp macro="" textlink="">
      <xdr:nvSpPr>
        <xdr:cNvPr id="20049" name="Freeform 118">
          <a:extLst>
            <a:ext uri="{FF2B5EF4-FFF2-40B4-BE49-F238E27FC236}">
              <a16:creationId xmlns:a16="http://schemas.microsoft.com/office/drawing/2014/main" id="{13023D6E-508F-438E-87CF-CFE63564E1BE}"/>
            </a:ext>
          </a:extLst>
        </xdr:cNvPr>
        <xdr:cNvSpPr/>
      </xdr:nvSpPr>
      <xdr:spPr>
        <a:xfrm>
          <a:off x="34518600" y="93306899"/>
          <a:ext cx="10439440" cy="14554201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914400</xdr:colOff>
      <xdr:row>113</xdr:row>
      <xdr:rowOff>647700</xdr:rowOff>
    </xdr:from>
    <xdr:to>
      <xdr:col>36</xdr:col>
      <xdr:colOff>152400</xdr:colOff>
      <xdr:row>114</xdr:row>
      <xdr:rowOff>707828</xdr:rowOff>
    </xdr:to>
    <xdr:sp macro="" textlink="">
      <xdr:nvSpPr>
        <xdr:cNvPr id="20047" name="TextBox 401">
          <a:extLst>
            <a:ext uri="{FF2B5EF4-FFF2-40B4-BE49-F238E27FC236}">
              <a16:creationId xmlns:a16="http://schemas.microsoft.com/office/drawing/2014/main" id="{2E670710-654F-4375-9A19-7B593256D4A1}"/>
            </a:ext>
          </a:extLst>
        </xdr:cNvPr>
        <xdr:cNvSpPr txBox="1"/>
      </xdr:nvSpPr>
      <xdr:spPr>
        <a:xfrm flipH="1">
          <a:off x="34175700" y="93878400"/>
          <a:ext cx="2438400" cy="82212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561M</a:t>
          </a:r>
        </a:p>
      </xdr:txBody>
    </xdr:sp>
    <xdr:clientData/>
  </xdr:twoCellAnchor>
  <xdr:twoCellAnchor>
    <xdr:from>
      <xdr:col>33</xdr:col>
      <xdr:colOff>1066797</xdr:colOff>
      <xdr:row>117</xdr:row>
      <xdr:rowOff>381000</xdr:rowOff>
    </xdr:from>
    <xdr:to>
      <xdr:col>43</xdr:col>
      <xdr:colOff>990599</xdr:colOff>
      <xdr:row>125</xdr:row>
      <xdr:rowOff>609600</xdr:rowOff>
    </xdr:to>
    <xdr:sp macro="" textlink="">
      <xdr:nvSpPr>
        <xdr:cNvPr id="20371" name="TextBox 400">
          <a:extLst>
            <a:ext uri="{FF2B5EF4-FFF2-40B4-BE49-F238E27FC236}">
              <a16:creationId xmlns:a16="http://schemas.microsoft.com/office/drawing/2014/main" id="{C3D88D3B-F4D3-4C73-BE30-2287A6A5C638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34328097" y="96659700"/>
          <a:ext cx="10591802" cy="6324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RADIANT III OW631A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(WMED-RS)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209M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07/0800 ETB 07/1400 ETD 09/TBA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MSC BCN/KAP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783662</xdr:colOff>
      <xdr:row>113</xdr:row>
      <xdr:rowOff>250163</xdr:rowOff>
    </xdr:from>
    <xdr:to>
      <xdr:col>43</xdr:col>
      <xdr:colOff>795622</xdr:colOff>
      <xdr:row>114</xdr:row>
      <xdr:rowOff>400049</xdr:rowOff>
    </xdr:to>
    <xdr:sp macro="" textlink="">
      <xdr:nvSpPr>
        <xdr:cNvPr id="20046" name="TextBox 402">
          <a:extLst>
            <a:ext uri="{FF2B5EF4-FFF2-40B4-BE49-F238E27FC236}">
              <a16:creationId xmlns:a16="http://schemas.microsoft.com/office/drawing/2014/main" id="{4EC5B661-E667-4483-92DD-6B268A0EE075}"/>
            </a:ext>
          </a:extLst>
        </xdr:cNvPr>
        <xdr:cNvSpPr txBox="1"/>
      </xdr:nvSpPr>
      <xdr:spPr>
        <a:xfrm flipH="1">
          <a:off x="42579362" y="93480863"/>
          <a:ext cx="2145560" cy="9118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770M</a:t>
          </a:r>
        </a:p>
      </xdr:txBody>
    </xdr:sp>
    <xdr:clientData/>
  </xdr:twoCellAnchor>
  <xdr:twoCellAnchor>
    <xdr:from>
      <xdr:col>50</xdr:col>
      <xdr:colOff>990640</xdr:colOff>
      <xdr:row>112</xdr:row>
      <xdr:rowOff>571499</xdr:rowOff>
    </xdr:from>
    <xdr:to>
      <xdr:col>65</xdr:col>
      <xdr:colOff>342940</xdr:colOff>
      <xdr:row>130</xdr:row>
      <xdr:rowOff>0</xdr:rowOff>
    </xdr:to>
    <xdr:sp macro="" textlink="">
      <xdr:nvSpPr>
        <xdr:cNvPr id="20358" name="Freeform 118">
          <a:extLst>
            <a:ext uri="{FF2B5EF4-FFF2-40B4-BE49-F238E27FC236}">
              <a16:creationId xmlns:a16="http://schemas.microsoft.com/office/drawing/2014/main" id="{F4349A81-58DB-42C2-9F0D-518E4D1BF608}"/>
            </a:ext>
          </a:extLst>
        </xdr:cNvPr>
        <xdr:cNvSpPr/>
      </xdr:nvSpPr>
      <xdr:spPr>
        <a:xfrm flipH="1">
          <a:off x="52387540" y="93040199"/>
          <a:ext cx="15354300" cy="17716501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76200</xdr:colOff>
      <xdr:row>113</xdr:row>
      <xdr:rowOff>342900</xdr:rowOff>
    </xdr:from>
    <xdr:to>
      <xdr:col>54</xdr:col>
      <xdr:colOff>381000</xdr:colOff>
      <xdr:row>114</xdr:row>
      <xdr:rowOff>403028</xdr:rowOff>
    </xdr:to>
    <xdr:sp macro="" textlink="">
      <xdr:nvSpPr>
        <xdr:cNvPr id="20346" name="TextBox 401">
          <a:extLst>
            <a:ext uri="{FF2B5EF4-FFF2-40B4-BE49-F238E27FC236}">
              <a16:creationId xmlns:a16="http://schemas.microsoft.com/office/drawing/2014/main" id="{FB84DF11-7A91-4B59-9865-0BF279E365C6}"/>
            </a:ext>
          </a:extLst>
        </xdr:cNvPr>
        <xdr:cNvSpPr txBox="1"/>
      </xdr:nvSpPr>
      <xdr:spPr>
        <a:xfrm flipH="1">
          <a:off x="53606700" y="93573600"/>
          <a:ext cx="2438400" cy="82212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</a:p>
      </xdr:txBody>
    </xdr:sp>
    <xdr:clientData/>
  </xdr:twoCellAnchor>
  <xdr:twoCellAnchor>
    <xdr:from>
      <xdr:col>52</xdr:col>
      <xdr:colOff>428652</xdr:colOff>
      <xdr:row>118</xdr:row>
      <xdr:rowOff>228600</xdr:rowOff>
    </xdr:from>
    <xdr:to>
      <xdr:col>64</xdr:col>
      <xdr:colOff>571497</xdr:colOff>
      <xdr:row>125</xdr:row>
      <xdr:rowOff>304799</xdr:rowOff>
    </xdr:to>
    <xdr:sp macro="" textlink="">
      <xdr:nvSpPr>
        <xdr:cNvPr id="20365" name="TextBox 400">
          <a:extLst>
            <a:ext uri="{FF2B5EF4-FFF2-40B4-BE49-F238E27FC236}">
              <a16:creationId xmlns:a16="http://schemas.microsoft.com/office/drawing/2014/main" id="{66A924F1-029D-40D4-A720-816F956EB59E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 flipH="1">
          <a:off x="53959152" y="97269300"/>
          <a:ext cx="12944445" cy="5410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IERANTO IS634R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368M /51M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06/1500 ETB 07/1200 ETD 09/TBA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MSC KAP/NSA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RF:130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97862</xdr:colOff>
      <xdr:row>112</xdr:row>
      <xdr:rowOff>745463</xdr:rowOff>
    </xdr:from>
    <xdr:to>
      <xdr:col>65</xdr:col>
      <xdr:colOff>109822</xdr:colOff>
      <xdr:row>114</xdr:row>
      <xdr:rowOff>133349</xdr:rowOff>
    </xdr:to>
    <xdr:sp macro="" textlink="">
      <xdr:nvSpPr>
        <xdr:cNvPr id="20347" name="TextBox 402">
          <a:extLst>
            <a:ext uri="{FF2B5EF4-FFF2-40B4-BE49-F238E27FC236}">
              <a16:creationId xmlns:a16="http://schemas.microsoft.com/office/drawing/2014/main" id="{F4E02B3E-2682-4C48-A739-1590E893FBC5}"/>
            </a:ext>
          </a:extLst>
        </xdr:cNvPr>
        <xdr:cNvSpPr txBox="1"/>
      </xdr:nvSpPr>
      <xdr:spPr>
        <a:xfrm flipH="1">
          <a:off x="65363162" y="93214163"/>
          <a:ext cx="2145560" cy="9118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62M</a:t>
          </a:r>
        </a:p>
      </xdr:txBody>
    </xdr:sp>
    <xdr:clientData/>
  </xdr:twoCellAnchor>
  <xdr:twoCellAnchor>
    <xdr:from>
      <xdr:col>71</xdr:col>
      <xdr:colOff>95251</xdr:colOff>
      <xdr:row>102</xdr:row>
      <xdr:rowOff>419100</xdr:rowOff>
    </xdr:from>
    <xdr:to>
      <xdr:col>77</xdr:col>
      <xdr:colOff>552451</xdr:colOff>
      <xdr:row>115</xdr:row>
      <xdr:rowOff>196850</xdr:rowOff>
    </xdr:to>
    <xdr:sp macro="" textlink="">
      <xdr:nvSpPr>
        <xdr:cNvPr id="18144" name="Freeform 118">
          <a:extLst>
            <a:ext uri="{FF2B5EF4-FFF2-40B4-BE49-F238E27FC236}">
              <a16:creationId xmlns:a16="http://schemas.microsoft.com/office/drawing/2014/main" id="{D94F38D7-3EDF-40A8-B2CB-F768D96D08A9}"/>
            </a:ext>
          </a:extLst>
        </xdr:cNvPr>
        <xdr:cNvSpPr/>
      </xdr:nvSpPr>
      <xdr:spPr>
        <a:xfrm>
          <a:off x="73094851" y="76123800"/>
          <a:ext cx="6858000" cy="96837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774700</xdr:colOff>
      <xdr:row>106</xdr:row>
      <xdr:rowOff>63500</xdr:rowOff>
    </xdr:from>
    <xdr:to>
      <xdr:col>77</xdr:col>
      <xdr:colOff>816800</xdr:colOff>
      <xdr:row>112</xdr:row>
      <xdr:rowOff>76200</xdr:rowOff>
    </xdr:to>
    <xdr:sp macro="" textlink="">
      <xdr:nvSpPr>
        <xdr:cNvPr id="20389" name="TextBox 88">
          <a:extLst>
            <a:ext uri="{FF2B5EF4-FFF2-40B4-BE49-F238E27FC236}">
              <a16:creationId xmlns:a16="http://schemas.microsoft.com/office/drawing/2014/main" id="{5845274F-47B1-42B8-A8B1-CCD5A162BA7E}"/>
            </a:ext>
          </a:extLst>
        </xdr:cNvPr>
        <xdr:cNvSpPr txBox="1"/>
      </xdr:nvSpPr>
      <xdr:spPr>
        <a:xfrm>
          <a:off x="72707500" y="78816200"/>
          <a:ext cx="7509700" cy="4584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BANYAS 2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RS2634W (RSX)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LOA134M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06/1500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06/1700 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TD 07/TBC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TBC  FLK SOK/YNB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690582</xdr:colOff>
      <xdr:row>102</xdr:row>
      <xdr:rowOff>457201</xdr:rowOff>
    </xdr:from>
    <xdr:to>
      <xdr:col>77</xdr:col>
      <xdr:colOff>702325</xdr:colOff>
      <xdr:row>103</xdr:row>
      <xdr:rowOff>266701</xdr:rowOff>
    </xdr:to>
    <xdr:sp macro="" textlink="">
      <xdr:nvSpPr>
        <xdr:cNvPr id="19662" name="TextBox 90">
          <a:extLst>
            <a:ext uri="{FF2B5EF4-FFF2-40B4-BE49-F238E27FC236}">
              <a16:creationId xmlns:a16="http://schemas.microsoft.com/office/drawing/2014/main" id="{0DC3D9C9-65B2-403F-AAF1-DF63D877E86B}"/>
            </a:ext>
          </a:extLst>
        </xdr:cNvPr>
        <xdr:cNvSpPr txBox="1"/>
      </xdr:nvSpPr>
      <xdr:spPr>
        <a:xfrm>
          <a:off x="77957382" y="76161901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586M</a:t>
          </a:r>
        </a:p>
      </xdr:txBody>
    </xdr:sp>
    <xdr:clientData/>
  </xdr:twoCellAnchor>
  <xdr:twoCellAnchor>
    <xdr:from>
      <xdr:col>71</xdr:col>
      <xdr:colOff>17687</xdr:colOff>
      <xdr:row>102</xdr:row>
      <xdr:rowOff>475765</xdr:rowOff>
    </xdr:from>
    <xdr:to>
      <xdr:col>73</xdr:col>
      <xdr:colOff>96641</xdr:colOff>
      <xdr:row>103</xdr:row>
      <xdr:rowOff>342900</xdr:rowOff>
    </xdr:to>
    <xdr:sp macro="" textlink="">
      <xdr:nvSpPr>
        <xdr:cNvPr id="19728" name="TextBox 90">
          <a:extLst>
            <a:ext uri="{FF2B5EF4-FFF2-40B4-BE49-F238E27FC236}">
              <a16:creationId xmlns:a16="http://schemas.microsoft.com/office/drawing/2014/main" id="{F2D95D33-4063-4B1B-A217-CC8E4B7552D1}"/>
            </a:ext>
          </a:extLst>
        </xdr:cNvPr>
        <xdr:cNvSpPr txBox="1"/>
      </xdr:nvSpPr>
      <xdr:spPr>
        <a:xfrm>
          <a:off x="73017287" y="76180465"/>
          <a:ext cx="2212554" cy="6291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</a:p>
      </xdr:txBody>
    </xdr:sp>
    <xdr:clientData/>
  </xdr:twoCellAnchor>
  <xdr:twoCellAnchor>
    <xdr:from>
      <xdr:col>16</xdr:col>
      <xdr:colOff>36265</xdr:colOff>
      <xdr:row>46</xdr:row>
      <xdr:rowOff>457200</xdr:rowOff>
    </xdr:from>
    <xdr:to>
      <xdr:col>23</xdr:col>
      <xdr:colOff>930278</xdr:colOff>
      <xdr:row>61</xdr:row>
      <xdr:rowOff>228600</xdr:rowOff>
    </xdr:to>
    <xdr:sp macro="" textlink="">
      <xdr:nvSpPr>
        <xdr:cNvPr id="19786" name="Freeform 118">
          <a:extLst>
            <a:ext uri="{FF2B5EF4-FFF2-40B4-BE49-F238E27FC236}">
              <a16:creationId xmlns:a16="http://schemas.microsoft.com/office/drawing/2014/main" id="{B7700870-9819-4959-8973-C5347A350925}"/>
            </a:ext>
            <a:ext uri="{147F2762-F138-4A5C-976F-8EAC2B608ADB}">
              <a16:predDERef xmlns:a16="http://schemas.microsoft.com/office/drawing/2014/main" pred="{83B1F441-6708-4CD4-8A8A-1534F36ADC66}"/>
            </a:ext>
          </a:extLst>
        </xdr:cNvPr>
        <xdr:cNvSpPr/>
      </xdr:nvSpPr>
      <xdr:spPr>
        <a:xfrm>
          <a:off x="15123865" y="42633900"/>
          <a:ext cx="8399713" cy="112014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2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226767</xdr:colOff>
      <xdr:row>48</xdr:row>
      <xdr:rowOff>426916</xdr:rowOff>
    </xdr:from>
    <xdr:to>
      <xdr:col>23</xdr:col>
      <xdr:colOff>550613</xdr:colOff>
      <xdr:row>55</xdr:row>
      <xdr:rowOff>704850</xdr:rowOff>
    </xdr:to>
    <xdr:sp macro="" textlink="">
      <xdr:nvSpPr>
        <xdr:cNvPr id="19251" name="TextBox 88">
          <a:extLst>
            <a:ext uri="{FF2B5EF4-FFF2-40B4-BE49-F238E27FC236}">
              <a16:creationId xmlns:a16="http://schemas.microsoft.com/office/drawing/2014/main" id="{5EF6E6BD-B767-48CF-9926-E0EF0364DD73}"/>
            </a:ext>
            <a:ext uri="{147F2762-F138-4A5C-976F-8EAC2B608ADB}">
              <a16:predDERef xmlns:a16="http://schemas.microsoft.com/office/drawing/2014/main" pred="{3ABD1301-1855-4535-8DBD-6000333C69F3}"/>
            </a:ext>
          </a:extLst>
        </xdr:cNvPr>
        <xdr:cNvSpPr txBox="1"/>
      </xdr:nvSpPr>
      <xdr:spPr>
        <a:xfrm flipH="1">
          <a:off x="15314367" y="44127616"/>
          <a:ext cx="7829546" cy="5611934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DEDE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KORKUT 003 (ADHOC)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210M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26/1900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02/0100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03/0600 MOVES 1038 ZSL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DJI / TBC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1038 / LOAD NIL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36267</xdr:colOff>
      <xdr:row>46</xdr:row>
      <xdr:rowOff>741241</xdr:rowOff>
    </xdr:from>
    <xdr:to>
      <xdr:col>23</xdr:col>
      <xdr:colOff>836367</xdr:colOff>
      <xdr:row>47</xdr:row>
      <xdr:rowOff>324156</xdr:rowOff>
    </xdr:to>
    <xdr:sp macro="" textlink="">
      <xdr:nvSpPr>
        <xdr:cNvPr id="19129" name="TextBox 90">
          <a:extLst>
            <a:ext uri="{FF2B5EF4-FFF2-40B4-BE49-F238E27FC236}">
              <a16:creationId xmlns:a16="http://schemas.microsoft.com/office/drawing/2014/main" id="{2FE57245-C173-4E03-8E35-F4FF11094839}"/>
            </a:ext>
            <a:ext uri="{147F2762-F138-4A5C-976F-8EAC2B608ADB}">
              <a16:predDERef xmlns:a16="http://schemas.microsoft.com/office/drawing/2014/main" pred="{BFE0EB75-6329-468E-8418-5AA5807E6C9C}"/>
            </a:ext>
          </a:extLst>
        </xdr:cNvPr>
        <xdr:cNvSpPr txBox="1"/>
      </xdr:nvSpPr>
      <xdr:spPr>
        <a:xfrm flipH="1">
          <a:off x="21562767" y="42917941"/>
          <a:ext cx="1866900" cy="3449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310M</a:t>
          </a:r>
        </a:p>
      </xdr:txBody>
    </xdr:sp>
    <xdr:clientData/>
  </xdr:twoCellAnchor>
  <xdr:twoCellAnchor>
    <xdr:from>
      <xdr:col>15</xdr:col>
      <xdr:colOff>1000125</xdr:colOff>
      <xdr:row>46</xdr:row>
      <xdr:rowOff>638176</xdr:rowOff>
    </xdr:from>
    <xdr:to>
      <xdr:col>18</xdr:col>
      <xdr:colOff>426788</xdr:colOff>
      <xdr:row>47</xdr:row>
      <xdr:rowOff>751011</xdr:rowOff>
    </xdr:to>
    <xdr:sp macro="" textlink="">
      <xdr:nvSpPr>
        <xdr:cNvPr id="19130" name="TextBox 90">
          <a:extLst>
            <a:ext uri="{FF2B5EF4-FFF2-40B4-BE49-F238E27FC236}">
              <a16:creationId xmlns:a16="http://schemas.microsoft.com/office/drawing/2014/main" id="{4CAEFC8B-D677-482B-8E17-1542024196B1}"/>
            </a:ext>
            <a:ext uri="{147F2762-F138-4A5C-976F-8EAC2B608ADB}">
              <a16:predDERef xmlns:a16="http://schemas.microsoft.com/office/drawing/2014/main" pred="{652BD850-3388-41E1-B067-F3658170318A}"/>
            </a:ext>
          </a:extLst>
        </xdr:cNvPr>
        <xdr:cNvSpPr txBox="1"/>
      </xdr:nvSpPr>
      <xdr:spPr>
        <a:xfrm flipH="1">
          <a:off x="15020925" y="42814876"/>
          <a:ext cx="2665163" cy="8748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100M</a:t>
          </a:r>
        </a:p>
      </xdr:txBody>
    </xdr:sp>
    <xdr:clientData/>
  </xdr:twoCellAnchor>
  <xdr:twoCellAnchor>
    <xdr:from>
      <xdr:col>115</xdr:col>
      <xdr:colOff>323849</xdr:colOff>
      <xdr:row>13</xdr:row>
      <xdr:rowOff>342900</xdr:rowOff>
    </xdr:from>
    <xdr:to>
      <xdr:col>122</xdr:col>
      <xdr:colOff>390524</xdr:colOff>
      <xdr:row>40</xdr:row>
      <xdr:rowOff>647700</xdr:rowOff>
    </xdr:to>
    <xdr:sp macro="" textlink="">
      <xdr:nvSpPr>
        <xdr:cNvPr id="20889" name="Freeform 118">
          <a:extLst>
            <a:ext uri="{FF2B5EF4-FFF2-40B4-BE49-F238E27FC236}">
              <a16:creationId xmlns:a16="http://schemas.microsoft.com/office/drawing/2014/main" id="{84EAAE83-E78D-4532-8EF8-789517A97630}"/>
            </a:ext>
          </a:extLst>
        </xdr:cNvPr>
        <xdr:cNvSpPr/>
      </xdr:nvSpPr>
      <xdr:spPr>
        <a:xfrm>
          <a:off x="120262649" y="8229600"/>
          <a:ext cx="7534275" cy="20878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rgbClr val="C4A1E7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115</xdr:col>
      <xdr:colOff>222250</xdr:colOff>
      <xdr:row>18</xdr:row>
      <xdr:rowOff>38100</xdr:rowOff>
    </xdr:from>
    <xdr:to>
      <xdr:col>122</xdr:col>
      <xdr:colOff>793750</xdr:colOff>
      <xdr:row>25</xdr:row>
      <xdr:rowOff>304800</xdr:rowOff>
    </xdr:to>
    <xdr:sp macro="" textlink="">
      <xdr:nvSpPr>
        <xdr:cNvPr id="17922" name="TextBox 88">
          <a:extLst>
            <a:ext uri="{FF2B5EF4-FFF2-40B4-BE49-F238E27FC236}">
              <a16:creationId xmlns:a16="http://schemas.microsoft.com/office/drawing/2014/main" id="{4E22B888-225D-4243-8375-6C6D37ED4B30}"/>
            </a:ext>
          </a:extLst>
        </xdr:cNvPr>
        <xdr:cNvSpPr txBox="1"/>
      </xdr:nvSpPr>
      <xdr:spPr>
        <a:xfrm flipH="1">
          <a:off x="118205250" y="39122350"/>
          <a:ext cx="7905750" cy="5600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 WAR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SHIP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154M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30th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30/TBC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01/TBC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120</xdr:col>
      <xdr:colOff>739315</xdr:colOff>
      <xdr:row>13</xdr:row>
      <xdr:rowOff>276966</xdr:rowOff>
    </xdr:from>
    <xdr:to>
      <xdr:col>122</xdr:col>
      <xdr:colOff>381000</xdr:colOff>
      <xdr:row>14</xdr:row>
      <xdr:rowOff>400050</xdr:rowOff>
    </xdr:to>
    <xdr:sp macro="" textlink="">
      <xdr:nvSpPr>
        <xdr:cNvPr id="17869" name="TextBox 90">
          <a:extLst>
            <a:ext uri="{FF2B5EF4-FFF2-40B4-BE49-F238E27FC236}">
              <a16:creationId xmlns:a16="http://schemas.microsoft.com/office/drawing/2014/main" id="{9221AE39-12D1-4E02-B0BE-7030BBE762F0}"/>
            </a:ext>
          </a:extLst>
        </xdr:cNvPr>
        <xdr:cNvSpPr txBox="1"/>
      </xdr:nvSpPr>
      <xdr:spPr>
        <a:xfrm flipH="1">
          <a:off x="126012115" y="35595666"/>
          <a:ext cx="1775285" cy="8850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1320M</a:t>
          </a:r>
        </a:p>
      </xdr:txBody>
    </xdr:sp>
    <xdr:clientData/>
  </xdr:twoCellAnchor>
  <xdr:twoCellAnchor>
    <xdr:from>
      <xdr:col>115</xdr:col>
      <xdr:colOff>276225</xdr:colOff>
      <xdr:row>13</xdr:row>
      <xdr:rowOff>323850</xdr:rowOff>
    </xdr:from>
    <xdr:to>
      <xdr:col>117</xdr:col>
      <xdr:colOff>800100</xdr:colOff>
      <xdr:row>14</xdr:row>
      <xdr:rowOff>209550</xdr:rowOff>
    </xdr:to>
    <xdr:sp macro="" textlink="">
      <xdr:nvSpPr>
        <xdr:cNvPr id="17876" name="TextBox 90">
          <a:extLst>
            <a:ext uri="{FF2B5EF4-FFF2-40B4-BE49-F238E27FC236}">
              <a16:creationId xmlns:a16="http://schemas.microsoft.com/office/drawing/2014/main" id="{8DC78309-39EA-43F2-8CFE-9936B1ABD2DD}"/>
            </a:ext>
          </a:extLst>
        </xdr:cNvPr>
        <xdr:cNvSpPr txBox="1"/>
      </xdr:nvSpPr>
      <xdr:spPr>
        <a:xfrm flipH="1">
          <a:off x="120215025" y="35642550"/>
          <a:ext cx="2657475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1474M</a:t>
          </a:r>
        </a:p>
      </xdr:txBody>
    </xdr:sp>
    <xdr:clientData/>
  </xdr:twoCellAnchor>
  <xdr:twoCellAnchor>
    <xdr:from>
      <xdr:col>71</xdr:col>
      <xdr:colOff>228600</xdr:colOff>
      <xdr:row>75</xdr:row>
      <xdr:rowOff>0</xdr:rowOff>
    </xdr:from>
    <xdr:to>
      <xdr:col>77</xdr:col>
      <xdr:colOff>642937</xdr:colOff>
      <xdr:row>98</xdr:row>
      <xdr:rowOff>190500</xdr:rowOff>
    </xdr:to>
    <xdr:sp macro="" textlink="">
      <xdr:nvSpPr>
        <xdr:cNvPr id="18335" name="Freeform 118">
          <a:extLst>
            <a:ext uri="{FF2B5EF4-FFF2-40B4-BE49-F238E27FC236}">
              <a16:creationId xmlns:a16="http://schemas.microsoft.com/office/drawing/2014/main" id="{33CDCC23-DC0A-4C0B-9DA7-C0E294C7EF3A}"/>
            </a:ext>
            <a:ext uri="{147F2762-F138-4A5C-976F-8EAC2B608ADB}">
              <a16:predDERef xmlns:a16="http://schemas.microsoft.com/office/drawing/2014/main" pred="{18E65DB6-973D-4065-A406-5A2A5E452449}"/>
            </a:ext>
          </a:extLst>
        </xdr:cNvPr>
        <xdr:cNvSpPr/>
      </xdr:nvSpPr>
      <xdr:spPr>
        <a:xfrm>
          <a:off x="72047100" y="55030688"/>
          <a:ext cx="6700837" cy="177165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952500</xdr:colOff>
      <xdr:row>79</xdr:row>
      <xdr:rowOff>123825</xdr:rowOff>
    </xdr:from>
    <xdr:to>
      <xdr:col>77</xdr:col>
      <xdr:colOff>876300</xdr:colOff>
      <xdr:row>88</xdr:row>
      <xdr:rowOff>504825</xdr:rowOff>
    </xdr:to>
    <xdr:sp macro="" textlink="">
      <xdr:nvSpPr>
        <xdr:cNvPr id="18352" name="TextBox 88">
          <a:extLst>
            <a:ext uri="{FF2B5EF4-FFF2-40B4-BE49-F238E27FC236}">
              <a16:creationId xmlns:a16="http://schemas.microsoft.com/office/drawing/2014/main" id="{317F1F45-6A41-4EA8-B0D1-87E86F4F8DB1}"/>
            </a:ext>
          </a:extLst>
        </xdr:cNvPr>
        <xdr:cNvSpPr txBox="1"/>
      </xdr:nvSpPr>
      <xdr:spPr>
        <a:xfrm>
          <a:off x="72885300" y="58302525"/>
          <a:ext cx="7391400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NEW THINKER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NWTR2633W (JPS)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03/2000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04/1000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PZU/SOK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500081</xdr:colOff>
      <xdr:row>75</xdr:row>
      <xdr:rowOff>552450</xdr:rowOff>
    </xdr:from>
    <xdr:to>
      <xdr:col>77</xdr:col>
      <xdr:colOff>838199</xdr:colOff>
      <xdr:row>76</xdr:row>
      <xdr:rowOff>647700</xdr:rowOff>
    </xdr:to>
    <xdr:sp macro="" textlink="">
      <xdr:nvSpPr>
        <xdr:cNvPr id="18337" name="TextBox 90">
          <a:extLst>
            <a:ext uri="{FF2B5EF4-FFF2-40B4-BE49-F238E27FC236}">
              <a16:creationId xmlns:a16="http://schemas.microsoft.com/office/drawing/2014/main" id="{8071FCB3-2AC7-4875-9CEC-D5ECD73096B9}"/>
            </a:ext>
          </a:extLst>
        </xdr:cNvPr>
        <xdr:cNvSpPr txBox="1"/>
      </xdr:nvSpPr>
      <xdr:spPr>
        <a:xfrm flipH="1">
          <a:off x="77766881" y="55683150"/>
          <a:ext cx="2471718" cy="857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567M</a:t>
          </a:r>
        </a:p>
      </xdr:txBody>
    </xdr:sp>
    <xdr:clientData/>
  </xdr:twoCellAnchor>
  <xdr:twoCellAnchor>
    <xdr:from>
      <xdr:col>71</xdr:col>
      <xdr:colOff>398687</xdr:colOff>
      <xdr:row>75</xdr:row>
      <xdr:rowOff>532914</xdr:rowOff>
    </xdr:from>
    <xdr:to>
      <xdr:col>72</xdr:col>
      <xdr:colOff>915791</xdr:colOff>
      <xdr:row>76</xdr:row>
      <xdr:rowOff>400049</xdr:rowOff>
    </xdr:to>
    <xdr:sp macro="" textlink="">
      <xdr:nvSpPr>
        <xdr:cNvPr id="18338" name="TextBox 90">
          <a:extLst>
            <a:ext uri="{FF2B5EF4-FFF2-40B4-BE49-F238E27FC236}">
              <a16:creationId xmlns:a16="http://schemas.microsoft.com/office/drawing/2014/main" id="{83FD8946-F997-45CC-88DB-B41D3077ACFB}"/>
            </a:ext>
          </a:extLst>
        </xdr:cNvPr>
        <xdr:cNvSpPr txBox="1"/>
      </xdr:nvSpPr>
      <xdr:spPr>
        <a:xfrm flipH="1">
          <a:off x="73398287" y="55663614"/>
          <a:ext cx="1583904" cy="6291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</a:p>
      </xdr:txBody>
    </xdr:sp>
    <xdr:clientData/>
  </xdr:twoCellAnchor>
  <xdr:twoCellAnchor>
    <xdr:from>
      <xdr:col>92</xdr:col>
      <xdr:colOff>166686</xdr:colOff>
      <xdr:row>85</xdr:row>
      <xdr:rowOff>647700</xdr:rowOff>
    </xdr:from>
    <xdr:to>
      <xdr:col>97</xdr:col>
      <xdr:colOff>1028699</xdr:colOff>
      <xdr:row>108</xdr:row>
      <xdr:rowOff>654050</xdr:rowOff>
    </xdr:to>
    <xdr:sp macro="" textlink="">
      <xdr:nvSpPr>
        <xdr:cNvPr id="18359" name="Freeform 118">
          <a:extLst>
            <a:ext uri="{FF2B5EF4-FFF2-40B4-BE49-F238E27FC236}">
              <a16:creationId xmlns:a16="http://schemas.microsoft.com/office/drawing/2014/main" id="{F83B1595-B664-43A2-98B6-E1C0D6966014}"/>
            </a:ext>
          </a:extLst>
        </xdr:cNvPr>
        <xdr:cNvSpPr/>
      </xdr:nvSpPr>
      <xdr:spPr>
        <a:xfrm>
          <a:off x="93987936" y="63298388"/>
          <a:ext cx="6100763" cy="175323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91</xdr:col>
      <xdr:colOff>485775</xdr:colOff>
      <xdr:row>90</xdr:row>
      <xdr:rowOff>330199</xdr:rowOff>
    </xdr:from>
    <xdr:to>
      <xdr:col>98</xdr:col>
      <xdr:colOff>537400</xdr:colOff>
      <xdr:row>97</xdr:row>
      <xdr:rowOff>558800</xdr:rowOff>
    </xdr:to>
    <xdr:sp macro="" textlink="">
      <xdr:nvSpPr>
        <xdr:cNvPr id="18384" name="TextBox 88">
          <a:extLst>
            <a:ext uri="{FF2B5EF4-FFF2-40B4-BE49-F238E27FC236}">
              <a16:creationId xmlns:a16="http://schemas.microsoft.com/office/drawing/2014/main" id="{D0BADD81-7BBC-42C3-8BE8-4D12023A0B5C}"/>
            </a:ext>
          </a:extLst>
        </xdr:cNvPr>
        <xdr:cNvSpPr txBox="1"/>
      </xdr:nvSpPr>
      <xdr:spPr>
        <a:xfrm>
          <a:off x="93259275" y="66790887"/>
          <a:ext cx="7385875" cy="5562601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SUNNY68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SY682636W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LOA155M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03/2300 ETB 05/0800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07/TBA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TBA CUL SOK/SOK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TBA/ LOAD TBA</a:t>
          </a:r>
        </a:p>
      </xdr:txBody>
    </xdr:sp>
    <xdr:clientData/>
  </xdr:twoCellAnchor>
  <xdr:twoCellAnchor>
    <xdr:from>
      <xdr:col>95</xdr:col>
      <xdr:colOff>992207</xdr:colOff>
      <xdr:row>86</xdr:row>
      <xdr:rowOff>476250</xdr:rowOff>
    </xdr:from>
    <xdr:to>
      <xdr:col>97</xdr:col>
      <xdr:colOff>994425</xdr:colOff>
      <xdr:row>87</xdr:row>
      <xdr:rowOff>285750</xdr:rowOff>
    </xdr:to>
    <xdr:sp macro="" textlink="">
      <xdr:nvSpPr>
        <xdr:cNvPr id="18365" name="TextBox 90">
          <a:extLst>
            <a:ext uri="{FF2B5EF4-FFF2-40B4-BE49-F238E27FC236}">
              <a16:creationId xmlns:a16="http://schemas.microsoft.com/office/drawing/2014/main" id="{83044F1F-103F-4786-B43F-6695EAE59DCE}"/>
            </a:ext>
          </a:extLst>
        </xdr:cNvPr>
        <xdr:cNvSpPr txBox="1"/>
      </xdr:nvSpPr>
      <xdr:spPr>
        <a:xfrm>
          <a:off x="99595007" y="82276950"/>
          <a:ext cx="2135818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92</xdr:col>
      <xdr:colOff>458787</xdr:colOff>
      <xdr:row>86</xdr:row>
      <xdr:rowOff>596900</xdr:rowOff>
    </xdr:from>
    <xdr:to>
      <xdr:col>94</xdr:col>
      <xdr:colOff>480591</xdr:colOff>
      <xdr:row>87</xdr:row>
      <xdr:rowOff>383933</xdr:rowOff>
    </xdr:to>
    <xdr:sp macro="" textlink="">
      <xdr:nvSpPr>
        <xdr:cNvPr id="18371" name="TextBox 90">
          <a:extLst>
            <a:ext uri="{FF2B5EF4-FFF2-40B4-BE49-F238E27FC236}">
              <a16:creationId xmlns:a16="http://schemas.microsoft.com/office/drawing/2014/main" id="{EE0C6D3C-FB8F-42DF-997A-40971F5490CD}"/>
            </a:ext>
          </a:extLst>
        </xdr:cNvPr>
        <xdr:cNvSpPr txBox="1"/>
      </xdr:nvSpPr>
      <xdr:spPr>
        <a:xfrm>
          <a:off x="94280037" y="64009588"/>
          <a:ext cx="2117304" cy="549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190M</a:t>
          </a:r>
        </a:p>
      </xdr:txBody>
    </xdr:sp>
    <xdr:clientData/>
  </xdr:twoCellAnchor>
  <xdr:twoCellAnchor>
    <xdr:from>
      <xdr:col>104</xdr:col>
      <xdr:colOff>266700</xdr:colOff>
      <xdr:row>30</xdr:row>
      <xdr:rowOff>685800</xdr:rowOff>
    </xdr:from>
    <xdr:to>
      <xdr:col>109</xdr:col>
      <xdr:colOff>190500</xdr:colOff>
      <xdr:row>47</xdr:row>
      <xdr:rowOff>114300</xdr:rowOff>
    </xdr:to>
    <xdr:sp macro="" textlink="">
      <xdr:nvSpPr>
        <xdr:cNvPr id="19120" name="Freeform 118">
          <a:extLst>
            <a:ext uri="{FF2B5EF4-FFF2-40B4-BE49-F238E27FC236}">
              <a16:creationId xmlns:a16="http://schemas.microsoft.com/office/drawing/2014/main" id="{3D89A1C3-80AB-46D4-8C62-A5A77475E0BE}"/>
            </a:ext>
          </a:extLst>
        </xdr:cNvPr>
        <xdr:cNvSpPr/>
      </xdr:nvSpPr>
      <xdr:spPr>
        <a:xfrm>
          <a:off x="108470700" y="30670500"/>
          <a:ext cx="5257800" cy="123825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104</xdr:col>
      <xdr:colOff>152400</xdr:colOff>
      <xdr:row>30</xdr:row>
      <xdr:rowOff>723900</xdr:rowOff>
    </xdr:from>
    <xdr:to>
      <xdr:col>106</xdr:col>
      <xdr:colOff>457200</xdr:colOff>
      <xdr:row>33</xdr:row>
      <xdr:rowOff>130933</xdr:rowOff>
    </xdr:to>
    <xdr:sp macro="" textlink="">
      <xdr:nvSpPr>
        <xdr:cNvPr id="19100" name="TextBox 150">
          <a:extLst>
            <a:ext uri="{FF2B5EF4-FFF2-40B4-BE49-F238E27FC236}">
              <a16:creationId xmlns:a16="http://schemas.microsoft.com/office/drawing/2014/main" id="{80393673-2430-4A4A-9822-6FF5B58B17A6}"/>
            </a:ext>
          </a:extLst>
        </xdr:cNvPr>
        <xdr:cNvSpPr txBox="1"/>
      </xdr:nvSpPr>
      <xdr:spPr>
        <a:xfrm flipH="1">
          <a:off x="108356400" y="30708600"/>
          <a:ext cx="2438400" cy="1693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955M</a:t>
          </a:r>
        </a:p>
      </xdr:txBody>
    </xdr:sp>
    <xdr:clientData/>
  </xdr:twoCellAnchor>
  <xdr:twoCellAnchor>
    <xdr:from>
      <xdr:col>107</xdr:col>
      <xdr:colOff>476252</xdr:colOff>
      <xdr:row>31</xdr:row>
      <xdr:rowOff>0</xdr:rowOff>
    </xdr:from>
    <xdr:to>
      <xdr:col>109</xdr:col>
      <xdr:colOff>464074</xdr:colOff>
      <xdr:row>33</xdr:row>
      <xdr:rowOff>0</xdr:rowOff>
    </xdr:to>
    <xdr:sp macro="" textlink="">
      <xdr:nvSpPr>
        <xdr:cNvPr id="19099" name="TextBox 153">
          <a:extLst>
            <a:ext uri="{FF2B5EF4-FFF2-40B4-BE49-F238E27FC236}">
              <a16:creationId xmlns:a16="http://schemas.microsoft.com/office/drawing/2014/main" id="{3EFA4B97-2977-4118-A53E-0A218A835FC3}"/>
            </a:ext>
          </a:extLst>
        </xdr:cNvPr>
        <xdr:cNvSpPr txBox="1"/>
      </xdr:nvSpPr>
      <xdr:spPr>
        <a:xfrm rot="10800000" flipH="1" flipV="1">
          <a:off x="111880652" y="30746700"/>
          <a:ext cx="2121422" cy="152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104</xdr:col>
      <xdr:colOff>228600</xdr:colOff>
      <xdr:row>33</xdr:row>
      <xdr:rowOff>57151</xdr:rowOff>
    </xdr:from>
    <xdr:to>
      <xdr:col>109</xdr:col>
      <xdr:colOff>282560</xdr:colOff>
      <xdr:row>41</xdr:row>
      <xdr:rowOff>57150</xdr:rowOff>
    </xdr:to>
    <xdr:sp macro="" textlink="">
      <xdr:nvSpPr>
        <xdr:cNvPr id="19126" name="TextBox 145">
          <a:extLst>
            <a:ext uri="{FF2B5EF4-FFF2-40B4-BE49-F238E27FC236}">
              <a16:creationId xmlns:a16="http://schemas.microsoft.com/office/drawing/2014/main" id="{6EEAD238-047F-4738-88FB-731D8222569F}"/>
            </a:ext>
          </a:extLst>
        </xdr:cNvPr>
        <xdr:cNvSpPr txBox="1"/>
      </xdr:nvSpPr>
      <xdr:spPr>
        <a:xfrm flipH="1">
          <a:off x="108432600" y="32327851"/>
          <a:ext cx="5387960" cy="6095999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TAMARA J0804-26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LOA95M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31/1600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31/1800 ETD 02/0200 MOVES 273 GGS  PZU/MSW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167/LOAD 106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103</xdr:col>
      <xdr:colOff>552035</xdr:colOff>
      <xdr:row>84</xdr:row>
      <xdr:rowOff>552450</xdr:rowOff>
    </xdr:from>
    <xdr:to>
      <xdr:col>109</xdr:col>
      <xdr:colOff>309511</xdr:colOff>
      <xdr:row>99</xdr:row>
      <xdr:rowOff>533400</xdr:rowOff>
    </xdr:to>
    <xdr:sp macro="" textlink="">
      <xdr:nvSpPr>
        <xdr:cNvPr id="21003" name="Freeform 118">
          <a:extLst>
            <a:ext uri="{FF2B5EF4-FFF2-40B4-BE49-F238E27FC236}">
              <a16:creationId xmlns:a16="http://schemas.microsoft.com/office/drawing/2014/main" id="{770EA9E3-9B35-4FF1-AEC2-0712962A59BD}"/>
            </a:ext>
          </a:extLst>
        </xdr:cNvPr>
        <xdr:cNvSpPr/>
      </xdr:nvSpPr>
      <xdr:spPr>
        <a:xfrm>
          <a:off x="107689235" y="62541150"/>
          <a:ext cx="6158276" cy="11410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103</xdr:col>
      <xdr:colOff>665942</xdr:colOff>
      <xdr:row>86</xdr:row>
      <xdr:rowOff>298906</xdr:rowOff>
    </xdr:from>
    <xdr:to>
      <xdr:col>108</xdr:col>
      <xdr:colOff>1028044</xdr:colOff>
      <xdr:row>96</xdr:row>
      <xdr:rowOff>76199</xdr:rowOff>
    </xdr:to>
    <xdr:sp macro="" textlink="">
      <xdr:nvSpPr>
        <xdr:cNvPr id="21004" name="TextBox 88">
          <a:extLst>
            <a:ext uri="{FF2B5EF4-FFF2-40B4-BE49-F238E27FC236}">
              <a16:creationId xmlns:a16="http://schemas.microsoft.com/office/drawing/2014/main" id="{17018CA3-890A-4182-8575-A29DC63D64BC}"/>
            </a:ext>
          </a:extLst>
        </xdr:cNvPr>
        <xdr:cNvSpPr txBox="1"/>
      </xdr:nvSpPr>
      <xdr:spPr>
        <a:xfrm>
          <a:off x="107803142" y="63811606"/>
          <a:ext cx="5696102" cy="7397293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 BLUE GOLD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004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LOA134M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ETA02/TBA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05/TBA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06/TBA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TBA FMC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 CELLULAR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PORT SIDE 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106</xdr:col>
      <xdr:colOff>1007631</xdr:colOff>
      <xdr:row>84</xdr:row>
      <xdr:rowOff>457200</xdr:rowOff>
    </xdr:from>
    <xdr:to>
      <xdr:col>109</xdr:col>
      <xdr:colOff>762262</xdr:colOff>
      <xdr:row>86</xdr:row>
      <xdr:rowOff>388481</xdr:rowOff>
    </xdr:to>
    <xdr:sp macro="" textlink="">
      <xdr:nvSpPr>
        <xdr:cNvPr id="21005" name="TextBox 90">
          <a:extLst>
            <a:ext uri="{FF2B5EF4-FFF2-40B4-BE49-F238E27FC236}">
              <a16:creationId xmlns:a16="http://schemas.microsoft.com/office/drawing/2014/main" id="{F1338840-6115-4AF0-A46F-8A46B910C2D6}"/>
            </a:ext>
          </a:extLst>
        </xdr:cNvPr>
        <xdr:cNvSpPr txBox="1"/>
      </xdr:nvSpPr>
      <xdr:spPr>
        <a:xfrm>
          <a:off x="111345231" y="62445900"/>
          <a:ext cx="2955031" cy="14552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</a:p>
      </xdr:txBody>
    </xdr:sp>
    <xdr:clientData/>
  </xdr:twoCellAnchor>
  <xdr:twoCellAnchor>
    <xdr:from>
      <xdr:col>103</xdr:col>
      <xdr:colOff>533400</xdr:colOff>
      <xdr:row>84</xdr:row>
      <xdr:rowOff>469095</xdr:rowOff>
    </xdr:from>
    <xdr:to>
      <xdr:col>105</xdr:col>
      <xdr:colOff>498475</xdr:colOff>
      <xdr:row>86</xdr:row>
      <xdr:rowOff>238914</xdr:rowOff>
    </xdr:to>
    <xdr:sp macro="" textlink="">
      <xdr:nvSpPr>
        <xdr:cNvPr id="21006" name="TextBox 470">
          <a:extLst>
            <a:ext uri="{FF2B5EF4-FFF2-40B4-BE49-F238E27FC236}">
              <a16:creationId xmlns:a16="http://schemas.microsoft.com/office/drawing/2014/main" id="{6A6C3FEE-F4EC-43E4-8A9C-3EF8F4302166}"/>
            </a:ext>
          </a:extLst>
        </xdr:cNvPr>
        <xdr:cNvSpPr txBox="1"/>
      </xdr:nvSpPr>
      <xdr:spPr>
        <a:xfrm>
          <a:off x="107670600" y="62457795"/>
          <a:ext cx="2098675" cy="12938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994M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 macro="" textlink="">
      <xdr:nvSpPr>
        <xdr:cNvPr id="42" name="TextBox 90">
          <a:extLst>
            <a:ext uri="{FF2B5EF4-FFF2-40B4-BE49-F238E27FC236}">
              <a16:creationId xmlns:a16="http://schemas.microsoft.com/office/drawing/2014/main" id="{5AFD56DD-35E0-45F4-B667-AD0A37DC3A81}"/>
            </a:ext>
          </a:extLst>
        </xdr:cNvPr>
        <xdr:cNvSpPr txBox="1"/>
      </xdr:nvSpPr>
      <xdr:spPr>
        <a:xfrm>
          <a:off x="77190598" y="65493899"/>
          <a:ext cx="5657851" cy="91440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 macro="" textlink="">
      <xdr:nvSpPr>
        <xdr:cNvPr id="57" name="TextBox 401">
          <a:extLst>
            <a:ext uri="{FF2B5EF4-FFF2-40B4-BE49-F238E27FC236}">
              <a16:creationId xmlns:a16="http://schemas.microsoft.com/office/drawing/2014/main" id="{26F81A31-2E6A-4734-863D-1E00F85CBCBE}"/>
            </a:ext>
          </a:extLst>
        </xdr:cNvPr>
        <xdr:cNvSpPr txBox="1"/>
      </xdr:nvSpPr>
      <xdr:spPr>
        <a:xfrm flipH="1">
          <a:off x="49807223" y="71393050"/>
          <a:ext cx="2210858" cy="5477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 macro="" textlink="">
      <xdr:nvSpPr>
        <xdr:cNvPr id="1350" name="TextBox 402">
          <a:extLst>
            <a:ext uri="{FF2B5EF4-FFF2-40B4-BE49-F238E27FC236}">
              <a16:creationId xmlns:a16="http://schemas.microsoft.com/office/drawing/2014/main" id="{301846D6-0E8E-4CE2-9805-40D6B69115DF}"/>
            </a:ext>
          </a:extLst>
        </xdr:cNvPr>
        <xdr:cNvSpPr txBox="1"/>
      </xdr:nvSpPr>
      <xdr:spPr>
        <a:xfrm flipH="1">
          <a:off x="60115200" y="70827900"/>
          <a:ext cx="2095498" cy="7951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</a:p>
      </xdr:txBody>
    </xdr:sp>
    <xdr:clientData/>
  </xdr:twoCellAnchor>
  <xdr:twoCellAnchor>
    <xdr:from>
      <xdr:col>9</xdr:col>
      <xdr:colOff>228148</xdr:colOff>
      <xdr:row>64</xdr:row>
      <xdr:rowOff>0</xdr:rowOff>
    </xdr:from>
    <xdr:to>
      <xdr:col>12</xdr:col>
      <xdr:colOff>933451</xdr:colOff>
      <xdr:row>81</xdr:row>
      <xdr:rowOff>142875</xdr:rowOff>
    </xdr:to>
    <xdr:sp macro="" textlink="">
      <xdr:nvSpPr>
        <xdr:cNvPr id="6" name="Freeform 165">
          <a:extLst>
            <a:ext uri="{FF2B5EF4-FFF2-40B4-BE49-F238E27FC236}">
              <a16:creationId xmlns:a16="http://schemas.microsoft.com/office/drawing/2014/main" id="{157516EF-9E33-44E1-A96A-57B366F87DA6}"/>
            </a:ext>
          </a:extLst>
        </xdr:cNvPr>
        <xdr:cNvSpPr/>
      </xdr:nvSpPr>
      <xdr:spPr>
        <a:xfrm>
          <a:off x="22097548" y="39890700"/>
          <a:ext cx="6877503" cy="105060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68</xdr:row>
      <xdr:rowOff>219076</xdr:rowOff>
    </xdr:from>
    <xdr:to>
      <xdr:col>12</xdr:col>
      <xdr:colOff>742951</xdr:colOff>
      <xdr:row>78</xdr:row>
      <xdr:rowOff>542925</xdr:rowOff>
    </xdr:to>
    <xdr:sp macro="" textlink="">
      <xdr:nvSpPr>
        <xdr:cNvPr id="61" name="TextBox 84">
          <a:extLst>
            <a:ext uri="{FF2B5EF4-FFF2-40B4-BE49-F238E27FC236}">
              <a16:creationId xmlns:a16="http://schemas.microsoft.com/office/drawing/2014/main" id="{A22D530C-2A67-43FC-9595-41E58AFB65D1}"/>
            </a:ext>
          </a:extLst>
        </xdr:cNvPr>
        <xdr:cNvSpPr txBox="1"/>
      </xdr:nvSpPr>
      <xdr:spPr>
        <a:xfrm>
          <a:off x="21869400" y="42548176"/>
          <a:ext cx="6915151" cy="641984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JI ZHE 2 ZHE22606E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25/0001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13/22 ETD 16/0200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MOVESTBA JHS ADE/PZU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/LOAD TBA</a:t>
          </a: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1142207</xdr:colOff>
      <xdr:row>64</xdr:row>
      <xdr:rowOff>197099</xdr:rowOff>
    </xdr:from>
    <xdr:to>
      <xdr:col>12</xdr:col>
      <xdr:colOff>935660</xdr:colOff>
      <xdr:row>65</xdr:row>
      <xdr:rowOff>523959</xdr:rowOff>
    </xdr:to>
    <xdr:sp macro="" textlink="">
      <xdr:nvSpPr>
        <xdr:cNvPr id="9" name="TextBox 85">
          <a:extLst>
            <a:ext uri="{FF2B5EF4-FFF2-40B4-BE49-F238E27FC236}">
              <a16:creationId xmlns:a16="http://schemas.microsoft.com/office/drawing/2014/main" id="{E3654571-5B09-4EF4-A483-CEC0A8B5CDA8}"/>
            </a:ext>
          </a:extLst>
        </xdr:cNvPr>
        <xdr:cNvSpPr txBox="1"/>
      </xdr:nvSpPr>
      <xdr:spPr>
        <a:xfrm>
          <a:off x="27126407" y="40087799"/>
          <a:ext cx="1850853" cy="936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580M</a:t>
          </a:r>
        </a:p>
      </xdr:txBody>
    </xdr:sp>
    <xdr:clientData/>
  </xdr:twoCellAnchor>
  <xdr:twoCellAnchor>
    <xdr:from>
      <xdr:col>9</xdr:col>
      <xdr:colOff>98426</xdr:colOff>
      <xdr:row>64</xdr:row>
      <xdr:rowOff>342900</xdr:rowOff>
    </xdr:from>
    <xdr:to>
      <xdr:col>9</xdr:col>
      <xdr:colOff>1878725</xdr:colOff>
      <xdr:row>66</xdr:row>
      <xdr:rowOff>238621</xdr:rowOff>
    </xdr:to>
    <xdr:sp macro="" textlink="">
      <xdr:nvSpPr>
        <xdr:cNvPr id="60" name="TextBox 86">
          <a:extLst>
            <a:ext uri="{FF2B5EF4-FFF2-40B4-BE49-F238E27FC236}">
              <a16:creationId xmlns:a16="http://schemas.microsoft.com/office/drawing/2014/main" id="{E038F70B-6647-47E0-A185-BC3DBD4A17F0}"/>
            </a:ext>
          </a:extLst>
        </xdr:cNvPr>
        <xdr:cNvSpPr txBox="1"/>
      </xdr:nvSpPr>
      <xdr:spPr>
        <a:xfrm>
          <a:off x="21967826" y="40233600"/>
          <a:ext cx="1780299" cy="11149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</a:p>
      </xdr:txBody>
    </xdr:sp>
    <xdr:clientData/>
  </xdr:twoCellAnchor>
  <xdr:twoCellAnchor>
    <xdr:from>
      <xdr:col>39</xdr:col>
      <xdr:colOff>152400</xdr:colOff>
      <xdr:row>7</xdr:row>
      <xdr:rowOff>228601</xdr:rowOff>
    </xdr:from>
    <xdr:to>
      <xdr:col>41</xdr:col>
      <xdr:colOff>1600200</xdr:colOff>
      <xdr:row>25</xdr:row>
      <xdr:rowOff>533401</xdr:rowOff>
    </xdr:to>
    <xdr:sp macro="" textlink="">
      <xdr:nvSpPr>
        <xdr:cNvPr id="8" name="Freeform 118">
          <a:extLst>
            <a:ext uri="{FF2B5EF4-FFF2-40B4-BE49-F238E27FC236}">
              <a16:creationId xmlns:a16="http://schemas.microsoft.com/office/drawing/2014/main" id="{DD338921-A949-4AD2-BEC1-9EC5624EBB6F}"/>
            </a:ext>
          </a:extLst>
        </xdr:cNvPr>
        <xdr:cNvSpPr/>
      </xdr:nvSpPr>
      <xdr:spPr>
        <a:xfrm>
          <a:off x="81686400" y="5086351"/>
          <a:ext cx="5638800" cy="10591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266699</xdr:colOff>
      <xdr:row>11</xdr:row>
      <xdr:rowOff>76201</xdr:rowOff>
    </xdr:from>
    <xdr:to>
      <xdr:col>41</xdr:col>
      <xdr:colOff>1463659</xdr:colOff>
      <xdr:row>21</xdr:row>
      <xdr:rowOff>457200</xdr:rowOff>
    </xdr:to>
    <xdr:sp macro="" textlink="">
      <xdr:nvSpPr>
        <xdr:cNvPr id="10" name="TextBox 145">
          <a:extLst>
            <a:ext uri="{FF2B5EF4-FFF2-40B4-BE49-F238E27FC236}">
              <a16:creationId xmlns:a16="http://schemas.microsoft.com/office/drawing/2014/main" id="{60870F74-5062-47F1-A195-82983E606741}"/>
            </a:ext>
          </a:extLst>
        </xdr:cNvPr>
        <xdr:cNvSpPr txBox="1"/>
      </xdr:nvSpPr>
      <xdr:spPr>
        <a:xfrm flipH="1">
          <a:off x="81800699" y="7219951"/>
          <a:ext cx="5387960" cy="6095999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SUNNY LYNN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LOA117M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20/1800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24/0400 ETD 25/TBA MOVES TBA GGS  JIB/HOD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0</xdr:rowOff>
    </xdr:from>
    <xdr:to>
      <xdr:col>40</xdr:col>
      <xdr:colOff>342900</xdr:colOff>
      <xdr:row>9</xdr:row>
      <xdr:rowOff>550033</xdr:rowOff>
    </xdr:to>
    <xdr:sp macro="" textlink="">
      <xdr:nvSpPr>
        <xdr:cNvPr id="11" name="TextBox 150">
          <a:extLst>
            <a:ext uri="{FF2B5EF4-FFF2-40B4-BE49-F238E27FC236}">
              <a16:creationId xmlns:a16="http://schemas.microsoft.com/office/drawing/2014/main" id="{85FD24DD-5ECD-43EE-AA46-0BD860A29317}"/>
            </a:ext>
          </a:extLst>
        </xdr:cNvPr>
        <xdr:cNvSpPr txBox="1"/>
      </xdr:nvSpPr>
      <xdr:spPr>
        <a:xfrm flipH="1">
          <a:off x="81534000" y="4857750"/>
          <a:ext cx="2438400" cy="16930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977M</a:t>
          </a:r>
        </a:p>
      </xdr:txBody>
    </xdr:sp>
    <xdr:clientData/>
  </xdr:twoCellAnchor>
  <xdr:twoCellAnchor>
    <xdr:from>
      <xdr:col>40</xdr:col>
      <xdr:colOff>1885952</xdr:colOff>
      <xdr:row>7</xdr:row>
      <xdr:rowOff>76200</xdr:rowOff>
    </xdr:from>
    <xdr:to>
      <xdr:col>41</xdr:col>
      <xdr:colOff>1911874</xdr:colOff>
      <xdr:row>9</xdr:row>
      <xdr:rowOff>457200</xdr:rowOff>
    </xdr:to>
    <xdr:sp macro="" textlink="">
      <xdr:nvSpPr>
        <xdr:cNvPr id="12" name="TextBox 153">
          <a:extLst>
            <a:ext uri="{FF2B5EF4-FFF2-40B4-BE49-F238E27FC236}">
              <a16:creationId xmlns:a16="http://schemas.microsoft.com/office/drawing/2014/main" id="{DF72468C-29FD-431C-815A-71B0D8135C2C}"/>
            </a:ext>
          </a:extLst>
        </xdr:cNvPr>
        <xdr:cNvSpPr txBox="1"/>
      </xdr:nvSpPr>
      <xdr:spPr>
        <a:xfrm rot="10800000" flipH="1" flipV="1">
          <a:off x="85515452" y="4933950"/>
          <a:ext cx="2121422" cy="152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 macro="" textlink="">
      <xdr:nvSpPr>
        <xdr:cNvPr id="2" name="TextBox 90">
          <a:extLst>
            <a:ext uri="{FF2B5EF4-FFF2-40B4-BE49-F238E27FC236}">
              <a16:creationId xmlns:a16="http://schemas.microsoft.com/office/drawing/2014/main" id="{80FADAE5-EE52-4D54-94D8-016E0F7B9FE9}"/>
            </a:ext>
          </a:extLst>
        </xdr:cNvPr>
        <xdr:cNvSpPr txBox="1"/>
      </xdr:nvSpPr>
      <xdr:spPr>
        <a:xfrm>
          <a:off x="111833023" y="201672824"/>
          <a:ext cx="5657851" cy="251460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 macro="" textlink="">
      <xdr:nvSpPr>
        <xdr:cNvPr id="3" name="TextBox 401">
          <a:extLst>
            <a:ext uri="{FF2B5EF4-FFF2-40B4-BE49-F238E27FC236}">
              <a16:creationId xmlns:a16="http://schemas.microsoft.com/office/drawing/2014/main" id="{321893E1-CE61-488A-B031-F2222E650057}"/>
            </a:ext>
          </a:extLst>
        </xdr:cNvPr>
        <xdr:cNvSpPr txBox="1"/>
      </xdr:nvSpPr>
      <xdr:spPr>
        <a:xfrm flipH="1">
          <a:off x="82506548" y="219573475"/>
          <a:ext cx="6554258" cy="174793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 macro="" textlink="">
      <xdr:nvSpPr>
        <xdr:cNvPr id="4" name="TextBox 402">
          <a:extLst>
            <a:ext uri="{FF2B5EF4-FFF2-40B4-BE49-F238E27FC236}">
              <a16:creationId xmlns:a16="http://schemas.microsoft.com/office/drawing/2014/main" id="{1F45102A-6E57-4135-8E60-F19863F1DE1D}"/>
            </a:ext>
          </a:extLst>
        </xdr:cNvPr>
        <xdr:cNvSpPr txBox="1"/>
      </xdr:nvSpPr>
      <xdr:spPr>
        <a:xfrm flipH="1">
          <a:off x="94757625" y="218208225"/>
          <a:ext cx="2095498" cy="23953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</a:p>
      </xdr:txBody>
    </xdr:sp>
    <xdr:clientData/>
  </xdr:twoCellAnchor>
  <xdr:twoCellAnchor>
    <xdr:from>
      <xdr:col>2</xdr:col>
      <xdr:colOff>1895022</xdr:colOff>
      <xdr:row>3</xdr:row>
      <xdr:rowOff>495300</xdr:rowOff>
    </xdr:from>
    <xdr:to>
      <xdr:col>6</xdr:col>
      <xdr:colOff>1768475</xdr:colOff>
      <xdr:row>18</xdr:row>
      <xdr:rowOff>381000</xdr:rowOff>
    </xdr:to>
    <xdr:sp macro="" textlink="">
      <xdr:nvSpPr>
        <xdr:cNvPr id="45" name="Freeform 165">
          <a:extLst>
            <a:ext uri="{FF2B5EF4-FFF2-40B4-BE49-F238E27FC236}">
              <a16:creationId xmlns:a16="http://schemas.microsoft.com/office/drawing/2014/main" id="{35F22EB7-CD8C-40C1-BE59-31EBB8B6B0A5}"/>
            </a:ext>
          </a:extLst>
        </xdr:cNvPr>
        <xdr:cNvSpPr/>
      </xdr:nvSpPr>
      <xdr:spPr>
        <a:xfrm>
          <a:off x="9362622" y="3200400"/>
          <a:ext cx="8103053" cy="9029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1562100</xdr:colOff>
      <xdr:row>7</xdr:row>
      <xdr:rowOff>84818</xdr:rowOff>
    </xdr:from>
    <xdr:to>
      <xdr:col>6</xdr:col>
      <xdr:colOff>1629682</xdr:colOff>
      <xdr:row>19</xdr:row>
      <xdr:rowOff>152400</xdr:rowOff>
    </xdr:to>
    <xdr:sp macro="" textlink="">
      <xdr:nvSpPr>
        <xdr:cNvPr id="46" name="TextBox 84">
          <a:extLst>
            <a:ext uri="{FF2B5EF4-FFF2-40B4-BE49-F238E27FC236}">
              <a16:creationId xmlns:a16="http://schemas.microsoft.com/office/drawing/2014/main" id="{5AB8B6C7-ED90-4CAF-B45B-AD5AC4E7E8B6}"/>
            </a:ext>
          </a:extLst>
        </xdr:cNvPr>
        <xdr:cNvSpPr txBox="1"/>
      </xdr:nvSpPr>
      <xdr:spPr>
        <a:xfrm>
          <a:off x="9029700" y="5228318"/>
          <a:ext cx="8297182" cy="7382782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TIGER LIANYUNGANG 2608W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LOA192 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28/1600 ETB 28/2300 ETD 29/2200</a:t>
          </a: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333 SLG JEC/SOK</a:t>
          </a: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333 /LOAD NIL</a:t>
          </a: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OMIT</a:t>
          </a: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1618456</xdr:colOff>
      <xdr:row>4</xdr:row>
      <xdr:rowOff>539999</xdr:rowOff>
    </xdr:from>
    <xdr:to>
      <xdr:col>6</xdr:col>
      <xdr:colOff>1373809</xdr:colOff>
      <xdr:row>6</xdr:row>
      <xdr:rowOff>18004</xdr:rowOff>
    </xdr:to>
    <xdr:sp macro="" textlink="">
      <xdr:nvSpPr>
        <xdr:cNvPr id="47" name="TextBox 85">
          <a:extLst>
            <a:ext uri="{FF2B5EF4-FFF2-40B4-BE49-F238E27FC236}">
              <a16:creationId xmlns:a16="http://schemas.microsoft.com/office/drawing/2014/main" id="{ED78CC5E-D6C4-4D46-85B5-6F6C102671C2}"/>
            </a:ext>
          </a:extLst>
        </xdr:cNvPr>
        <xdr:cNvSpPr txBox="1"/>
      </xdr:nvSpPr>
      <xdr:spPr>
        <a:xfrm>
          <a:off x="15258256" y="3854699"/>
          <a:ext cx="1812753" cy="697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528M</a:t>
          </a:r>
        </a:p>
      </xdr:txBody>
    </xdr:sp>
    <xdr:clientData/>
  </xdr:twoCellAnchor>
  <xdr:twoCellAnchor>
    <xdr:from>
      <xdr:col>3</xdr:col>
      <xdr:colOff>136525</xdr:colOff>
      <xdr:row>4</xdr:row>
      <xdr:rowOff>419100</xdr:rowOff>
    </xdr:from>
    <xdr:to>
      <xdr:col>3</xdr:col>
      <xdr:colOff>1907299</xdr:colOff>
      <xdr:row>6</xdr:row>
      <xdr:rowOff>74322</xdr:rowOff>
    </xdr:to>
    <xdr:sp macro="" textlink="">
      <xdr:nvSpPr>
        <xdr:cNvPr id="48" name="TextBox 86">
          <a:extLst>
            <a:ext uri="{FF2B5EF4-FFF2-40B4-BE49-F238E27FC236}">
              <a16:creationId xmlns:a16="http://schemas.microsoft.com/office/drawing/2014/main" id="{2412B649-2370-4984-9F0E-73F58AB1CC61}"/>
            </a:ext>
          </a:extLst>
        </xdr:cNvPr>
        <xdr:cNvSpPr txBox="1"/>
      </xdr:nvSpPr>
      <xdr:spPr>
        <a:xfrm>
          <a:off x="9661525" y="3733800"/>
          <a:ext cx="1770774" cy="87442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</a:p>
      </xdr:txBody>
    </xdr:sp>
    <xdr:clientData/>
  </xdr:twoCellAnchor>
  <xdr:twoCellAnchor>
    <xdr:from>
      <xdr:col>8</xdr:col>
      <xdr:colOff>114300</xdr:colOff>
      <xdr:row>4</xdr:row>
      <xdr:rowOff>381000</xdr:rowOff>
    </xdr:from>
    <xdr:to>
      <xdr:col>12</xdr:col>
      <xdr:colOff>66675</xdr:colOff>
      <xdr:row>38</xdr:row>
      <xdr:rowOff>342900</xdr:rowOff>
    </xdr:to>
    <xdr:sp macro="" textlink="">
      <xdr:nvSpPr>
        <xdr:cNvPr id="49" name="Freeform 118">
          <a:extLst>
            <a:ext uri="{FF2B5EF4-FFF2-40B4-BE49-F238E27FC236}">
              <a16:creationId xmlns:a16="http://schemas.microsoft.com/office/drawing/2014/main" id="{E628D8EB-1696-4614-8467-21778AD18C7D}"/>
            </a:ext>
          </a:extLst>
        </xdr:cNvPr>
        <xdr:cNvSpPr/>
      </xdr:nvSpPr>
      <xdr:spPr>
        <a:xfrm>
          <a:off x="19926300" y="3695700"/>
          <a:ext cx="8181975" cy="20688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438150</xdr:colOff>
      <xdr:row>9</xdr:row>
      <xdr:rowOff>438856</xdr:rowOff>
    </xdr:from>
    <xdr:to>
      <xdr:col>12</xdr:col>
      <xdr:colOff>66675</xdr:colOff>
      <xdr:row>20</xdr:row>
      <xdr:rowOff>228600</xdr:rowOff>
    </xdr:to>
    <xdr:sp macro="" textlink="">
      <xdr:nvSpPr>
        <xdr:cNvPr id="50" name="TextBox 88">
          <a:extLst>
            <a:ext uri="{FF2B5EF4-FFF2-40B4-BE49-F238E27FC236}">
              <a16:creationId xmlns:a16="http://schemas.microsoft.com/office/drawing/2014/main" id="{7BE68E60-1177-4006-8360-53827009DA2A}"/>
            </a:ext>
          </a:extLst>
        </xdr:cNvPr>
        <xdr:cNvSpPr txBox="1"/>
      </xdr:nvSpPr>
      <xdr:spPr>
        <a:xfrm>
          <a:off x="20250150" y="6801556"/>
          <a:ext cx="7858125" cy="6495344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QING XIANG 6 EMX011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30/0700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31/0900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02/1400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928  KAS  AQJ/PZU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533 /LOAD 395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 10.20 m</a:t>
          </a:r>
        </a:p>
      </xdr:txBody>
    </xdr:sp>
    <xdr:clientData/>
  </xdr:twoCellAnchor>
  <xdr:twoCellAnchor>
    <xdr:from>
      <xdr:col>10</xdr:col>
      <xdr:colOff>1882315</xdr:colOff>
      <xdr:row>5</xdr:row>
      <xdr:rowOff>334116</xdr:rowOff>
    </xdr:from>
    <xdr:to>
      <xdr:col>12</xdr:col>
      <xdr:colOff>394305</xdr:colOff>
      <xdr:row>7</xdr:row>
      <xdr:rowOff>117286</xdr:rowOff>
    </xdr:to>
    <xdr:sp macro="" textlink="">
      <xdr:nvSpPr>
        <xdr:cNvPr id="51" name="TextBox 90">
          <a:extLst>
            <a:ext uri="{FF2B5EF4-FFF2-40B4-BE49-F238E27FC236}">
              <a16:creationId xmlns:a16="http://schemas.microsoft.com/office/drawing/2014/main" id="{63296DFF-1C51-4B87-8202-3A44C35DE47F}"/>
            </a:ext>
          </a:extLst>
        </xdr:cNvPr>
        <xdr:cNvSpPr txBox="1"/>
      </xdr:nvSpPr>
      <xdr:spPr>
        <a:xfrm>
          <a:off x="25809115" y="4258416"/>
          <a:ext cx="2626790" cy="10023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</a:p>
      </xdr:txBody>
    </xdr:sp>
    <xdr:clientData/>
  </xdr:twoCellAnchor>
  <xdr:twoCellAnchor>
    <xdr:from>
      <xdr:col>8</xdr:col>
      <xdr:colOff>180975</xdr:colOff>
      <xdr:row>5</xdr:row>
      <xdr:rowOff>495300</xdr:rowOff>
    </xdr:from>
    <xdr:to>
      <xdr:col>9</xdr:col>
      <xdr:colOff>1370025</xdr:colOff>
      <xdr:row>7</xdr:row>
      <xdr:rowOff>257619</xdr:rowOff>
    </xdr:to>
    <xdr:sp macro="" textlink="">
      <xdr:nvSpPr>
        <xdr:cNvPr id="52" name="TextBox 90">
          <a:extLst>
            <a:ext uri="{FF2B5EF4-FFF2-40B4-BE49-F238E27FC236}">
              <a16:creationId xmlns:a16="http://schemas.microsoft.com/office/drawing/2014/main" id="{4D567559-F02E-4074-862C-53842A1AD2B8}"/>
            </a:ext>
          </a:extLst>
        </xdr:cNvPr>
        <xdr:cNvSpPr txBox="1"/>
      </xdr:nvSpPr>
      <xdr:spPr>
        <a:xfrm>
          <a:off x="19992975" y="4419600"/>
          <a:ext cx="3246450" cy="9815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1027M</a:t>
          </a:r>
        </a:p>
      </xdr:txBody>
    </xdr:sp>
    <xdr:clientData/>
  </xdr:twoCellAnchor>
  <xdr:twoCellAnchor>
    <xdr:from>
      <xdr:col>12</xdr:col>
      <xdr:colOff>1887311</xdr:colOff>
      <xdr:row>4</xdr:row>
      <xdr:rowOff>571500</xdr:rowOff>
    </xdr:from>
    <xdr:to>
      <xdr:col>16</xdr:col>
      <xdr:colOff>2000572</xdr:colOff>
      <xdr:row>39</xdr:row>
      <xdr:rowOff>485775</xdr:rowOff>
    </xdr:to>
    <xdr:sp macro="" textlink="">
      <xdr:nvSpPr>
        <xdr:cNvPr id="5" name="Freeform 118">
          <a:extLst>
            <a:ext uri="{FF2B5EF4-FFF2-40B4-BE49-F238E27FC236}">
              <a16:creationId xmlns:a16="http://schemas.microsoft.com/office/drawing/2014/main" id="{86CFE77F-2521-4B7B-A711-3EA70DDCE49A}"/>
            </a:ext>
          </a:extLst>
        </xdr:cNvPr>
        <xdr:cNvSpPr/>
      </xdr:nvSpPr>
      <xdr:spPr>
        <a:xfrm>
          <a:off x="29928911" y="3886200"/>
          <a:ext cx="8342861" cy="212502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153763</xdr:colOff>
      <xdr:row>12</xdr:row>
      <xdr:rowOff>419101</xdr:rowOff>
    </xdr:from>
    <xdr:to>
      <xdr:col>16</xdr:col>
      <xdr:colOff>1415063</xdr:colOff>
      <xdr:row>20</xdr:row>
      <xdr:rowOff>533401</xdr:rowOff>
    </xdr:to>
    <xdr:sp macro="" textlink="">
      <xdr:nvSpPr>
        <xdr:cNvPr id="6" name="TextBox 88">
          <a:extLst>
            <a:ext uri="{FF2B5EF4-FFF2-40B4-BE49-F238E27FC236}">
              <a16:creationId xmlns:a16="http://schemas.microsoft.com/office/drawing/2014/main" id="{0AF280DF-571D-41FB-98A9-45BF5AB6A6BE}"/>
            </a:ext>
          </a:extLst>
        </xdr:cNvPr>
        <xdr:cNvSpPr txBox="1"/>
      </xdr:nvSpPr>
      <xdr:spPr>
        <a:xfrm>
          <a:off x="30252763" y="8610601"/>
          <a:ext cx="7433500" cy="49911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NILAM KNLM0234S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(IR5)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02/0200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06/0700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08/1400 MOVES 1276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 JIB/PZU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650 / LOAD 626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1292020</xdr:colOff>
      <xdr:row>6</xdr:row>
      <xdr:rowOff>95873</xdr:rowOff>
    </xdr:from>
    <xdr:to>
      <xdr:col>16</xdr:col>
      <xdr:colOff>1399013</xdr:colOff>
      <xdr:row>7</xdr:row>
      <xdr:rowOff>204839</xdr:rowOff>
    </xdr:to>
    <xdr:sp macro="" textlink="">
      <xdr:nvSpPr>
        <xdr:cNvPr id="7" name="TextBox 90">
          <a:extLst>
            <a:ext uri="{FF2B5EF4-FFF2-40B4-BE49-F238E27FC236}">
              <a16:creationId xmlns:a16="http://schemas.microsoft.com/office/drawing/2014/main" id="{0EF29B96-0EEC-46F6-BE55-47B6635C22C0}"/>
            </a:ext>
          </a:extLst>
        </xdr:cNvPr>
        <xdr:cNvSpPr txBox="1"/>
      </xdr:nvSpPr>
      <xdr:spPr>
        <a:xfrm>
          <a:off x="35505820" y="4629773"/>
          <a:ext cx="2164393" cy="7185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12</xdr:col>
      <xdr:colOff>1600200</xdr:colOff>
      <xdr:row>6</xdr:row>
      <xdr:rowOff>9957</xdr:rowOff>
    </xdr:from>
    <xdr:to>
      <xdr:col>13</xdr:col>
      <xdr:colOff>1669629</xdr:colOff>
      <xdr:row>7</xdr:row>
      <xdr:rowOff>128910</xdr:rowOff>
    </xdr:to>
    <xdr:sp macro="" textlink="">
      <xdr:nvSpPr>
        <xdr:cNvPr id="8" name="TextBox 90">
          <a:extLst>
            <a:ext uri="{FF2B5EF4-FFF2-40B4-BE49-F238E27FC236}">
              <a16:creationId xmlns:a16="http://schemas.microsoft.com/office/drawing/2014/main" id="{477693DB-C6F1-431D-BCBC-31FEB849642A}"/>
            </a:ext>
          </a:extLst>
        </xdr:cNvPr>
        <xdr:cNvSpPr txBox="1"/>
      </xdr:nvSpPr>
      <xdr:spPr>
        <a:xfrm>
          <a:off x="29641800" y="4543857"/>
          <a:ext cx="2126829" cy="72855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</a:p>
      </xdr:txBody>
    </xdr:sp>
    <xdr:clientData/>
  </xdr:twoCellAnchor>
  <xdr:twoCellAnchor>
    <xdr:from>
      <xdr:col>14</xdr:col>
      <xdr:colOff>1639661</xdr:colOff>
      <xdr:row>6</xdr:row>
      <xdr:rowOff>381001</xdr:rowOff>
    </xdr:from>
    <xdr:to>
      <xdr:col>15</xdr:col>
      <xdr:colOff>163286</xdr:colOff>
      <xdr:row>7</xdr:row>
      <xdr:rowOff>327026</xdr:rowOff>
    </xdr:to>
    <xdr:sp macro="" textlink="">
      <xdr:nvSpPr>
        <xdr:cNvPr id="9" name="Star: 5 Points 8465">
          <a:extLst>
            <a:ext uri="{FF2B5EF4-FFF2-40B4-BE49-F238E27FC236}">
              <a16:creationId xmlns:a16="http://schemas.microsoft.com/office/drawing/2014/main" id="{1336D991-AC87-499E-839B-6CC58A241FDC}"/>
            </a:ext>
          </a:extLst>
        </xdr:cNvPr>
        <xdr:cNvSpPr/>
      </xdr:nvSpPr>
      <xdr:spPr>
        <a:xfrm>
          <a:off x="33796061" y="4914901"/>
          <a:ext cx="581025" cy="55562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55787</xdr:colOff>
      <xdr:row>9</xdr:row>
      <xdr:rowOff>0</xdr:rowOff>
    </xdr:from>
    <xdr:to>
      <xdr:col>24</xdr:col>
      <xdr:colOff>1170536</xdr:colOff>
      <xdr:row>44</xdr:row>
      <xdr:rowOff>542925</xdr:rowOff>
    </xdr:to>
    <xdr:sp macro="" textlink="">
      <xdr:nvSpPr>
        <xdr:cNvPr id="10" name="Freeform 118">
          <a:extLst>
            <a:ext uri="{FF2B5EF4-FFF2-40B4-BE49-F238E27FC236}">
              <a16:creationId xmlns:a16="http://schemas.microsoft.com/office/drawing/2014/main" id="{3E1C4595-6E06-453F-82BD-FA7E74DFF821}"/>
            </a:ext>
          </a:extLst>
        </xdr:cNvPr>
        <xdr:cNvSpPr/>
      </xdr:nvSpPr>
      <xdr:spPr>
        <a:xfrm>
          <a:off x="42842087" y="6362700"/>
          <a:ext cx="7591749" cy="218789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16</xdr:row>
      <xdr:rowOff>114300</xdr:rowOff>
    </xdr:from>
    <xdr:to>
      <xdr:col>24</xdr:col>
      <xdr:colOff>1051750</xdr:colOff>
      <xdr:row>26</xdr:row>
      <xdr:rowOff>351812</xdr:rowOff>
    </xdr:to>
    <xdr:sp macro="" textlink="">
      <xdr:nvSpPr>
        <xdr:cNvPr id="11" name="TextBox 88">
          <a:extLst>
            <a:ext uri="{FF2B5EF4-FFF2-40B4-BE49-F238E27FC236}">
              <a16:creationId xmlns:a16="http://schemas.microsoft.com/office/drawing/2014/main" id="{DCF0F642-D84E-45F1-8659-8EE0D39F9FAB}"/>
            </a:ext>
          </a:extLst>
        </xdr:cNvPr>
        <xdr:cNvSpPr txBox="1"/>
      </xdr:nvSpPr>
      <xdr:spPr>
        <a:xfrm>
          <a:off x="42786300" y="10744200"/>
          <a:ext cx="7528750" cy="6333512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JEDDAH IR2621E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24/0800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24/1900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27/0400  MOVES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NSA/MUN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937/LOAD 1012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1147782</xdr:colOff>
      <xdr:row>9</xdr:row>
      <xdr:rowOff>248216</xdr:rowOff>
    </xdr:from>
    <xdr:to>
      <xdr:col>24</xdr:col>
      <xdr:colOff>969025</xdr:colOff>
      <xdr:row>10</xdr:row>
      <xdr:rowOff>190500</xdr:rowOff>
    </xdr:to>
    <xdr:sp macro="" textlink="">
      <xdr:nvSpPr>
        <xdr:cNvPr id="12" name="TextBox 90">
          <a:extLst>
            <a:ext uri="{FF2B5EF4-FFF2-40B4-BE49-F238E27FC236}">
              <a16:creationId xmlns:a16="http://schemas.microsoft.com/office/drawing/2014/main" id="{33B6ED16-A9B8-4ACA-9314-0B22A4FE4932}"/>
            </a:ext>
          </a:extLst>
        </xdr:cNvPr>
        <xdr:cNvSpPr txBox="1"/>
      </xdr:nvSpPr>
      <xdr:spPr>
        <a:xfrm>
          <a:off x="48048882" y="6610916"/>
          <a:ext cx="2183443" cy="5518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</a:p>
      </xdr:txBody>
    </xdr:sp>
    <xdr:clientData/>
  </xdr:twoCellAnchor>
  <xdr:twoCellAnchor>
    <xdr:from>
      <xdr:col>20</xdr:col>
      <xdr:colOff>379637</xdr:colOff>
      <xdr:row>9</xdr:row>
      <xdr:rowOff>361465</xdr:rowOff>
    </xdr:from>
    <xdr:to>
      <xdr:col>21</xdr:col>
      <xdr:colOff>477641</xdr:colOff>
      <xdr:row>9</xdr:row>
      <xdr:rowOff>589304</xdr:rowOff>
    </xdr:to>
    <xdr:sp macro="" textlink="">
      <xdr:nvSpPr>
        <xdr:cNvPr id="13" name="TextBox 90">
          <a:extLst>
            <a:ext uri="{FF2B5EF4-FFF2-40B4-BE49-F238E27FC236}">
              <a16:creationId xmlns:a16="http://schemas.microsoft.com/office/drawing/2014/main" id="{2D5888FD-F7C9-4CD0-99CD-94DE1D978908}"/>
            </a:ext>
          </a:extLst>
        </xdr:cNvPr>
        <xdr:cNvSpPr txBox="1"/>
      </xdr:nvSpPr>
      <xdr:spPr>
        <a:xfrm>
          <a:off x="43165937" y="6724165"/>
          <a:ext cx="2155404" cy="2278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207M</a:t>
          </a:r>
        </a:p>
      </xdr:txBody>
    </xdr:sp>
    <xdr:clientData/>
  </xdr:twoCellAnchor>
  <xdr:twoCellAnchor>
    <xdr:from>
      <xdr:col>25</xdr:col>
      <xdr:colOff>323850</xdr:colOff>
      <xdr:row>19</xdr:row>
      <xdr:rowOff>228600</xdr:rowOff>
    </xdr:from>
    <xdr:to>
      <xdr:col>28</xdr:col>
      <xdr:colOff>1733874</xdr:colOff>
      <xdr:row>48</xdr:row>
      <xdr:rowOff>342900</xdr:rowOff>
    </xdr:to>
    <xdr:sp macro="" textlink="">
      <xdr:nvSpPr>
        <xdr:cNvPr id="14" name="Freeform 118">
          <a:extLst>
            <a:ext uri="{FF2B5EF4-FFF2-40B4-BE49-F238E27FC236}">
              <a16:creationId xmlns:a16="http://schemas.microsoft.com/office/drawing/2014/main" id="{379C05F7-7203-4A7B-812D-7EDB69B1A525}"/>
            </a:ext>
          </a:extLst>
        </xdr:cNvPr>
        <xdr:cNvSpPr/>
      </xdr:nvSpPr>
      <xdr:spPr>
        <a:xfrm>
          <a:off x="51644550" y="12687300"/>
          <a:ext cx="7582224" cy="17792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191863</xdr:colOff>
      <xdr:row>25</xdr:row>
      <xdr:rowOff>266699</xdr:rowOff>
    </xdr:from>
    <xdr:to>
      <xdr:col>28</xdr:col>
      <xdr:colOff>1548413</xdr:colOff>
      <xdr:row>35</xdr:row>
      <xdr:rowOff>380999</xdr:rowOff>
    </xdr:to>
    <xdr:sp macro="" textlink="">
      <xdr:nvSpPr>
        <xdr:cNvPr id="15" name="TextBox 88">
          <a:extLst>
            <a:ext uri="{FF2B5EF4-FFF2-40B4-BE49-F238E27FC236}">
              <a16:creationId xmlns:a16="http://schemas.microsoft.com/office/drawing/2014/main" id="{6F1E8DF7-0302-4F44-8A9A-064A6BC6D179}"/>
            </a:ext>
          </a:extLst>
        </xdr:cNvPr>
        <xdr:cNvSpPr txBox="1"/>
      </xdr:nvSpPr>
      <xdr:spPr>
        <a:xfrm>
          <a:off x="51512563" y="16382999"/>
          <a:ext cx="7528750" cy="62103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JUBAIL RS2627W (RSX)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LOA148M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03/2000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04/TBA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 MOVES 903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NSA/YNB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DIS414 / LOAD 489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1415845</xdr:colOff>
      <xdr:row>19</xdr:row>
      <xdr:rowOff>591115</xdr:rowOff>
    </xdr:from>
    <xdr:to>
      <xdr:col>28</xdr:col>
      <xdr:colOff>1541888</xdr:colOff>
      <xdr:row>20</xdr:row>
      <xdr:rowOff>533399</xdr:rowOff>
    </xdr:to>
    <xdr:sp macro="" textlink="">
      <xdr:nvSpPr>
        <xdr:cNvPr id="16" name="TextBox 90">
          <a:extLst>
            <a:ext uri="{FF2B5EF4-FFF2-40B4-BE49-F238E27FC236}">
              <a16:creationId xmlns:a16="http://schemas.microsoft.com/office/drawing/2014/main" id="{7E21260F-5EA8-455F-AB44-88E874BB04C2}"/>
            </a:ext>
          </a:extLst>
        </xdr:cNvPr>
        <xdr:cNvSpPr txBox="1"/>
      </xdr:nvSpPr>
      <xdr:spPr>
        <a:xfrm>
          <a:off x="56851345" y="13049815"/>
          <a:ext cx="2183443" cy="5518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</a:p>
      </xdr:txBody>
    </xdr:sp>
    <xdr:clientData/>
  </xdr:twoCellAnchor>
  <xdr:twoCellAnchor>
    <xdr:from>
      <xdr:col>25</xdr:col>
      <xdr:colOff>628650</xdr:colOff>
      <xdr:row>20</xdr:row>
      <xdr:rowOff>94764</xdr:rowOff>
    </xdr:from>
    <xdr:to>
      <xdr:col>26</xdr:col>
      <xdr:colOff>745704</xdr:colOff>
      <xdr:row>21</xdr:row>
      <xdr:rowOff>76199</xdr:rowOff>
    </xdr:to>
    <xdr:sp macro="" textlink="">
      <xdr:nvSpPr>
        <xdr:cNvPr id="17" name="TextBox 90">
          <a:extLst>
            <a:ext uri="{FF2B5EF4-FFF2-40B4-BE49-F238E27FC236}">
              <a16:creationId xmlns:a16="http://schemas.microsoft.com/office/drawing/2014/main" id="{F0BB8FB4-FFD0-43BE-914B-59C59B071291}"/>
            </a:ext>
          </a:extLst>
        </xdr:cNvPr>
        <xdr:cNvSpPr txBox="1"/>
      </xdr:nvSpPr>
      <xdr:spPr>
        <a:xfrm>
          <a:off x="51949350" y="13163064"/>
          <a:ext cx="2174454" cy="5910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1008M</a:t>
          </a:r>
        </a:p>
      </xdr:txBody>
    </xdr:sp>
    <xdr:clientData/>
  </xdr:twoCellAnchor>
  <xdr:twoCellAnchor>
    <xdr:from>
      <xdr:col>29</xdr:col>
      <xdr:colOff>953864</xdr:colOff>
      <xdr:row>10</xdr:row>
      <xdr:rowOff>190500</xdr:rowOff>
    </xdr:from>
    <xdr:to>
      <xdr:col>33</xdr:col>
      <xdr:colOff>649063</xdr:colOff>
      <xdr:row>38</xdr:row>
      <xdr:rowOff>342900</xdr:rowOff>
    </xdr:to>
    <xdr:sp macro="" textlink="">
      <xdr:nvSpPr>
        <xdr:cNvPr id="18" name="Freeform 118">
          <a:extLst>
            <a:ext uri="{FF2B5EF4-FFF2-40B4-BE49-F238E27FC236}">
              <a16:creationId xmlns:a16="http://schemas.microsoft.com/office/drawing/2014/main" id="{C12D2CB8-8797-4620-A497-801944AEFD3D}"/>
            </a:ext>
          </a:extLst>
        </xdr:cNvPr>
        <xdr:cNvSpPr/>
      </xdr:nvSpPr>
      <xdr:spPr>
        <a:xfrm>
          <a:off x="60504164" y="7162800"/>
          <a:ext cx="7924799" cy="17221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991963</xdr:colOff>
      <xdr:row>14</xdr:row>
      <xdr:rowOff>152400</xdr:rowOff>
    </xdr:from>
    <xdr:to>
      <xdr:col>33</xdr:col>
      <xdr:colOff>291113</xdr:colOff>
      <xdr:row>26</xdr:row>
      <xdr:rowOff>304800</xdr:rowOff>
    </xdr:to>
    <xdr:sp macro="" textlink="">
      <xdr:nvSpPr>
        <xdr:cNvPr id="19" name="TextBox 88">
          <a:extLst>
            <a:ext uri="{FF2B5EF4-FFF2-40B4-BE49-F238E27FC236}">
              <a16:creationId xmlns:a16="http://schemas.microsoft.com/office/drawing/2014/main" id="{A5F214BE-4759-4138-8175-E17B39BADBDC}"/>
            </a:ext>
          </a:extLst>
        </xdr:cNvPr>
        <xdr:cNvSpPr txBox="1"/>
      </xdr:nvSpPr>
      <xdr:spPr>
        <a:xfrm>
          <a:off x="60542263" y="9563100"/>
          <a:ext cx="7528750" cy="74676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DAMMAM IR2622E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01/1000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03/1800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1530 FLK NSA/MUN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873 /LOAD 657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768145</xdr:colOff>
      <xdr:row>11</xdr:row>
      <xdr:rowOff>362516</xdr:rowOff>
    </xdr:from>
    <xdr:to>
      <xdr:col>33</xdr:col>
      <xdr:colOff>894188</xdr:colOff>
      <xdr:row>12</xdr:row>
      <xdr:rowOff>304800</xdr:rowOff>
    </xdr:to>
    <xdr:sp macro="" textlink="">
      <xdr:nvSpPr>
        <xdr:cNvPr id="20" name="TextBox 90">
          <a:extLst>
            <a:ext uri="{FF2B5EF4-FFF2-40B4-BE49-F238E27FC236}">
              <a16:creationId xmlns:a16="http://schemas.microsoft.com/office/drawing/2014/main" id="{E5A2BB55-E9B2-4EF6-90A4-7DB378B9FB8C}"/>
            </a:ext>
          </a:extLst>
        </xdr:cNvPr>
        <xdr:cNvSpPr txBox="1"/>
      </xdr:nvSpPr>
      <xdr:spPr>
        <a:xfrm>
          <a:off x="66490645" y="7944416"/>
          <a:ext cx="2183443" cy="5518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285M</a:t>
          </a:r>
        </a:p>
      </xdr:txBody>
    </xdr:sp>
    <xdr:clientData/>
  </xdr:twoCellAnchor>
  <xdr:twoCellAnchor>
    <xdr:from>
      <xdr:col>29</xdr:col>
      <xdr:colOff>876300</xdr:colOff>
      <xdr:row>10</xdr:row>
      <xdr:rowOff>551965</xdr:rowOff>
    </xdr:from>
    <xdr:to>
      <xdr:col>30</xdr:col>
      <xdr:colOff>974304</xdr:colOff>
      <xdr:row>12</xdr:row>
      <xdr:rowOff>457200</xdr:rowOff>
    </xdr:to>
    <xdr:sp macro="" textlink="">
      <xdr:nvSpPr>
        <xdr:cNvPr id="21" name="TextBox 90">
          <a:extLst>
            <a:ext uri="{FF2B5EF4-FFF2-40B4-BE49-F238E27FC236}">
              <a16:creationId xmlns:a16="http://schemas.microsoft.com/office/drawing/2014/main" id="{1116377C-0EE9-4899-8B2A-274D60568B5C}"/>
            </a:ext>
          </a:extLst>
        </xdr:cNvPr>
        <xdr:cNvSpPr txBox="1"/>
      </xdr:nvSpPr>
      <xdr:spPr>
        <a:xfrm>
          <a:off x="60426600" y="7524265"/>
          <a:ext cx="2155404" cy="11244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457M</a:t>
          </a:r>
        </a:p>
      </xdr:txBody>
    </xdr:sp>
    <xdr:clientData/>
  </xdr:twoCellAnchor>
  <xdr:twoCellAnchor>
    <xdr:from>
      <xdr:col>4</xdr:col>
      <xdr:colOff>1162090</xdr:colOff>
      <xdr:row>38</xdr:row>
      <xdr:rowOff>495300</xdr:rowOff>
    </xdr:from>
    <xdr:to>
      <xdr:col>10</xdr:col>
      <xdr:colOff>152400</xdr:colOff>
      <xdr:row>54</xdr:row>
      <xdr:rowOff>180975</xdr:rowOff>
    </xdr:to>
    <xdr:sp macro="" textlink="">
      <xdr:nvSpPr>
        <xdr:cNvPr id="22" name="Freeform 118">
          <a:extLst>
            <a:ext uri="{FF2B5EF4-FFF2-40B4-BE49-F238E27FC236}">
              <a16:creationId xmlns:a16="http://schemas.microsoft.com/office/drawing/2014/main" id="{367C943C-38CC-4B65-8024-0B18BE547094}"/>
            </a:ext>
          </a:extLst>
        </xdr:cNvPr>
        <xdr:cNvSpPr/>
      </xdr:nvSpPr>
      <xdr:spPr>
        <a:xfrm>
          <a:off x="12744490" y="24536400"/>
          <a:ext cx="11334710" cy="94392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1066800</xdr:colOff>
      <xdr:row>38</xdr:row>
      <xdr:rowOff>457200</xdr:rowOff>
    </xdr:from>
    <xdr:to>
      <xdr:col>6</xdr:col>
      <xdr:colOff>587076</xdr:colOff>
      <xdr:row>41</xdr:row>
      <xdr:rowOff>500745</xdr:rowOff>
    </xdr:to>
    <xdr:sp macro="" textlink="">
      <xdr:nvSpPr>
        <xdr:cNvPr id="23" name="TextBox 401">
          <a:extLst>
            <a:ext uri="{FF2B5EF4-FFF2-40B4-BE49-F238E27FC236}">
              <a16:creationId xmlns:a16="http://schemas.microsoft.com/office/drawing/2014/main" id="{8235175A-F246-4619-88E7-1A0CB6A39A14}"/>
            </a:ext>
          </a:extLst>
        </xdr:cNvPr>
        <xdr:cNvSpPr txBox="1"/>
      </xdr:nvSpPr>
      <xdr:spPr>
        <a:xfrm>
          <a:off x="12649200" y="24498300"/>
          <a:ext cx="3635076" cy="18723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450M</a:t>
          </a:r>
        </a:p>
      </xdr:txBody>
    </xdr:sp>
    <xdr:clientData/>
  </xdr:twoCellAnchor>
  <xdr:twoCellAnchor>
    <xdr:from>
      <xdr:col>5</xdr:col>
      <xdr:colOff>247691</xdr:colOff>
      <xdr:row>43</xdr:row>
      <xdr:rowOff>348347</xdr:rowOff>
    </xdr:from>
    <xdr:to>
      <xdr:col>9</xdr:col>
      <xdr:colOff>781051</xdr:colOff>
      <xdr:row>53</xdr:row>
      <xdr:rowOff>76201</xdr:rowOff>
    </xdr:to>
    <xdr:sp macro="" textlink="">
      <xdr:nvSpPr>
        <xdr:cNvPr id="24" name="TextBox 400">
          <a:extLst>
            <a:ext uri="{FF2B5EF4-FFF2-40B4-BE49-F238E27FC236}">
              <a16:creationId xmlns:a16="http://schemas.microsoft.com/office/drawing/2014/main" id="{D7A5901B-1920-4847-A4AD-7FAEEAF6805A}"/>
            </a:ext>
            <a:ext uri="{147F2762-F138-4A5C-976F-8EAC2B608ADB}">
              <a16:predDERef xmlns:a16="http://schemas.microsoft.com/office/drawing/2014/main" pred="{DDA97878-EB04-47C9-90E0-DDCD9DD42986}"/>
            </a:ext>
          </a:extLst>
        </xdr:cNvPr>
        <xdr:cNvSpPr txBox="1"/>
      </xdr:nvSpPr>
      <xdr:spPr>
        <a:xfrm>
          <a:off x="13887491" y="27437447"/>
          <a:ext cx="8762960" cy="5823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THAMES  0R10JE1MA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 300 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03/1100 ETB 06/2300 ETD 07/2300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1200 CMA  MUN/PSD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550 / LOAD 550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/ TBC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1717112</xdr:colOff>
      <xdr:row>40</xdr:row>
      <xdr:rowOff>126339</xdr:rowOff>
    </xdr:from>
    <xdr:to>
      <xdr:col>9</xdr:col>
      <xdr:colOff>1805272</xdr:colOff>
      <xdr:row>41</xdr:row>
      <xdr:rowOff>174235</xdr:rowOff>
    </xdr:to>
    <xdr:sp macro="" textlink="">
      <xdr:nvSpPr>
        <xdr:cNvPr id="25" name="TextBox 402">
          <a:extLst>
            <a:ext uri="{FF2B5EF4-FFF2-40B4-BE49-F238E27FC236}">
              <a16:creationId xmlns:a16="http://schemas.microsoft.com/office/drawing/2014/main" id="{490D9932-69AD-4D28-8D7E-F198F359A78A}"/>
            </a:ext>
          </a:extLst>
        </xdr:cNvPr>
        <xdr:cNvSpPr txBox="1"/>
      </xdr:nvSpPr>
      <xdr:spPr>
        <a:xfrm>
          <a:off x="21529112" y="25386639"/>
          <a:ext cx="2145560" cy="6574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750M</a:t>
          </a:r>
        </a:p>
      </xdr:txBody>
    </xdr:sp>
    <xdr:clientData/>
  </xdr:twoCellAnchor>
  <xdr:twoCellAnchor>
    <xdr:from>
      <xdr:col>15</xdr:col>
      <xdr:colOff>96267</xdr:colOff>
      <xdr:row>48</xdr:row>
      <xdr:rowOff>0</xdr:rowOff>
    </xdr:from>
    <xdr:to>
      <xdr:col>19</xdr:col>
      <xdr:colOff>1159328</xdr:colOff>
      <xdr:row>79</xdr:row>
      <xdr:rowOff>581026</xdr:rowOff>
    </xdr:to>
    <xdr:sp macro="" textlink="">
      <xdr:nvSpPr>
        <xdr:cNvPr id="26" name="Freeform 118">
          <a:extLst>
            <a:ext uri="{FF2B5EF4-FFF2-40B4-BE49-F238E27FC236}">
              <a16:creationId xmlns:a16="http://schemas.microsoft.com/office/drawing/2014/main" id="{F69F8DD0-3633-42D8-8916-9015C2799AB6}"/>
            </a:ext>
          </a:extLst>
        </xdr:cNvPr>
        <xdr:cNvSpPr/>
      </xdr:nvSpPr>
      <xdr:spPr>
        <a:xfrm>
          <a:off x="34310067" y="30137100"/>
          <a:ext cx="7578161" cy="19478626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55762</xdr:colOff>
      <xdr:row>51</xdr:row>
      <xdr:rowOff>404611</xdr:rowOff>
    </xdr:from>
    <xdr:to>
      <xdr:col>19</xdr:col>
      <xdr:colOff>1122730</xdr:colOff>
      <xdr:row>59</xdr:row>
      <xdr:rowOff>583286</xdr:rowOff>
    </xdr:to>
    <xdr:sp macro="" textlink="">
      <xdr:nvSpPr>
        <xdr:cNvPr id="27" name="TextBox 88">
          <a:extLst>
            <a:ext uri="{FF2B5EF4-FFF2-40B4-BE49-F238E27FC236}">
              <a16:creationId xmlns:a16="http://schemas.microsoft.com/office/drawing/2014/main" id="{8C28B0BA-D2A2-4DCF-90EC-2551573DC98D}"/>
            </a:ext>
          </a:extLst>
        </xdr:cNvPr>
        <xdr:cNvSpPr txBox="1"/>
      </xdr:nvSpPr>
      <xdr:spPr>
        <a:xfrm flipH="1">
          <a:off x="34269562" y="32370511"/>
          <a:ext cx="7582068" cy="50554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MARSA IVY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2618E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LO167M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06/0500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ETD08/0800 MOVES 1200 GMS MUN/JIB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500/  LOAD 700</a:t>
          </a:r>
        </a:p>
      </xdr:txBody>
    </xdr:sp>
    <xdr:clientData/>
  </xdr:twoCellAnchor>
  <xdr:twoCellAnchor>
    <xdr:from>
      <xdr:col>18</xdr:col>
      <xdr:colOff>906181</xdr:colOff>
      <xdr:row>49</xdr:row>
      <xdr:rowOff>28120</xdr:rowOff>
    </xdr:from>
    <xdr:to>
      <xdr:col>19</xdr:col>
      <xdr:colOff>1008846</xdr:colOff>
      <xdr:row>50</xdr:row>
      <xdr:rowOff>258824</xdr:rowOff>
    </xdr:to>
    <xdr:sp macro="" textlink="">
      <xdr:nvSpPr>
        <xdr:cNvPr id="28" name="TextBox 90">
          <a:extLst>
            <a:ext uri="{FF2B5EF4-FFF2-40B4-BE49-F238E27FC236}">
              <a16:creationId xmlns:a16="http://schemas.microsoft.com/office/drawing/2014/main" id="{A186778A-2413-4A65-8D05-1A641026446D}"/>
            </a:ext>
          </a:extLst>
        </xdr:cNvPr>
        <xdr:cNvSpPr txBox="1"/>
      </xdr:nvSpPr>
      <xdr:spPr>
        <a:xfrm flipH="1">
          <a:off x="39577681" y="30774820"/>
          <a:ext cx="2160065" cy="84030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553M</a:t>
          </a:r>
        </a:p>
      </xdr:txBody>
    </xdr:sp>
    <xdr:clientData/>
  </xdr:twoCellAnchor>
  <xdr:twoCellAnchor>
    <xdr:from>
      <xdr:col>15</xdr:col>
      <xdr:colOff>0</xdr:colOff>
      <xdr:row>49</xdr:row>
      <xdr:rowOff>130623</xdr:rowOff>
    </xdr:from>
    <xdr:to>
      <xdr:col>16</xdr:col>
      <xdr:colOff>84152</xdr:colOff>
      <xdr:row>50</xdr:row>
      <xdr:rowOff>345797</xdr:rowOff>
    </xdr:to>
    <xdr:sp macro="" textlink="">
      <xdr:nvSpPr>
        <xdr:cNvPr id="29" name="TextBox 90">
          <a:extLst>
            <a:ext uri="{FF2B5EF4-FFF2-40B4-BE49-F238E27FC236}">
              <a16:creationId xmlns:a16="http://schemas.microsoft.com/office/drawing/2014/main" id="{B8208E25-0C42-4FE3-A963-CEF7C7B69E41}"/>
            </a:ext>
          </a:extLst>
        </xdr:cNvPr>
        <xdr:cNvSpPr txBox="1"/>
      </xdr:nvSpPr>
      <xdr:spPr>
        <a:xfrm flipH="1">
          <a:off x="34213800" y="30877323"/>
          <a:ext cx="2141552" cy="8247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</a:p>
      </xdr:txBody>
    </xdr:sp>
    <xdr:clientData/>
  </xdr:twoCellAnchor>
  <xdr:twoCellAnchor>
    <xdr:from>
      <xdr:col>16</xdr:col>
      <xdr:colOff>1525017</xdr:colOff>
      <xdr:row>49</xdr:row>
      <xdr:rowOff>266701</xdr:rowOff>
    </xdr:from>
    <xdr:to>
      <xdr:col>17</xdr:col>
      <xdr:colOff>48642</xdr:colOff>
      <xdr:row>50</xdr:row>
      <xdr:rowOff>212726</xdr:rowOff>
    </xdr:to>
    <xdr:sp macro="" textlink="">
      <xdr:nvSpPr>
        <xdr:cNvPr id="30" name="Star: 5 Points 8467">
          <a:extLst>
            <a:ext uri="{FF2B5EF4-FFF2-40B4-BE49-F238E27FC236}">
              <a16:creationId xmlns:a16="http://schemas.microsoft.com/office/drawing/2014/main" id="{A40465A5-2898-4B69-A7F7-1B4FE128AE20}"/>
            </a:ext>
          </a:extLst>
        </xdr:cNvPr>
        <xdr:cNvSpPr/>
      </xdr:nvSpPr>
      <xdr:spPr>
        <a:xfrm>
          <a:off x="37796217" y="31013401"/>
          <a:ext cx="581025" cy="55562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477613</xdr:colOff>
      <xdr:row>27</xdr:row>
      <xdr:rowOff>266700</xdr:rowOff>
    </xdr:from>
    <xdr:to>
      <xdr:col>33</xdr:col>
      <xdr:colOff>58513</xdr:colOff>
      <xdr:row>53</xdr:row>
      <xdr:rowOff>295275</xdr:rowOff>
    </xdr:to>
    <xdr:sp macro="" textlink="">
      <xdr:nvSpPr>
        <xdr:cNvPr id="35" name="Freeform 118">
          <a:extLst>
            <a:ext uri="{FF2B5EF4-FFF2-40B4-BE49-F238E27FC236}">
              <a16:creationId xmlns:a16="http://schemas.microsoft.com/office/drawing/2014/main" id="{1DFA6214-87F4-4035-B13E-6DADAD11B325}"/>
            </a:ext>
          </a:extLst>
        </xdr:cNvPr>
        <xdr:cNvSpPr/>
      </xdr:nvSpPr>
      <xdr:spPr>
        <a:xfrm>
          <a:off x="60027913" y="17602200"/>
          <a:ext cx="7810500" cy="158781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515713</xdr:colOff>
      <xdr:row>31</xdr:row>
      <xdr:rowOff>152399</xdr:rowOff>
    </xdr:from>
    <xdr:to>
      <xdr:col>32</xdr:col>
      <xdr:colOff>1843688</xdr:colOff>
      <xdr:row>39</xdr:row>
      <xdr:rowOff>28574</xdr:rowOff>
    </xdr:to>
    <xdr:sp macro="" textlink="">
      <xdr:nvSpPr>
        <xdr:cNvPr id="36" name="TextBox 88">
          <a:extLst>
            <a:ext uri="{FF2B5EF4-FFF2-40B4-BE49-F238E27FC236}">
              <a16:creationId xmlns:a16="http://schemas.microsoft.com/office/drawing/2014/main" id="{3B7CEFBB-7154-443F-805F-5E12C9CC74C4}"/>
            </a:ext>
          </a:extLst>
        </xdr:cNvPr>
        <xdr:cNvSpPr txBox="1"/>
      </xdr:nvSpPr>
      <xdr:spPr>
        <a:xfrm>
          <a:off x="60066013" y="19926299"/>
          <a:ext cx="7500175" cy="47529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SUMMIT SINGAPORE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26005E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31/0900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10/0100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11/1800 MOVES  763 SUM SOK /SOK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563/ LOAD 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1920670</xdr:colOff>
      <xdr:row>27</xdr:row>
      <xdr:rowOff>419100</xdr:rowOff>
    </xdr:from>
    <xdr:to>
      <xdr:col>32</xdr:col>
      <xdr:colOff>1999088</xdr:colOff>
      <xdr:row>29</xdr:row>
      <xdr:rowOff>66675</xdr:rowOff>
    </xdr:to>
    <xdr:sp macro="" textlink="">
      <xdr:nvSpPr>
        <xdr:cNvPr id="37" name="TextBox 90">
          <a:extLst>
            <a:ext uri="{FF2B5EF4-FFF2-40B4-BE49-F238E27FC236}">
              <a16:creationId xmlns:a16="http://schemas.microsoft.com/office/drawing/2014/main" id="{248035BF-1F4D-425C-AFF7-770FC4F456AF}"/>
            </a:ext>
          </a:extLst>
        </xdr:cNvPr>
        <xdr:cNvSpPr txBox="1"/>
      </xdr:nvSpPr>
      <xdr:spPr>
        <a:xfrm>
          <a:off x="65585770" y="17754600"/>
          <a:ext cx="2135818" cy="8667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</a:p>
      </xdr:txBody>
    </xdr:sp>
    <xdr:clientData/>
  </xdr:twoCellAnchor>
  <xdr:twoCellAnchor>
    <xdr:from>
      <xdr:col>29</xdr:col>
      <xdr:colOff>381000</xdr:colOff>
      <xdr:row>27</xdr:row>
      <xdr:rowOff>361465</xdr:rowOff>
    </xdr:from>
    <xdr:to>
      <xdr:col>30</xdr:col>
      <xdr:colOff>498054</xdr:colOff>
      <xdr:row>29</xdr:row>
      <xdr:rowOff>66675</xdr:rowOff>
    </xdr:to>
    <xdr:sp macro="" textlink="">
      <xdr:nvSpPr>
        <xdr:cNvPr id="38" name="TextBox 90">
          <a:extLst>
            <a:ext uri="{FF2B5EF4-FFF2-40B4-BE49-F238E27FC236}">
              <a16:creationId xmlns:a16="http://schemas.microsoft.com/office/drawing/2014/main" id="{E1DF0323-219A-44B9-BCD3-033BA3D78FB4}"/>
            </a:ext>
          </a:extLst>
        </xdr:cNvPr>
        <xdr:cNvSpPr txBox="1"/>
      </xdr:nvSpPr>
      <xdr:spPr>
        <a:xfrm>
          <a:off x="59931300" y="17696965"/>
          <a:ext cx="2174454" cy="9244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1013M</a:t>
          </a:r>
        </a:p>
      </xdr:txBody>
    </xdr:sp>
    <xdr:clientData/>
  </xdr:twoCellAnchor>
  <xdr:twoCellAnchor>
    <xdr:from>
      <xdr:col>36</xdr:col>
      <xdr:colOff>0</xdr:colOff>
      <xdr:row>10</xdr:row>
      <xdr:rowOff>0</xdr:rowOff>
    </xdr:from>
    <xdr:to>
      <xdr:col>40</xdr:col>
      <xdr:colOff>419100</xdr:colOff>
      <xdr:row>62</xdr:row>
      <xdr:rowOff>38100</xdr:rowOff>
    </xdr:to>
    <xdr:sp macro="" textlink="">
      <xdr:nvSpPr>
        <xdr:cNvPr id="31" name="Freeform 118">
          <a:extLst>
            <a:ext uri="{FF2B5EF4-FFF2-40B4-BE49-F238E27FC236}">
              <a16:creationId xmlns:a16="http://schemas.microsoft.com/office/drawing/2014/main" id="{1608FB36-A784-4269-9731-67A7D55B803D}"/>
            </a:ext>
          </a:extLst>
        </xdr:cNvPr>
        <xdr:cNvSpPr/>
      </xdr:nvSpPr>
      <xdr:spPr>
        <a:xfrm>
          <a:off x="73628250" y="6667500"/>
          <a:ext cx="8610600" cy="29756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457200</xdr:colOff>
      <xdr:row>16</xdr:row>
      <xdr:rowOff>304799</xdr:rowOff>
    </xdr:from>
    <xdr:to>
      <xdr:col>39</xdr:col>
      <xdr:colOff>1832800</xdr:colOff>
      <xdr:row>31</xdr:row>
      <xdr:rowOff>276224</xdr:rowOff>
    </xdr:to>
    <xdr:sp macro="" textlink="">
      <xdr:nvSpPr>
        <xdr:cNvPr id="32" name="TextBox 88">
          <a:extLst>
            <a:ext uri="{FF2B5EF4-FFF2-40B4-BE49-F238E27FC236}">
              <a16:creationId xmlns:a16="http://schemas.microsoft.com/office/drawing/2014/main" id="{99ACEAB6-2CAB-4177-8F60-2BA97F22CE04}"/>
            </a:ext>
          </a:extLst>
        </xdr:cNvPr>
        <xdr:cNvSpPr txBox="1"/>
      </xdr:nvSpPr>
      <xdr:spPr>
        <a:xfrm>
          <a:off x="74085450" y="10401299"/>
          <a:ext cx="7519225" cy="854392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ELREEDY STAR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1MO0AW1MA  (MONA)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 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09/0700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11/0800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14/1400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 1700 CMA PZU/MSW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750/ LOAD 750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LONG HATCH COVER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</a:p>
      </xdr:txBody>
    </xdr:sp>
    <xdr:clientData/>
  </xdr:twoCellAnchor>
  <xdr:twoCellAnchor>
    <xdr:from>
      <xdr:col>39</xdr:col>
      <xdr:colOff>204807</xdr:colOff>
      <xdr:row>10</xdr:row>
      <xdr:rowOff>533400</xdr:rowOff>
    </xdr:from>
    <xdr:to>
      <xdr:col>40</xdr:col>
      <xdr:colOff>302275</xdr:colOff>
      <xdr:row>11</xdr:row>
      <xdr:rowOff>533400</xdr:rowOff>
    </xdr:to>
    <xdr:sp macro="" textlink="">
      <xdr:nvSpPr>
        <xdr:cNvPr id="33" name="TextBox 90">
          <a:extLst>
            <a:ext uri="{FF2B5EF4-FFF2-40B4-BE49-F238E27FC236}">
              <a16:creationId xmlns:a16="http://schemas.microsoft.com/office/drawing/2014/main" id="{D8B33AFA-3EA5-4DBD-8026-3F768D349F1A}"/>
            </a:ext>
          </a:extLst>
        </xdr:cNvPr>
        <xdr:cNvSpPr txBox="1"/>
      </xdr:nvSpPr>
      <xdr:spPr>
        <a:xfrm>
          <a:off x="79976682" y="7200900"/>
          <a:ext cx="2145343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227M</a:t>
          </a:r>
        </a:p>
      </xdr:txBody>
    </xdr:sp>
    <xdr:clientData/>
  </xdr:twoCellAnchor>
  <xdr:twoCellAnchor>
    <xdr:from>
      <xdr:col>36</xdr:col>
      <xdr:colOff>474887</xdr:colOff>
      <xdr:row>10</xdr:row>
      <xdr:rowOff>399564</xdr:rowOff>
    </xdr:from>
    <xdr:to>
      <xdr:col>37</xdr:col>
      <xdr:colOff>601466</xdr:colOff>
      <xdr:row>11</xdr:row>
      <xdr:rowOff>457199</xdr:rowOff>
    </xdr:to>
    <xdr:sp macro="" textlink="">
      <xdr:nvSpPr>
        <xdr:cNvPr id="34" name="TextBox 90">
          <a:extLst>
            <a:ext uri="{FF2B5EF4-FFF2-40B4-BE49-F238E27FC236}">
              <a16:creationId xmlns:a16="http://schemas.microsoft.com/office/drawing/2014/main" id="{E790861F-68A5-43AA-811D-9CA37F5E1B23}"/>
            </a:ext>
          </a:extLst>
        </xdr:cNvPr>
        <xdr:cNvSpPr txBox="1"/>
      </xdr:nvSpPr>
      <xdr:spPr>
        <a:xfrm>
          <a:off x="74103137" y="7067064"/>
          <a:ext cx="2174454" cy="6291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OWARE\CACHE\&#49688;&#51221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MSOFFICE\EXCEL\&#50641;&#49472;&#51088;&#47308;\&#50900;97&#45380;\12&#50900;\12&#50900;\97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9688;\2004&#45380;&#52628;&#51221;&#49892;\My%20Documents\&#54869;&#44036;\&#53685;&#54633;\&#54637;&#47196;&#48324;%20&#53685;&#54633;%20DB\&#54637;&#47196;&#48324;%20&#53685;&#54633;%20DB(03&#453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IBDUSER\SINGAPORE\Starburst\Valuation\scv%20projections%20as%20presented%20to%20bankers\Cmb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NEWBUILT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RSGT%20Volume\Documents%20and%20Settings\&#44608;&#48124;&#44053;\My%20Documents\&#44592;&#54925;&#54016;\&#51473;&#49548;&#54805;&#49440;&#48149;%20&#54869;&#48372;%20&#48143;%20&#50868;&#50689;%20&#48169;&#50504;\&#52292;&#49328;\WINDOWS\Temporary%20Internet%20Files\Content.IE5\Z5GB42XU\WINDOWS\Temporary%20Internet%20Files\Content.IE5\S04TCKRD\HMMTOA\SENDMAIL\BODY\34DCA34C\&#51068;&#48152;&#48176;&#52572;.XLS?751E16B3" TargetMode="External"/><Relationship Id="rId1" Type="http://schemas.openxmlformats.org/officeDocument/2006/relationships/externalLinkPath" Target="file:///\\751E16B3\&#51068;&#48152;&#48176;&#525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lp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9345;&#49437;\2000&#45236;&#47928;&#49436;\2000&#49324;&#44228;\&#44256;&#51221;&#48708;&#54252;&#54632;%20&#49324;&#44228;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19.1.118\bdm%20data\WINDOWS\Local%20Settings\Temporary%20Internet%20Files\Content.IE5\BU7FQSB0\WINDOWS\Local%20Settings\Temporary%20Internet%20Files\Content.IE5\KXEJO5AN\windows\TEMP\windows\TEMP\windows\TEMP\cascading_plan2.xls?81E14084" TargetMode="External"/><Relationship Id="rId1" Type="http://schemas.openxmlformats.org/officeDocument/2006/relationships/externalLinkPath" Target="file:///\\81E14084\cascading_pl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868;\&#52264;&#50900;&#50696;&#49345;\Documents%20and%20Settings\Administrator\Local%20Settings\Temporary%20Internet%20Files\Content.IE5\7I4FVDG9\Documents%20and%20Settings\Administrator\Local%20Settings\Temporary%20Internet%20Files\Content.IE5\7I4F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DATEN\LAP_CON\NT\Schedule\FSA_SCH\E_PROG\Schedu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BDUSER\SINGAPORE\Tangent\Coast\Models\DCF\Final%20Models\10-20-00%20CSFB%20Mexico%20Business%20Projec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42.32.170/hioffice/cache/temp/M-&#48708;&#50857;~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Budget_2008\Fixed%20assets\Received\476F%20Fixed%20Assets%20Budget-07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000706%20CSFB%20DCF%20-%20Revised%20CAPEX%20(Clea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DCA34C\&#51068;&#48152;&#48176;&#52572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19.1.118\bdm%20data\WINDOWS\Local%20Settings\Temporary%20Internet%20Files\Content.IE5\BU7FQSB0\WINDOWS\Local%20Settings\Temporary%20Internet%20Files\Content.IE5\KXEJO5AN\DOCUME~1\vlau\LOCALS~1\Temp\02Bgt\Bgt%20Submissn%20V1\Exco22May\CEXSAX2\Version-D-Nov08.xls?20449CE0" TargetMode="External"/><Relationship Id="rId1" Type="http://schemas.openxmlformats.org/officeDocument/2006/relationships/externalLinkPath" Target="file:///\\20449CE0\Version-D-Nov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FORM\96&#4420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Lonsum_Revised%20Debt%20Structure_010810_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060;&#49457;&#55148;1\Local%20Settings\Temporary%20Internet%20Files\Content.IE5\KLIF2LGZ\&#51060;&#44221;&#50896;&#45824;&#47532;%20Backup\&#51204;&#47029;&#44592;&#54925;&#48512;\SQM&#50629;&#47924;\&#44036;&#49324;&#50629;&#47924;\&#45432;&#49324;&#51109;&#45784;&#52712;&#51076;&#50629;&#47924;&#48372;&#44256;\&#52509;&#44292;\hioffice\cache\temp\M-&#48708;&#50857;~2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user\AppData\Roaming\Microsoft\Excel\WINDOWS\Local%20Settings\Temporary%20Internet%20Files\Content.IE5\BU7FQSB0\WINDOWS\Local%20Settings\Temporary%20Internet%20Files\Content.IE5\KXEJO5AN\My%20Data\02Bgt\DG\V2\Bgt%20V2bR2_120.xls?59E0A3B6" TargetMode="External"/><Relationship Id="rId1" Type="http://schemas.openxmlformats.org/officeDocument/2006/relationships/externalLinkPath" Target="file:///\\59E0A3B6\Bgt%20V2bR2_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excel\TGA\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Users\AYMAN~1.GAM\AppData\Local\Temp\Rar$DIa0.771\2012-12-25%20RSGT%20Operational%20&amp;%20Financial%20Model%20Draft%20V5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OWARE\CACHE\&#49688;&#51221;&#50577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IVO\028\DEP%20COND\WRK%20DEP%20CON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Settlement\0408-Aug\Voy-Sample-Aug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user_1\My%20Documents\&#51204;&#47029;&#44592;&#54925;\&#50868;&#54637;&#44032;&#45733;&#49457;%20&amp;%20SC\&#48708;&#50857;&#48516;&#49437;\4.&#50500;&#51452;\JTD\JTD&#54637;&#47196;%20SLOT%20COST(3)%20%2007013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\DONATION\&#51652;&#54665;\&#54617;&#44368;&#44592;&#485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Jobs/LonSum/Valuation/DCF/LSIP%20Restructuring%20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109;&#44288;&#50689;\Local%20Settings\Temporary%20Internet%20Files\Content.Outlook\BN1847SG\Revenue%202010n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Alliances\N%20Europe\Grand%20Alliance\Monthly%20final%20settlements\January'02\Jan'02%20Voycost%20Sttlmnt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user\AppData\Roaming\Microsoft\Excel\WINDOWS\Local%20Settings\Temporary%20Internet%20Files\Content.IE5\BU7FQSB0\WINDOWS\Local%20Settings\Temporary%20Internet%20Files\Content.IE5\KXEJO5AN\WINDOWS\TEMP\APL%20BA%20Global%20Reconciliation.xls?ABF8E89B" TargetMode="External"/><Relationship Id="rId1" Type="http://schemas.openxmlformats.org/officeDocument/2006/relationships/externalLinkPath" Target="file:///\\ABF8E89B\APL%20BA%20Global%20Reconciliati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RSGT%20Volume\HIOFFICE\CACHE\TEMP\HMMTOA\SENDMAIL\BODY\32F935C8\&#44277;&#50857;&#47928;&#49436;\PB06A486\PB06A522\327E4215\&#44277;&#50857;&#47928;&#49436;\PB06A486\PB06A522\3279029F\&#44277;&#50857;&#47928;&#49436;\PB06A486\PB06A522\325EB3FF\&#44277;&#50857;&#47928;&#49436;\PB06A486\PB06A522\322483DF\HMMTOA\SENDMAIL\BODY\311EC8EC\EXAMPLE.XLS?186418FE" TargetMode="External"/><Relationship Id="rId1" Type="http://schemas.openxmlformats.org/officeDocument/2006/relationships/externalLinkPath" Target="file:///\\186418FE\EXAMP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MMTOA\SENDMAIL\BODY\34DCA34C\&#51068;&#48152;&#48176;&#5257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596;\&#44256;&#45768;\&#49884;&#47788;\Schedule\Proforma\NewproformaAPR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windows\TEMP\REX_China_Korea_voy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plaza.hanjin.com/WF200/TMP/~TMP1446.$$$/98_proj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user\AppData\Roaming\Microsoft\Excel\WINDOWS\Local%20Settings\Temporary%20Internet%20Files\Content.IE5\BU7FQSB0\WINDOWS\Local%20Settings\Temporary%20Internet%20Files\Content.IE5\KXEJO5AN\windows\TEMP\WINDOWS\TEMP\~ME0007B.xls?AF964C51" TargetMode="External"/><Relationship Id="rId1" Type="http://schemas.openxmlformats.org/officeDocument/2006/relationships/externalLinkPath" Target="file:///\\AF964C51\~ME0007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chanch\Local%20Settings\Temporary%20Internet%20Files\OLK5\Book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&#48708;&#50857;&#51208;&#44048;\MyDocuments\aes\CEX\AEX-PRO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LAP_CON\Fgaude\SAEC\TR_CUT\Schedule\Fsa_sch\E_PROG\Schedule1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44277;&#50976;\NEUR%20Stats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50900;&#44036;&#51088;&#44552;\&#51088;&#44552;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1076;&#49884;\DSD1\gaduk_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HMMTOA\SENDMAIL\BODY\34DCA34C\&#51068;&#48152;&#48176;&#5257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'04&#48372;&#44256;\My%20Documents\&#54869;&#44036;\&#53685;&#54633;\&#54869;&#44036;&#53685;&#54633;%20DB(03&#4538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FORM\96&#4420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54616;\EXCEL\HIOFFICE\CACHE\TEMP\99&#49324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DSDTN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FDR%20&#49892;&#51201;&#44288;&#47532;\HMM%20&#51204;&#52404;&#49892;&#51201;\2002_9&#50900;&#44620;&#51648;%20&#47932;&#47049;(&#50836;&#5055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76;&#52384;\MY%20DOCUMENTS\hioffice\cache\temp\&#48277;&#51064;&#49688;&#5122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3446c7d\SENDMAIL\BODY\3342F29D\&#49688;&#51221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jjw\&#53468;&#44397;&#48277;&#510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50577;&#49328;ICD\&#52280;&#44256;&#51088;&#47308;\DSDTN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0354CA\&#49324;&#50629;&#44228;&#5492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0689;&#51204;&#470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04&#45380;&#49324;&#44228;&#49324;&#51109;\My%20Documents\&#49324;&#50629;&#44228;&#54925;\&#49324;&#50629;&#44228;&#54925;(2004)\'04&#48372;&#44256;\&#52509;&#44292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&#47932;&#46041;&#470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지점비용"/>
      <sheetName val="지급어음"/>
      <sheetName val="Container항차정리"/>
      <sheetName val="수정양식"/>
      <sheetName val="차수"/>
      <sheetName val="Fleet and Order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계획1"/>
      <sheetName val="xxxxxx"/>
      <sheetName val="기안"/>
      <sheetName val="data_Page1_1_2"/>
      <sheetName val="data_Page1_1_3"/>
      <sheetName val="data_Page1_1_4"/>
      <sheetName val="port-charges"/>
      <sheetName val="region"/>
      <sheetName val="수입"/>
      <sheetName val="TMM SLOT COST 1,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▶총괄(03실적)"/>
      <sheetName val="미주(03실적)"/>
      <sheetName val="미주(03실적 EB)"/>
      <sheetName val="미주(03실적 WB)"/>
      <sheetName val="구주(03실적)"/>
      <sheetName val="구주(03실적 WB)"/>
      <sheetName val="구주(03실적 EB)"/>
      <sheetName val="NEU &amp;AMS(03실적 WB)♣"/>
      <sheetName val="NEU &amp; AMS(03실적 EB)♣"/>
      <sheetName val="구주(03실적 대서양+SP WB)"/>
      <sheetName val="구주(03실적 대서양+SP EB)"/>
      <sheetName val="아주(03실적)"/>
      <sheetName val="아주(03실적KMS&amp;GKX)"/>
      <sheetName val="아주(03실적KIS1&amp;2)"/>
      <sheetName val="아주(03 실적KRS&amp;KR2)"/>
      <sheetName val="▶총괄(03예산)"/>
      <sheetName val="미주(03예산)"/>
      <sheetName val="미주(03예산 EB)"/>
      <sheetName val="미주(03예산 WB)"/>
      <sheetName val="구주(03예산) "/>
      <sheetName val="구주(03예산 WB)"/>
      <sheetName val="구주(03예산 EB)"/>
      <sheetName val="구주(03예산 대서양+SP)"/>
      <sheetName val="아주(03예산)"/>
      <sheetName val="아주(03예산KMS&amp;GKX)"/>
      <sheetName val="아주(03예산 KIS1&amp;2)"/>
      <sheetName val="아주(03예산KRS&amp;KR2)"/>
      <sheetName val="※구주운송물량(03예산)"/>
      <sheetName val="MOTOR"/>
      <sheetName val="경제성분석"/>
      <sheetName val="NS"/>
      <sheetName val="Assumptions"/>
      <sheetName val="항로별 통합 DB(03년)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A3" t="str">
            <v>구  분</v>
          </cell>
          <cell r="C3" t="str">
            <v>1월</v>
          </cell>
          <cell r="D3" t="str">
            <v>2월</v>
          </cell>
          <cell r="E3" t="str">
            <v>3월</v>
          </cell>
          <cell r="F3" t="str">
            <v>4월</v>
          </cell>
          <cell r="G3" t="str">
            <v>5월</v>
          </cell>
          <cell r="H3" t="str">
            <v>6월</v>
          </cell>
          <cell r="I3" t="str">
            <v>7월</v>
          </cell>
          <cell r="J3" t="str">
            <v>8월</v>
          </cell>
          <cell r="K3" t="str">
            <v>9월</v>
          </cell>
          <cell r="L3" t="str">
            <v>10월</v>
          </cell>
          <cell r="M3" t="str">
            <v>11월</v>
          </cell>
          <cell r="N3" t="str">
            <v>12월</v>
          </cell>
          <cell r="O3" t="str">
            <v>계</v>
          </cell>
        </row>
        <row r="4">
          <cell r="B4" t="str">
            <v>적취량</v>
          </cell>
          <cell r="C4">
            <v>45979</v>
          </cell>
          <cell r="D4">
            <v>36975</v>
          </cell>
          <cell r="E4">
            <v>44892</v>
          </cell>
          <cell r="F4">
            <v>52183</v>
          </cell>
          <cell r="G4">
            <v>42108</v>
          </cell>
          <cell r="H4">
            <v>44316</v>
          </cell>
          <cell r="I4">
            <v>54997</v>
          </cell>
          <cell r="J4">
            <v>44841</v>
          </cell>
          <cell r="K4">
            <v>45822</v>
          </cell>
          <cell r="L4">
            <v>62562</v>
          </cell>
          <cell r="M4">
            <v>48480</v>
          </cell>
          <cell r="N4">
            <v>43327</v>
          </cell>
          <cell r="O4">
            <v>566482</v>
          </cell>
        </row>
        <row r="5">
          <cell r="A5" t="str">
            <v>물량</v>
          </cell>
          <cell r="B5" t="str">
            <v>T/S</v>
          </cell>
          <cell r="C5">
            <v>11611</v>
          </cell>
          <cell r="D5">
            <v>10192</v>
          </cell>
          <cell r="E5">
            <v>11984</v>
          </cell>
          <cell r="F5">
            <v>11592</v>
          </cell>
          <cell r="G5">
            <v>11220</v>
          </cell>
          <cell r="H5">
            <v>10440</v>
          </cell>
          <cell r="I5">
            <v>12838</v>
          </cell>
          <cell r="J5">
            <v>10408</v>
          </cell>
          <cell r="K5">
            <v>10033</v>
          </cell>
          <cell r="L5">
            <v>14200</v>
          </cell>
          <cell r="M5">
            <v>11255</v>
          </cell>
          <cell r="N5">
            <v>9666</v>
          </cell>
          <cell r="O5">
            <v>135439</v>
          </cell>
        </row>
        <row r="6">
          <cell r="B6" t="str">
            <v>TRUCK</v>
          </cell>
          <cell r="C6">
            <v>6904</v>
          </cell>
          <cell r="D6">
            <v>4347</v>
          </cell>
          <cell r="E6">
            <v>5804</v>
          </cell>
          <cell r="F6">
            <v>6996</v>
          </cell>
          <cell r="G6">
            <v>5480</v>
          </cell>
          <cell r="H6">
            <v>5712</v>
          </cell>
          <cell r="I6">
            <v>7089</v>
          </cell>
          <cell r="J6">
            <v>6052</v>
          </cell>
          <cell r="K6">
            <v>6033</v>
          </cell>
          <cell r="L6">
            <v>8480</v>
          </cell>
          <cell r="M6">
            <v>6422</v>
          </cell>
          <cell r="N6">
            <v>5858</v>
          </cell>
          <cell r="O6">
            <v>75177</v>
          </cell>
        </row>
        <row r="7">
          <cell r="B7" t="str">
            <v>FEEDER</v>
          </cell>
          <cell r="C7">
            <v>6759</v>
          </cell>
          <cell r="D7">
            <v>4948</v>
          </cell>
          <cell r="E7">
            <v>6353</v>
          </cell>
          <cell r="F7">
            <v>5845</v>
          </cell>
          <cell r="G7">
            <v>5298</v>
          </cell>
          <cell r="H7">
            <v>6255</v>
          </cell>
          <cell r="I7">
            <v>6809</v>
          </cell>
          <cell r="J7">
            <v>5402</v>
          </cell>
          <cell r="K7">
            <v>5440</v>
          </cell>
          <cell r="L7">
            <v>8172</v>
          </cell>
          <cell r="M7">
            <v>6536</v>
          </cell>
          <cell r="N7">
            <v>5889</v>
          </cell>
          <cell r="O7">
            <v>73706</v>
          </cell>
        </row>
        <row r="8">
          <cell r="B8" t="str">
            <v>RAIL</v>
          </cell>
          <cell r="C8">
            <v>1057</v>
          </cell>
          <cell r="D8">
            <v>755</v>
          </cell>
          <cell r="E8">
            <v>1243</v>
          </cell>
          <cell r="F8">
            <v>435</v>
          </cell>
          <cell r="G8">
            <v>77</v>
          </cell>
          <cell r="H8">
            <v>44</v>
          </cell>
          <cell r="I8">
            <v>411</v>
          </cell>
          <cell r="J8">
            <v>387</v>
          </cell>
          <cell r="K8">
            <v>899</v>
          </cell>
          <cell r="L8">
            <v>497</v>
          </cell>
          <cell r="M8">
            <v>425</v>
          </cell>
          <cell r="N8">
            <v>1419</v>
          </cell>
          <cell r="O8">
            <v>7649</v>
          </cell>
        </row>
        <row r="9">
          <cell r="A9" t="str">
            <v>연료비</v>
          </cell>
          <cell r="B9" t="str">
            <v>F.O. 소모량</v>
          </cell>
          <cell r="C9">
            <v>18812.45</v>
          </cell>
          <cell r="D9">
            <v>14725.46</v>
          </cell>
          <cell r="E9">
            <v>14703.47</v>
          </cell>
          <cell r="F9">
            <v>17062.21</v>
          </cell>
          <cell r="G9">
            <v>15660.73</v>
          </cell>
          <cell r="H9">
            <v>14447</v>
          </cell>
          <cell r="I9">
            <v>19030.16</v>
          </cell>
          <cell r="J9">
            <v>15192.42</v>
          </cell>
          <cell r="K9">
            <v>15570.34</v>
          </cell>
          <cell r="L9">
            <v>20219.95</v>
          </cell>
          <cell r="M9">
            <v>15439.73</v>
          </cell>
          <cell r="N9">
            <v>16202.14</v>
          </cell>
          <cell r="O9">
            <v>197066.06000000006</v>
          </cell>
        </row>
        <row r="10">
          <cell r="B10" t="str">
            <v>F.O.단가</v>
          </cell>
          <cell r="C10">
            <v>173.28</v>
          </cell>
          <cell r="D10">
            <v>190.38</v>
          </cell>
          <cell r="E10">
            <v>197.89</v>
          </cell>
          <cell r="F10">
            <v>190.41</v>
          </cell>
          <cell r="G10">
            <v>171.54</v>
          </cell>
          <cell r="H10">
            <v>166.66</v>
          </cell>
          <cell r="I10">
            <v>168.32</v>
          </cell>
          <cell r="J10">
            <v>172.17</v>
          </cell>
          <cell r="K10">
            <v>165.93</v>
          </cell>
          <cell r="L10">
            <v>162.19999999999999</v>
          </cell>
          <cell r="M10">
            <v>160.91</v>
          </cell>
          <cell r="N10">
            <v>161.09</v>
          </cell>
          <cell r="O10">
            <v>172.9999864771234</v>
          </cell>
        </row>
        <row r="11">
          <cell r="A11" t="str">
            <v>운임율</v>
          </cell>
          <cell r="C11">
            <v>583.02429369929746</v>
          </cell>
          <cell r="D11">
            <v>546.79599729546987</v>
          </cell>
          <cell r="E11">
            <v>551.58487035551991</v>
          </cell>
          <cell r="F11">
            <v>524.94465630569346</v>
          </cell>
          <cell r="G11">
            <v>558.63073525220864</v>
          </cell>
          <cell r="H11">
            <v>555.85817763336036</v>
          </cell>
          <cell r="I11">
            <v>560.46495263378006</v>
          </cell>
          <cell r="J11">
            <v>553.29965879440692</v>
          </cell>
          <cell r="K11">
            <v>578.43012090262323</v>
          </cell>
          <cell r="L11">
            <v>567.11137751350657</v>
          </cell>
          <cell r="M11">
            <v>584.34164603960392</v>
          </cell>
          <cell r="N11">
            <v>600.32268562328341</v>
          </cell>
          <cell r="O11">
            <v>563.64321726021308</v>
          </cell>
        </row>
        <row r="12">
          <cell r="A12" t="str">
            <v>매출</v>
          </cell>
          <cell r="B12" t="str">
            <v>운임</v>
          </cell>
          <cell r="C12">
            <v>26806874</v>
          </cell>
          <cell r="D12">
            <v>20217782</v>
          </cell>
          <cell r="E12">
            <v>24761748</v>
          </cell>
          <cell r="F12">
            <v>27393187</v>
          </cell>
          <cell r="G12">
            <v>23522823</v>
          </cell>
          <cell r="H12">
            <v>24633411</v>
          </cell>
          <cell r="I12">
            <v>30823891</v>
          </cell>
          <cell r="J12">
            <v>24810510</v>
          </cell>
          <cell r="K12">
            <v>26504825</v>
          </cell>
          <cell r="L12">
            <v>35479622</v>
          </cell>
          <cell r="M12">
            <v>28328883</v>
          </cell>
          <cell r="N12">
            <v>26010181</v>
          </cell>
          <cell r="O12">
            <v>319293737</v>
          </cell>
        </row>
        <row r="13">
          <cell r="B13" t="str">
            <v>대선료</v>
          </cell>
          <cell r="C13">
            <v>3999229</v>
          </cell>
          <cell r="D13">
            <v>3396014</v>
          </cell>
          <cell r="E13">
            <v>3081916</v>
          </cell>
          <cell r="F13">
            <v>3634086</v>
          </cell>
          <cell r="G13">
            <v>3358554</v>
          </cell>
          <cell r="H13">
            <v>3107717</v>
          </cell>
          <cell r="I13">
            <v>4114422</v>
          </cell>
          <cell r="J13">
            <v>3587115</v>
          </cell>
          <cell r="K13">
            <v>3406083</v>
          </cell>
          <cell r="L13">
            <v>4539423</v>
          </cell>
          <cell r="M13">
            <v>4027128</v>
          </cell>
          <cell r="N13">
            <v>4509633</v>
          </cell>
          <cell r="O13">
            <v>44761320</v>
          </cell>
        </row>
        <row r="14">
          <cell r="B14" t="str">
            <v>계</v>
          </cell>
          <cell r="C14">
            <v>30806103</v>
          </cell>
          <cell r="D14">
            <v>23613796</v>
          </cell>
          <cell r="E14">
            <v>27843664</v>
          </cell>
          <cell r="F14">
            <v>31027273</v>
          </cell>
          <cell r="G14">
            <v>26881377</v>
          </cell>
          <cell r="H14">
            <v>27741128</v>
          </cell>
          <cell r="I14">
            <v>34938313</v>
          </cell>
          <cell r="J14">
            <v>28397625</v>
          </cell>
          <cell r="K14">
            <v>29910908</v>
          </cell>
          <cell r="L14">
            <v>40019045</v>
          </cell>
          <cell r="M14">
            <v>32356011</v>
          </cell>
          <cell r="N14">
            <v>30519814</v>
          </cell>
          <cell r="O14">
            <v>364055057</v>
          </cell>
        </row>
        <row r="15">
          <cell r="A15" t="str">
            <v>운항비용</v>
          </cell>
          <cell r="B15" t="str">
            <v>하역비 계</v>
          </cell>
          <cell r="C15">
            <v>7669058</v>
          </cell>
          <cell r="D15">
            <v>6329144</v>
          </cell>
          <cell r="E15">
            <v>7700604</v>
          </cell>
          <cell r="F15">
            <v>8737321</v>
          </cell>
          <cell r="G15">
            <v>7081947</v>
          </cell>
          <cell r="H15">
            <v>7341533</v>
          </cell>
          <cell r="I15">
            <v>9341194</v>
          </cell>
          <cell r="J15">
            <v>7380238</v>
          </cell>
          <cell r="K15">
            <v>7580447</v>
          </cell>
          <cell r="L15">
            <v>10154368</v>
          </cell>
          <cell r="M15">
            <v>7979373</v>
          </cell>
          <cell r="N15">
            <v>7416471</v>
          </cell>
          <cell r="O15">
            <v>94711698</v>
          </cell>
        </row>
        <row r="16">
          <cell r="B16" t="str">
            <v>ON-DOCK</v>
          </cell>
          <cell r="C16">
            <v>6593571</v>
          </cell>
          <cell r="D16">
            <v>5374843</v>
          </cell>
          <cell r="E16">
            <v>6572643</v>
          </cell>
          <cell r="F16">
            <v>7644312</v>
          </cell>
          <cell r="G16">
            <v>6051144</v>
          </cell>
          <cell r="H16">
            <v>6346921</v>
          </cell>
          <cell r="I16">
            <v>8045240</v>
          </cell>
          <cell r="J16">
            <v>6390145</v>
          </cell>
          <cell r="K16">
            <v>6639681</v>
          </cell>
          <cell r="L16">
            <v>8807893</v>
          </cell>
          <cell r="M16">
            <v>6912668</v>
          </cell>
          <cell r="N16">
            <v>6510682</v>
          </cell>
          <cell r="O16">
            <v>81889743</v>
          </cell>
        </row>
        <row r="17">
          <cell r="B17" t="str">
            <v>T/S</v>
          </cell>
          <cell r="C17">
            <v>1075487</v>
          </cell>
          <cell r="D17">
            <v>954301</v>
          </cell>
          <cell r="E17">
            <v>1127961</v>
          </cell>
          <cell r="F17">
            <v>1093009</v>
          </cell>
          <cell r="G17">
            <v>1030803</v>
          </cell>
          <cell r="H17">
            <v>994612</v>
          </cell>
          <cell r="I17">
            <v>1295954</v>
          </cell>
          <cell r="J17">
            <v>990093</v>
          </cell>
          <cell r="K17">
            <v>940766</v>
          </cell>
          <cell r="L17">
            <v>1346475</v>
          </cell>
          <cell r="M17">
            <v>1066705</v>
          </cell>
          <cell r="N17">
            <v>905789</v>
          </cell>
          <cell r="O17">
            <v>12821955</v>
          </cell>
        </row>
        <row r="18">
          <cell r="B18" t="str">
            <v>운송비 계</v>
          </cell>
          <cell r="C18">
            <v>3013194</v>
          </cell>
          <cell r="D18">
            <v>2101072</v>
          </cell>
          <cell r="E18">
            <v>2859185</v>
          </cell>
          <cell r="F18">
            <v>2528647</v>
          </cell>
          <cell r="G18">
            <v>1828651</v>
          </cell>
          <cell r="H18">
            <v>2176640</v>
          </cell>
          <cell r="I18">
            <v>2410232</v>
          </cell>
          <cell r="J18">
            <v>1869454</v>
          </cell>
          <cell r="K18">
            <v>2270893</v>
          </cell>
          <cell r="L18">
            <v>2856668</v>
          </cell>
          <cell r="M18">
            <v>2293121</v>
          </cell>
          <cell r="N18">
            <v>2662109</v>
          </cell>
          <cell r="O18">
            <v>28869866</v>
          </cell>
        </row>
        <row r="19">
          <cell r="B19" t="str">
            <v>TRUCK</v>
          </cell>
          <cell r="C19">
            <v>1134035</v>
          </cell>
          <cell r="D19">
            <v>701600</v>
          </cell>
          <cell r="E19">
            <v>943237</v>
          </cell>
          <cell r="F19">
            <v>1180011</v>
          </cell>
          <cell r="G19">
            <v>899853</v>
          </cell>
          <cell r="H19">
            <v>1091791</v>
          </cell>
          <cell r="I19">
            <v>1060075</v>
          </cell>
          <cell r="J19">
            <v>750990</v>
          </cell>
          <cell r="K19">
            <v>774970</v>
          </cell>
          <cell r="L19">
            <v>1109713</v>
          </cell>
          <cell r="M19">
            <v>851072</v>
          </cell>
          <cell r="N19">
            <v>856596</v>
          </cell>
          <cell r="O19">
            <v>11353943</v>
          </cell>
        </row>
        <row r="20">
          <cell r="B20" t="str">
            <v>FEEDER</v>
          </cell>
          <cell r="C20">
            <v>1156478</v>
          </cell>
          <cell r="D20">
            <v>879197</v>
          </cell>
          <cell r="E20">
            <v>1089299</v>
          </cell>
          <cell r="F20">
            <v>1040152</v>
          </cell>
          <cell r="G20">
            <v>875881</v>
          </cell>
          <cell r="H20">
            <v>1052637</v>
          </cell>
          <cell r="I20">
            <v>1068100</v>
          </cell>
          <cell r="J20">
            <v>853092</v>
          </cell>
          <cell r="K20">
            <v>857176</v>
          </cell>
          <cell r="L20">
            <v>1378260</v>
          </cell>
          <cell r="M20">
            <v>1131195</v>
          </cell>
          <cell r="N20">
            <v>994935</v>
          </cell>
          <cell r="O20">
            <v>12376402</v>
          </cell>
        </row>
        <row r="21">
          <cell r="B21" t="str">
            <v>RAIL</v>
          </cell>
          <cell r="C21">
            <v>722681</v>
          </cell>
          <cell r="D21">
            <v>520275</v>
          </cell>
          <cell r="E21">
            <v>826649</v>
          </cell>
          <cell r="F21">
            <v>308484</v>
          </cell>
          <cell r="G21">
            <v>52917</v>
          </cell>
          <cell r="H21">
            <v>32212</v>
          </cell>
          <cell r="I21">
            <v>282057</v>
          </cell>
          <cell r="J21">
            <v>265372</v>
          </cell>
          <cell r="K21">
            <v>638747</v>
          </cell>
          <cell r="L21">
            <v>368695</v>
          </cell>
          <cell r="M21">
            <v>310854</v>
          </cell>
          <cell r="N21">
            <v>810578</v>
          </cell>
          <cell r="O21">
            <v>5139521</v>
          </cell>
        </row>
        <row r="22">
          <cell r="B22" t="str">
            <v>대리점비</v>
          </cell>
          <cell r="C22">
            <v>1699526</v>
          </cell>
          <cell r="D22">
            <v>1223390</v>
          </cell>
          <cell r="E22">
            <v>1505161</v>
          </cell>
          <cell r="F22">
            <v>1593379</v>
          </cell>
          <cell r="G22">
            <v>1429351</v>
          </cell>
          <cell r="H22">
            <v>1513453</v>
          </cell>
          <cell r="I22">
            <v>1850951</v>
          </cell>
          <cell r="J22">
            <v>1468459</v>
          </cell>
          <cell r="K22">
            <v>1500115</v>
          </cell>
          <cell r="L22">
            <v>1970305</v>
          </cell>
          <cell r="M22">
            <v>1487823</v>
          </cell>
          <cell r="N22">
            <v>1850390</v>
          </cell>
          <cell r="O22">
            <v>19092303</v>
          </cell>
        </row>
        <row r="23">
          <cell r="B23" t="str">
            <v>기기비</v>
          </cell>
          <cell r="C23">
            <v>4626929</v>
          </cell>
          <cell r="D23">
            <v>3731210</v>
          </cell>
          <cell r="E23">
            <v>4288809</v>
          </cell>
          <cell r="F23">
            <v>4969071</v>
          </cell>
          <cell r="G23">
            <v>4083927</v>
          </cell>
          <cell r="H23">
            <v>3980370</v>
          </cell>
          <cell r="I23">
            <v>4702673</v>
          </cell>
          <cell r="J23">
            <v>4068013</v>
          </cell>
          <cell r="K23">
            <v>4307610</v>
          </cell>
          <cell r="L23">
            <v>5300329</v>
          </cell>
          <cell r="M23">
            <v>4534874</v>
          </cell>
          <cell r="N23">
            <v>4050397</v>
          </cell>
          <cell r="O23">
            <v>52644212</v>
          </cell>
        </row>
        <row r="24">
          <cell r="B24" t="str">
            <v>화물비 계</v>
          </cell>
          <cell r="C24">
            <v>17008707</v>
          </cell>
          <cell r="D24">
            <v>13384816</v>
          </cell>
          <cell r="E24">
            <v>16353759</v>
          </cell>
          <cell r="F24">
            <v>17828418</v>
          </cell>
          <cell r="G24">
            <v>14423876</v>
          </cell>
          <cell r="H24">
            <v>15011996</v>
          </cell>
          <cell r="I24">
            <v>18305050</v>
          </cell>
          <cell r="J24">
            <v>14786164</v>
          </cell>
          <cell r="K24">
            <v>15659065</v>
          </cell>
          <cell r="L24">
            <v>20281670</v>
          </cell>
          <cell r="M24">
            <v>16295191</v>
          </cell>
          <cell r="N24">
            <v>15979367</v>
          </cell>
          <cell r="O24">
            <v>195318079</v>
          </cell>
        </row>
        <row r="25">
          <cell r="B25" t="str">
            <v>화물이익</v>
          </cell>
          <cell r="C25">
            <v>9798167</v>
          </cell>
          <cell r="D25">
            <v>6832966</v>
          </cell>
          <cell r="E25">
            <v>8407989</v>
          </cell>
          <cell r="F25">
            <v>9564769</v>
          </cell>
          <cell r="G25">
            <v>9098947</v>
          </cell>
          <cell r="H25">
            <v>9621415</v>
          </cell>
          <cell r="I25">
            <v>12518841</v>
          </cell>
          <cell r="J25">
            <v>10024346</v>
          </cell>
          <cell r="K25">
            <v>10845760</v>
          </cell>
          <cell r="L25">
            <v>15197952</v>
          </cell>
          <cell r="M25">
            <v>12033692</v>
          </cell>
          <cell r="N25">
            <v>10030814</v>
          </cell>
          <cell r="O25">
            <v>123975658</v>
          </cell>
        </row>
        <row r="26">
          <cell r="B26" t="str">
            <v>항비</v>
          </cell>
          <cell r="C26">
            <v>1143344</v>
          </cell>
          <cell r="D26">
            <v>802961</v>
          </cell>
          <cell r="E26">
            <v>880542</v>
          </cell>
          <cell r="F26">
            <v>984090</v>
          </cell>
          <cell r="G26">
            <v>942541</v>
          </cell>
          <cell r="H26">
            <v>832371</v>
          </cell>
          <cell r="I26">
            <v>1112147</v>
          </cell>
          <cell r="J26">
            <v>822956</v>
          </cell>
          <cell r="K26">
            <v>758078</v>
          </cell>
          <cell r="L26">
            <v>1157227</v>
          </cell>
          <cell r="M26">
            <v>816127</v>
          </cell>
          <cell r="N26">
            <v>888353</v>
          </cell>
          <cell r="O26">
            <v>11140737</v>
          </cell>
        </row>
        <row r="27">
          <cell r="B27" t="str">
            <v>연료비</v>
          </cell>
          <cell r="C27">
            <v>3364706</v>
          </cell>
          <cell r="D27">
            <v>2884964</v>
          </cell>
          <cell r="E27">
            <v>2992412</v>
          </cell>
          <cell r="F27">
            <v>3354765</v>
          </cell>
          <cell r="G27">
            <v>2783131</v>
          </cell>
          <cell r="H27">
            <v>2435274</v>
          </cell>
          <cell r="I27">
            <v>3307146</v>
          </cell>
          <cell r="J27">
            <v>2681061</v>
          </cell>
          <cell r="K27">
            <v>2664978</v>
          </cell>
          <cell r="L27">
            <v>3367821</v>
          </cell>
          <cell r="M27">
            <v>2555566</v>
          </cell>
          <cell r="N27">
            <v>2686993</v>
          </cell>
          <cell r="O27">
            <v>35078817</v>
          </cell>
        </row>
        <row r="28">
          <cell r="B28" t="str">
            <v>용선료</v>
          </cell>
          <cell r="C28">
            <v>4246374</v>
          </cell>
          <cell r="D28">
            <v>3503017</v>
          </cell>
          <cell r="E28">
            <v>3664253</v>
          </cell>
          <cell r="F28">
            <v>3792777</v>
          </cell>
          <cell r="G28">
            <v>3986425</v>
          </cell>
          <cell r="H28">
            <v>3687637</v>
          </cell>
          <cell r="I28">
            <v>4420368</v>
          </cell>
          <cell r="J28">
            <v>3946855</v>
          </cell>
          <cell r="K28">
            <v>3967167</v>
          </cell>
          <cell r="L28">
            <v>4811369</v>
          </cell>
          <cell r="M28">
            <v>4124205</v>
          </cell>
          <cell r="N28">
            <v>4110654</v>
          </cell>
          <cell r="O28">
            <v>48261101</v>
          </cell>
        </row>
        <row r="29">
          <cell r="B29" t="str">
            <v>운항고정비 계</v>
          </cell>
          <cell r="C29">
            <v>8754424</v>
          </cell>
          <cell r="D29">
            <v>7190942</v>
          </cell>
          <cell r="E29">
            <v>7537207</v>
          </cell>
          <cell r="F29">
            <v>8131632</v>
          </cell>
          <cell r="G29">
            <v>7712097</v>
          </cell>
          <cell r="H29">
            <v>6955282</v>
          </cell>
          <cell r="I29">
            <v>8839661</v>
          </cell>
          <cell r="J29">
            <v>7450872</v>
          </cell>
          <cell r="K29">
            <v>7390223</v>
          </cell>
          <cell r="L29">
            <v>9336417</v>
          </cell>
          <cell r="M29">
            <v>7495898</v>
          </cell>
          <cell r="N29">
            <v>7686000</v>
          </cell>
          <cell r="O29">
            <v>94480655</v>
          </cell>
        </row>
        <row r="30">
          <cell r="B30" t="str">
            <v>운항비용계</v>
          </cell>
          <cell r="C30">
            <v>25763131</v>
          </cell>
          <cell r="D30">
            <v>20575758</v>
          </cell>
          <cell r="E30">
            <v>23890966</v>
          </cell>
          <cell r="F30">
            <v>25960050</v>
          </cell>
          <cell r="G30">
            <v>22135973</v>
          </cell>
          <cell r="H30">
            <v>21967278</v>
          </cell>
          <cell r="I30">
            <v>27144711</v>
          </cell>
          <cell r="J30">
            <v>22237036</v>
          </cell>
          <cell r="K30">
            <v>23049288</v>
          </cell>
          <cell r="L30">
            <v>29618087</v>
          </cell>
          <cell r="M30">
            <v>23791089</v>
          </cell>
          <cell r="N30">
            <v>23665367</v>
          </cell>
          <cell r="O30">
            <v>289798734</v>
          </cell>
        </row>
        <row r="31">
          <cell r="A31" t="str">
            <v>운항손익</v>
          </cell>
          <cell r="C31">
            <v>5042972</v>
          </cell>
          <cell r="D31">
            <v>3038038</v>
          </cell>
          <cell r="E31">
            <v>3952698</v>
          </cell>
          <cell r="F31">
            <v>5067223</v>
          </cell>
          <cell r="G31">
            <v>4745404</v>
          </cell>
          <cell r="H31">
            <v>5773850</v>
          </cell>
          <cell r="I31">
            <v>7793602</v>
          </cell>
          <cell r="J31">
            <v>6160589</v>
          </cell>
          <cell r="K31">
            <v>6861620</v>
          </cell>
          <cell r="L31">
            <v>10400958</v>
          </cell>
          <cell r="M31">
            <v>8564922</v>
          </cell>
          <cell r="N31">
            <v>6854447</v>
          </cell>
          <cell r="O31">
            <v>74256323</v>
          </cell>
        </row>
        <row r="32">
          <cell r="A32" t="str">
            <v>고정비</v>
          </cell>
          <cell r="C32">
            <v>5114040</v>
          </cell>
          <cell r="D32">
            <v>4154015</v>
          </cell>
          <cell r="E32">
            <v>4251111</v>
          </cell>
          <cell r="F32">
            <v>4812774</v>
          </cell>
          <cell r="G32">
            <v>4704479</v>
          </cell>
          <cell r="H32">
            <v>3900515</v>
          </cell>
          <cell r="I32">
            <v>4806736</v>
          </cell>
          <cell r="J32">
            <v>3902510</v>
          </cell>
          <cell r="K32">
            <v>3858370</v>
          </cell>
          <cell r="L32">
            <v>4893112</v>
          </cell>
          <cell r="M32">
            <v>3864959</v>
          </cell>
          <cell r="N32">
            <v>3835115</v>
          </cell>
          <cell r="O32">
            <v>52097736</v>
          </cell>
        </row>
        <row r="33">
          <cell r="A33" t="str">
            <v>영업손익</v>
          </cell>
          <cell r="C33">
            <v>-71068</v>
          </cell>
          <cell r="D33">
            <v>-1115977</v>
          </cell>
          <cell r="E33">
            <v>-298413</v>
          </cell>
          <cell r="F33">
            <v>254449</v>
          </cell>
          <cell r="G33">
            <v>40925</v>
          </cell>
          <cell r="H33">
            <v>1873335</v>
          </cell>
          <cell r="I33">
            <v>2986866</v>
          </cell>
          <cell r="J33">
            <v>2258079</v>
          </cell>
          <cell r="K33">
            <v>3003250</v>
          </cell>
          <cell r="L33">
            <v>5507846</v>
          </cell>
          <cell r="M33">
            <v>4699963</v>
          </cell>
          <cell r="N33">
            <v>3019332</v>
          </cell>
          <cell r="O33">
            <v>22158587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z-Stat"/>
      <sheetName val="Mkt Analysis"/>
      <sheetName val="Subs"/>
      <sheetName val="PL"/>
      <sheetName val="BS"/>
      <sheetName val="Revenue"/>
      <sheetName val="Exp-Ops"/>
      <sheetName val="Exp-Eng"/>
      <sheetName val="Exp-Mkt"/>
      <sheetName val="Exp-Fin"/>
      <sheetName val="Exp-Gen"/>
      <sheetName val="Grant"/>
      <sheetName val="CAPEX"/>
      <sheetName val="FA&amp;Depn"/>
      <sheetName val="Headct"/>
      <sheetName val="Salaries"/>
      <sheetName val="Assumption"/>
      <sheetName val="정비손익"/>
      <sheetName val="lax"/>
      <sheetName val="pusan"/>
      <sheetName val="Vessel Information"/>
      <sheetName val="의왕"/>
      <sheetName val="argl(1)"/>
      <sheetName val="Cmbp"/>
      <sheetName val="아주(03실적)"/>
      <sheetName val="Scenarios"/>
      <sheetName val="Assumptions"/>
      <sheetName val="DATA"/>
      <sheetName val="NS"/>
      <sheetName val="업무계획1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D6">
            <v>0</v>
          </cell>
          <cell r="E6">
            <v>11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-MKT"/>
      <sheetName val="Revenue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Plan-Actual"/>
      <sheetName val="Vol Plan-Actual"/>
      <sheetName val="Cost"/>
      <sheetName val="Volumes"/>
      <sheetName val="PivotTable $"/>
      <sheetName val="PivotTable Vol "/>
      <sheetName val="Analysis YT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PivotTable _"/>
      <sheetName val="CoA map"/>
      <sheetName val="D1300 자삽"/>
      <sheetName val="지방,해외배부"/>
      <sheetName val="8"/>
      <sheetName val="현지법인 사업계획(총괄)"/>
      <sheetName val="COMPA_AGAS"/>
      <sheetName val="수입"/>
      <sheetName val="경제성분석"/>
      <sheetName val="지급어음"/>
      <sheetName val="지점비용"/>
      <sheetName val="필요면적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C7" t="str">
            <v>(blank)</v>
          </cell>
          <cell r="D7">
            <v>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요금객실"/>
      <sheetName val="출력용"/>
      <sheetName val="비용항목"/>
      <sheetName val="년간"/>
      <sheetName val="원안"/>
      <sheetName val="연료"/>
      <sheetName val="월별"/>
      <sheetName val="월별2"/>
    </sheetNames>
    <sheetDataSet>
      <sheetData sheetId="0"/>
      <sheetData sheetId="1"/>
      <sheetData sheetId="2"/>
      <sheetData sheetId="3" refreshError="1">
        <row r="2">
          <cell r="G2">
            <v>0</v>
          </cell>
        </row>
        <row r="3">
          <cell r="G3">
            <v>295</v>
          </cell>
        </row>
        <row r="4">
          <cell r="C4">
            <v>5.333333333333333</v>
          </cell>
          <cell r="G4">
            <v>295</v>
          </cell>
        </row>
        <row r="5">
          <cell r="C5">
            <v>12.666666666666666</v>
          </cell>
          <cell r="G5">
            <v>295</v>
          </cell>
        </row>
        <row r="6">
          <cell r="C6">
            <v>2</v>
          </cell>
          <cell r="G6">
            <v>200</v>
          </cell>
        </row>
        <row r="7">
          <cell r="C7">
            <v>399.1297597042514</v>
          </cell>
          <cell r="G7">
            <v>0</v>
          </cell>
        </row>
        <row r="8">
          <cell r="C8">
            <v>6182</v>
          </cell>
          <cell r="G8">
            <v>0</v>
          </cell>
        </row>
        <row r="9">
          <cell r="G9">
            <v>500</v>
          </cell>
        </row>
        <row r="10">
          <cell r="C10">
            <v>220</v>
          </cell>
          <cell r="G10">
            <v>500</v>
          </cell>
        </row>
        <row r="11">
          <cell r="C11">
            <v>77</v>
          </cell>
          <cell r="G11">
            <v>500</v>
          </cell>
        </row>
        <row r="12">
          <cell r="C12">
            <v>66</v>
          </cell>
          <cell r="G12">
            <v>500</v>
          </cell>
        </row>
        <row r="13">
          <cell r="C13">
            <v>114</v>
          </cell>
          <cell r="G13">
            <v>0</v>
          </cell>
        </row>
        <row r="14">
          <cell r="C14">
            <v>8</v>
          </cell>
          <cell r="G14">
            <v>850068</v>
          </cell>
        </row>
        <row r="15">
          <cell r="C15">
            <v>5</v>
          </cell>
          <cell r="G15">
            <v>936300</v>
          </cell>
        </row>
        <row r="16">
          <cell r="C16">
            <v>8.5</v>
          </cell>
          <cell r="G16">
            <v>767892</v>
          </cell>
        </row>
        <row r="17">
          <cell r="C17">
            <v>172.566</v>
          </cell>
          <cell r="G17">
            <v>74340</v>
          </cell>
        </row>
        <row r="18">
          <cell r="C18">
            <v>154.86699999999999</v>
          </cell>
          <cell r="G18">
            <v>0</v>
          </cell>
        </row>
        <row r="19">
          <cell r="C19">
            <v>2.4</v>
          </cell>
          <cell r="G19">
            <v>108</v>
          </cell>
        </row>
        <row r="20">
          <cell r="C20">
            <v>9.5</v>
          </cell>
          <cell r="G20">
            <v>26550</v>
          </cell>
        </row>
        <row r="21">
          <cell r="C21">
            <v>1.4</v>
          </cell>
          <cell r="G21">
            <v>22125</v>
          </cell>
        </row>
        <row r="22">
          <cell r="C22">
            <v>4.5</v>
          </cell>
          <cell r="G22">
            <v>22125</v>
          </cell>
        </row>
        <row r="23">
          <cell r="C23">
            <v>3500000</v>
          </cell>
          <cell r="G23">
            <v>65000</v>
          </cell>
        </row>
        <row r="24">
          <cell r="C24">
            <v>0</v>
          </cell>
          <cell r="G24">
            <v>0</v>
          </cell>
        </row>
        <row r="25">
          <cell r="C25">
            <v>345</v>
          </cell>
          <cell r="G25">
            <v>0</v>
          </cell>
        </row>
        <row r="26">
          <cell r="C26">
            <v>878.33333330000005</v>
          </cell>
          <cell r="G26">
            <v>1058720.44</v>
          </cell>
        </row>
        <row r="27">
          <cell r="C27">
            <v>230</v>
          </cell>
          <cell r="G27">
            <v>376901.77</v>
          </cell>
        </row>
        <row r="28">
          <cell r="C28">
            <v>254</v>
          </cell>
          <cell r="G28">
            <v>259856.17</v>
          </cell>
        </row>
        <row r="29">
          <cell r="C29">
            <v>100</v>
          </cell>
          <cell r="G29">
            <v>249937.25</v>
          </cell>
        </row>
        <row r="30">
          <cell r="C30">
            <v>959.55555500000003</v>
          </cell>
          <cell r="G30">
            <v>150000</v>
          </cell>
        </row>
        <row r="31">
          <cell r="C31">
            <v>0</v>
          </cell>
        </row>
        <row r="32">
          <cell r="C32">
            <v>1200</v>
          </cell>
          <cell r="G32">
            <v>5.6</v>
          </cell>
        </row>
        <row r="33">
          <cell r="C33">
            <v>2550</v>
          </cell>
        </row>
        <row r="34">
          <cell r="C34">
            <v>2670</v>
          </cell>
          <cell r="G34">
            <v>1731</v>
          </cell>
        </row>
        <row r="35">
          <cell r="C35">
            <v>2670</v>
          </cell>
          <cell r="G35">
            <v>1433</v>
          </cell>
        </row>
        <row r="36">
          <cell r="C36">
            <v>2500</v>
          </cell>
          <cell r="G36">
            <v>1506</v>
          </cell>
        </row>
        <row r="37">
          <cell r="C37">
            <v>2500</v>
          </cell>
          <cell r="G37">
            <v>750</v>
          </cell>
        </row>
        <row r="38">
          <cell r="C38">
            <v>2500</v>
          </cell>
          <cell r="G38">
            <v>5732</v>
          </cell>
        </row>
        <row r="39">
          <cell r="C39">
            <v>22</v>
          </cell>
          <cell r="G39">
            <v>3250</v>
          </cell>
        </row>
        <row r="40">
          <cell r="C40">
            <v>19</v>
          </cell>
          <cell r="G40">
            <v>3296</v>
          </cell>
        </row>
        <row r="41">
          <cell r="C41">
            <v>19</v>
          </cell>
          <cell r="G41">
            <v>995</v>
          </cell>
        </row>
        <row r="42">
          <cell r="C42">
            <v>6</v>
          </cell>
          <cell r="G42">
            <v>2272323.8938000002</v>
          </cell>
        </row>
        <row r="43">
          <cell r="C43">
            <v>0</v>
          </cell>
          <cell r="G43">
            <v>1000</v>
          </cell>
        </row>
        <row r="44">
          <cell r="C44">
            <v>2</v>
          </cell>
          <cell r="G44">
            <v>2147</v>
          </cell>
        </row>
        <row r="45">
          <cell r="C45">
            <v>2061.25</v>
          </cell>
          <cell r="G45">
            <v>1049</v>
          </cell>
        </row>
        <row r="46">
          <cell r="C46">
            <v>2061.25</v>
          </cell>
          <cell r="G46">
            <v>1009</v>
          </cell>
        </row>
        <row r="47">
          <cell r="C47">
            <v>2061.25</v>
          </cell>
          <cell r="G47">
            <v>1003.539823</v>
          </cell>
        </row>
        <row r="48">
          <cell r="C48">
            <v>2061.25</v>
          </cell>
          <cell r="G48">
            <v>669</v>
          </cell>
        </row>
        <row r="49">
          <cell r="C49">
            <v>0</v>
          </cell>
          <cell r="G49">
            <v>0</v>
          </cell>
        </row>
        <row r="50">
          <cell r="C50">
            <v>50</v>
          </cell>
          <cell r="G50">
            <v>675</v>
          </cell>
        </row>
        <row r="51">
          <cell r="C51">
            <v>43</v>
          </cell>
          <cell r="G51">
            <v>634</v>
          </cell>
        </row>
        <row r="52">
          <cell r="C52">
            <v>44</v>
          </cell>
          <cell r="G52">
            <v>521</v>
          </cell>
        </row>
        <row r="53">
          <cell r="C53">
            <v>10</v>
          </cell>
          <cell r="G53">
            <v>615.38461538461536</v>
          </cell>
        </row>
        <row r="54">
          <cell r="C54">
            <v>0</v>
          </cell>
          <cell r="G54">
            <v>265</v>
          </cell>
        </row>
        <row r="55">
          <cell r="C55">
            <v>428761.25</v>
          </cell>
          <cell r="G55">
            <v>0</v>
          </cell>
        </row>
        <row r="56">
          <cell r="C56">
            <v>43</v>
          </cell>
          <cell r="G56">
            <v>22.109334441443316</v>
          </cell>
        </row>
        <row r="57">
          <cell r="C57">
            <v>36</v>
          </cell>
          <cell r="G57">
            <v>368564.6</v>
          </cell>
        </row>
        <row r="58">
          <cell r="C58">
            <v>30</v>
          </cell>
          <cell r="G58">
            <v>200000</v>
          </cell>
        </row>
        <row r="59">
          <cell r="C59">
            <v>15</v>
          </cell>
          <cell r="G59">
            <v>132743.35999999999</v>
          </cell>
        </row>
        <row r="60">
          <cell r="C60">
            <v>20</v>
          </cell>
        </row>
        <row r="61">
          <cell r="C61">
            <v>0</v>
          </cell>
        </row>
        <row r="62">
          <cell r="C62">
            <v>1367.3795193706983</v>
          </cell>
        </row>
        <row r="63">
          <cell r="C63">
            <v>249051.50450000001</v>
          </cell>
        </row>
        <row r="64">
          <cell r="C64">
            <v>234691.8</v>
          </cell>
        </row>
        <row r="65">
          <cell r="C65">
            <v>239200.19999999998</v>
          </cell>
        </row>
        <row r="66">
          <cell r="C66">
            <v>153000</v>
          </cell>
        </row>
        <row r="67">
          <cell r="C67">
            <v>0</v>
          </cell>
          <cell r="G67">
            <v>80778.688524590165</v>
          </cell>
        </row>
        <row r="68">
          <cell r="C68">
            <v>0</v>
          </cell>
          <cell r="G68">
            <v>63874.918032786882</v>
          </cell>
        </row>
        <row r="69">
          <cell r="G69">
            <v>52008.481967213113</v>
          </cell>
        </row>
        <row r="70">
          <cell r="C70">
            <v>35</v>
          </cell>
          <cell r="G70">
            <v>12766.40579710145</v>
          </cell>
        </row>
        <row r="71">
          <cell r="C71">
            <v>6</v>
          </cell>
          <cell r="G71">
            <v>31222.82608695652</v>
          </cell>
        </row>
        <row r="72">
          <cell r="C72">
            <v>39</v>
          </cell>
          <cell r="G72">
            <v>43478.260869565216</v>
          </cell>
        </row>
        <row r="73">
          <cell r="C73">
            <v>12.38</v>
          </cell>
        </row>
        <row r="74">
          <cell r="C74">
            <v>350</v>
          </cell>
          <cell r="G74">
            <v>500000</v>
          </cell>
        </row>
        <row r="75">
          <cell r="C75">
            <v>299</v>
          </cell>
          <cell r="G75">
            <v>117670</v>
          </cell>
        </row>
        <row r="76">
          <cell r="C76">
            <v>325</v>
          </cell>
          <cell r="G76">
            <v>1320993.3600000001</v>
          </cell>
        </row>
        <row r="77">
          <cell r="C77">
            <v>150</v>
          </cell>
          <cell r="G77">
            <v>1231432.3893800001</v>
          </cell>
        </row>
        <row r="78">
          <cell r="C78">
            <v>240</v>
          </cell>
          <cell r="G78">
            <v>433056</v>
          </cell>
        </row>
        <row r="79">
          <cell r="C79">
            <v>169912</v>
          </cell>
          <cell r="G79">
            <v>1500000</v>
          </cell>
        </row>
        <row r="80">
          <cell r="C80">
            <v>0.09</v>
          </cell>
          <cell r="G80">
            <v>84955.752212199994</v>
          </cell>
        </row>
        <row r="81">
          <cell r="C81">
            <v>2E-3</v>
          </cell>
          <cell r="G81">
            <v>0</v>
          </cell>
        </row>
        <row r="82">
          <cell r="C82">
            <v>2E-3</v>
          </cell>
          <cell r="G82">
            <v>0</v>
          </cell>
        </row>
        <row r="83">
          <cell r="G83">
            <v>122</v>
          </cell>
        </row>
        <row r="84">
          <cell r="G84">
            <v>122</v>
          </cell>
        </row>
        <row r="85">
          <cell r="C85">
            <v>200</v>
          </cell>
          <cell r="G85">
            <v>122</v>
          </cell>
        </row>
        <row r="86">
          <cell r="C86">
            <v>250379.64601699999</v>
          </cell>
          <cell r="G86">
            <v>69</v>
          </cell>
        </row>
        <row r="87">
          <cell r="C87">
            <v>180000</v>
          </cell>
          <cell r="G87">
            <v>138</v>
          </cell>
        </row>
        <row r="88">
          <cell r="C88">
            <v>280000</v>
          </cell>
          <cell r="G88">
            <v>69</v>
          </cell>
        </row>
        <row r="89">
          <cell r="C89">
            <v>100000</v>
          </cell>
          <cell r="G89">
            <v>69</v>
          </cell>
        </row>
        <row r="90">
          <cell r="C90">
            <v>0</v>
          </cell>
          <cell r="G90">
            <v>573</v>
          </cell>
        </row>
        <row r="91">
          <cell r="C91">
            <v>0</v>
          </cell>
        </row>
        <row r="92">
          <cell r="C92">
            <v>0</v>
          </cell>
          <cell r="G92">
            <v>103501</v>
          </cell>
        </row>
        <row r="93">
          <cell r="C93">
            <v>2.65</v>
          </cell>
          <cell r="G93">
            <v>76767</v>
          </cell>
        </row>
        <row r="94">
          <cell r="C94">
            <v>2.65</v>
          </cell>
          <cell r="G94">
            <v>68853</v>
          </cell>
        </row>
        <row r="95">
          <cell r="C95">
            <v>2.65</v>
          </cell>
          <cell r="G95">
            <v>19934</v>
          </cell>
        </row>
        <row r="96">
          <cell r="C96">
            <v>2.65</v>
          </cell>
          <cell r="G96">
            <v>57690</v>
          </cell>
        </row>
        <row r="97">
          <cell r="C97">
            <v>1</v>
          </cell>
          <cell r="G97">
            <v>34230</v>
          </cell>
        </row>
        <row r="99">
          <cell r="G99">
            <v>4328318</v>
          </cell>
        </row>
        <row r="100">
          <cell r="G100">
            <v>3351327</v>
          </cell>
        </row>
        <row r="101">
          <cell r="G101">
            <v>2920354</v>
          </cell>
        </row>
        <row r="102">
          <cell r="G102">
            <v>1319469</v>
          </cell>
        </row>
        <row r="103">
          <cell r="G103">
            <v>867257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ivotTable $"/>
      <sheetName val="Scenario 1 _ with HMM"/>
      <sheetName val="CoA map"/>
      <sheetName val="지점비용"/>
      <sheetName val="8"/>
      <sheetName val="현지법인 사업계획(총괄)"/>
      <sheetName val="^Control^"/>
      <sheetName val="2.대외공문"/>
      <sheetName val="수입"/>
      <sheetName val="OpSum"/>
      <sheetName val="ControlPanel"/>
      <sheetName val="BUNKER 소모량"/>
      <sheetName val="cascading_plan2"/>
    </sheetNames>
    <sheetDataSet>
      <sheetData sheetId="0" refreshError="1">
        <row r="3">
          <cell r="B3">
            <v>5</v>
          </cell>
          <cell r="C3">
            <v>4720.6000000000004</v>
          </cell>
          <cell r="D3" t="str">
            <v>MOL</v>
          </cell>
          <cell r="H3">
            <v>5</v>
          </cell>
          <cell r="I3">
            <v>4720.6000000000004</v>
          </cell>
          <cell r="J3" t="str">
            <v>MOL</v>
          </cell>
        </row>
        <row r="4">
          <cell r="B4">
            <v>2</v>
          </cell>
          <cell r="C4">
            <v>4918</v>
          </cell>
          <cell r="D4" t="str">
            <v>APL</v>
          </cell>
          <cell r="H4">
            <v>2</v>
          </cell>
          <cell r="I4">
            <v>4700</v>
          </cell>
          <cell r="J4" t="str">
            <v>MOL</v>
          </cell>
        </row>
        <row r="5">
          <cell r="B5">
            <v>1</v>
          </cell>
          <cell r="C5">
            <v>5016</v>
          </cell>
          <cell r="D5" t="str">
            <v>APL</v>
          </cell>
          <cell r="H5">
            <v>1</v>
          </cell>
          <cell r="I5">
            <v>4918</v>
          </cell>
          <cell r="J5" t="str">
            <v>APL</v>
          </cell>
        </row>
        <row r="7">
          <cell r="B7">
            <v>2</v>
          </cell>
          <cell r="C7">
            <v>4500</v>
          </cell>
          <cell r="D7" t="str">
            <v>HMM</v>
          </cell>
          <cell r="H7">
            <v>7</v>
          </cell>
          <cell r="I7">
            <v>4700</v>
          </cell>
          <cell r="J7" t="str">
            <v>HMM</v>
          </cell>
        </row>
        <row r="8">
          <cell r="B8">
            <v>3</v>
          </cell>
          <cell r="C8">
            <v>4100</v>
          </cell>
          <cell r="D8" t="str">
            <v>HMM</v>
          </cell>
          <cell r="H8">
            <v>1</v>
          </cell>
          <cell r="I8">
            <v>4918</v>
          </cell>
          <cell r="J8" t="str">
            <v>APL</v>
          </cell>
        </row>
        <row r="9">
          <cell r="B9">
            <v>3</v>
          </cell>
          <cell r="C9">
            <v>5016</v>
          </cell>
          <cell r="D9" t="str">
            <v>APL</v>
          </cell>
        </row>
        <row r="11">
          <cell r="B11">
            <v>3</v>
          </cell>
          <cell r="C11">
            <v>4100</v>
          </cell>
          <cell r="D11" t="str">
            <v>HMM</v>
          </cell>
          <cell r="H11">
            <v>6</v>
          </cell>
          <cell r="I11">
            <v>4100</v>
          </cell>
          <cell r="J11" t="str">
            <v>APL</v>
          </cell>
        </row>
        <row r="12">
          <cell r="B12">
            <v>3</v>
          </cell>
          <cell r="C12">
            <v>3653.3333333333335</v>
          </cell>
          <cell r="D12" t="str">
            <v>MOL</v>
          </cell>
          <cell r="H12">
            <v>2</v>
          </cell>
          <cell r="I12">
            <v>4100</v>
          </cell>
          <cell r="J12" t="str">
            <v>HMM</v>
          </cell>
        </row>
        <row r="13">
          <cell r="B13">
            <v>2</v>
          </cell>
          <cell r="C13">
            <v>3714</v>
          </cell>
          <cell r="D13" t="str">
            <v>APL</v>
          </cell>
        </row>
        <row r="15">
          <cell r="H15">
            <v>1</v>
          </cell>
          <cell r="I15">
            <v>3714</v>
          </cell>
          <cell r="J15" t="str">
            <v>APL</v>
          </cell>
        </row>
        <row r="16">
          <cell r="H16">
            <v>4</v>
          </cell>
          <cell r="I16">
            <v>4100</v>
          </cell>
          <cell r="J16" t="str">
            <v>HMM</v>
          </cell>
        </row>
        <row r="17">
          <cell r="H17">
            <v>3</v>
          </cell>
          <cell r="I17">
            <v>3653</v>
          </cell>
          <cell r="J17" t="str">
            <v>MOL</v>
          </cell>
        </row>
        <row r="20">
          <cell r="B20">
            <v>3</v>
          </cell>
          <cell r="H20">
            <v>4</v>
          </cell>
        </row>
        <row r="30">
          <cell r="B30">
            <v>2</v>
          </cell>
          <cell r="C30">
            <v>2308</v>
          </cell>
          <cell r="D30" t="str">
            <v>APL</v>
          </cell>
          <cell r="H30">
            <v>2</v>
          </cell>
          <cell r="I30">
            <v>2800</v>
          </cell>
          <cell r="J30" t="str">
            <v>APL</v>
          </cell>
        </row>
        <row r="31">
          <cell r="B31">
            <v>1</v>
          </cell>
          <cell r="C31">
            <v>2700</v>
          </cell>
          <cell r="D31" t="str">
            <v>MOL</v>
          </cell>
          <cell r="H31">
            <v>1</v>
          </cell>
          <cell r="I31">
            <v>2800</v>
          </cell>
          <cell r="J31" t="str">
            <v>MOL</v>
          </cell>
        </row>
        <row r="32">
          <cell r="B32">
            <v>3</v>
          </cell>
          <cell r="C32">
            <v>2398.6666666666665</v>
          </cell>
          <cell r="D32" t="str">
            <v>YML</v>
          </cell>
          <cell r="H32">
            <v>3</v>
          </cell>
          <cell r="I32">
            <v>2800</v>
          </cell>
          <cell r="J32" t="str">
            <v>YML</v>
          </cell>
        </row>
        <row r="33">
          <cell r="B33">
            <v>2</v>
          </cell>
          <cell r="C33">
            <v>2241</v>
          </cell>
          <cell r="D33" t="str">
            <v>HMM</v>
          </cell>
          <cell r="H33">
            <v>2</v>
          </cell>
          <cell r="I33">
            <v>2800</v>
          </cell>
          <cell r="J33" t="str">
            <v>HMM</v>
          </cell>
        </row>
        <row r="35">
          <cell r="B35">
            <v>1</v>
          </cell>
        </row>
        <row r="47">
          <cell r="B47">
            <v>6</v>
          </cell>
          <cell r="C47">
            <v>4100</v>
          </cell>
          <cell r="D47" t="str">
            <v>APL</v>
          </cell>
          <cell r="H47">
            <v>2</v>
          </cell>
          <cell r="I47">
            <v>5300</v>
          </cell>
          <cell r="J47" t="str">
            <v>APL</v>
          </cell>
        </row>
        <row r="48">
          <cell r="H48">
            <v>4</v>
          </cell>
          <cell r="I48">
            <v>5016</v>
          </cell>
          <cell r="J48" t="str">
            <v>APL</v>
          </cell>
        </row>
        <row r="50">
          <cell r="B50">
            <v>6</v>
          </cell>
          <cell r="C50">
            <v>4800</v>
          </cell>
          <cell r="D50" t="str">
            <v>APL</v>
          </cell>
          <cell r="H50">
            <v>6</v>
          </cell>
          <cell r="I50">
            <v>4800</v>
          </cell>
          <cell r="J50" t="str">
            <v>APL</v>
          </cell>
        </row>
        <row r="53">
          <cell r="B53">
            <v>5</v>
          </cell>
          <cell r="C53">
            <v>4300</v>
          </cell>
          <cell r="D53" t="str">
            <v>APL</v>
          </cell>
          <cell r="H53">
            <v>5</v>
          </cell>
          <cell r="I53">
            <v>4300</v>
          </cell>
          <cell r="J53" t="str">
            <v>APL</v>
          </cell>
        </row>
        <row r="56">
          <cell r="B56">
            <v>5</v>
          </cell>
          <cell r="C56">
            <v>2750</v>
          </cell>
          <cell r="D56" t="str">
            <v>MOL</v>
          </cell>
          <cell r="H56">
            <v>5</v>
          </cell>
          <cell r="I56">
            <v>2750</v>
          </cell>
          <cell r="J56" t="str">
            <v>MOL</v>
          </cell>
        </row>
        <row r="59">
          <cell r="B59">
            <v>5</v>
          </cell>
          <cell r="C59">
            <v>4786</v>
          </cell>
          <cell r="D59" t="str">
            <v>HMM</v>
          </cell>
          <cell r="H59">
            <v>5</v>
          </cell>
          <cell r="I59">
            <v>5700</v>
          </cell>
          <cell r="J59" t="str">
            <v>HMM</v>
          </cell>
        </row>
        <row r="62">
          <cell r="B62">
            <v>3</v>
          </cell>
          <cell r="C62">
            <v>2750</v>
          </cell>
          <cell r="D62" t="str">
            <v>APL</v>
          </cell>
          <cell r="H62">
            <v>3</v>
          </cell>
          <cell r="I62">
            <v>2750</v>
          </cell>
          <cell r="J62" t="str">
            <v>APL</v>
          </cell>
        </row>
        <row r="63">
          <cell r="B63">
            <v>2</v>
          </cell>
          <cell r="C63">
            <v>2850</v>
          </cell>
          <cell r="D63" t="str">
            <v>APL</v>
          </cell>
          <cell r="H63">
            <v>2</v>
          </cell>
          <cell r="I63">
            <v>2850</v>
          </cell>
          <cell r="J63" t="str">
            <v>APL</v>
          </cell>
        </row>
        <row r="65">
          <cell r="B65">
            <v>3</v>
          </cell>
          <cell r="C65">
            <v>2600</v>
          </cell>
          <cell r="D65" t="str">
            <v>MOL</v>
          </cell>
          <cell r="H65">
            <v>3</v>
          </cell>
          <cell r="I65">
            <v>2600</v>
          </cell>
          <cell r="J65" t="str">
            <v>MOL</v>
          </cell>
        </row>
        <row r="66">
          <cell r="B66">
            <v>2</v>
          </cell>
          <cell r="C66">
            <v>2850</v>
          </cell>
          <cell r="D66" t="str">
            <v>MOL</v>
          </cell>
          <cell r="H66">
            <v>2</v>
          </cell>
          <cell r="I66">
            <v>2850</v>
          </cell>
          <cell r="J66" t="str">
            <v>MOL</v>
          </cell>
        </row>
        <row r="68">
          <cell r="B68">
            <v>6</v>
          </cell>
          <cell r="C68">
            <v>2820</v>
          </cell>
          <cell r="D68" t="str">
            <v>HMM</v>
          </cell>
          <cell r="H68">
            <v>6</v>
          </cell>
          <cell r="I68">
            <v>2820</v>
          </cell>
          <cell r="J68" t="str">
            <v>HMM</v>
          </cell>
        </row>
        <row r="86">
          <cell r="B86">
            <v>3</v>
          </cell>
          <cell r="C86">
            <v>2850</v>
          </cell>
          <cell r="D86" t="str">
            <v>APL</v>
          </cell>
          <cell r="H86">
            <v>4</v>
          </cell>
          <cell r="I86">
            <v>3500</v>
          </cell>
          <cell r="J86" t="str">
            <v>APL</v>
          </cell>
        </row>
        <row r="87">
          <cell r="B87">
            <v>1</v>
          </cell>
          <cell r="C87">
            <v>3100</v>
          </cell>
          <cell r="D87" t="str">
            <v>MOL</v>
          </cell>
          <cell r="H87">
            <v>1</v>
          </cell>
          <cell r="I87">
            <v>3500</v>
          </cell>
          <cell r="J87" t="str">
            <v>MOL</v>
          </cell>
        </row>
        <row r="88">
          <cell r="B88">
            <v>5</v>
          </cell>
          <cell r="C88">
            <v>2800</v>
          </cell>
          <cell r="D88" t="str">
            <v>MOL</v>
          </cell>
          <cell r="H88">
            <v>4</v>
          </cell>
          <cell r="I88">
            <v>3500</v>
          </cell>
          <cell r="J88" t="str">
            <v>MOL</v>
          </cell>
        </row>
        <row r="100">
          <cell r="B100">
            <v>6</v>
          </cell>
          <cell r="C100">
            <v>2012</v>
          </cell>
          <cell r="D100" t="str">
            <v>Others</v>
          </cell>
          <cell r="H100">
            <v>2</v>
          </cell>
          <cell r="I100">
            <v>2800</v>
          </cell>
          <cell r="J100" t="str">
            <v>APL</v>
          </cell>
        </row>
        <row r="101">
          <cell r="H101">
            <v>4</v>
          </cell>
          <cell r="I101">
            <v>2800</v>
          </cell>
          <cell r="J101" t="str">
            <v>Others</v>
          </cell>
        </row>
        <row r="103">
          <cell r="H103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  <sheetName val="CASE 1 (2)"/>
      <sheetName val="PNW (2)"/>
      <sheetName val="PSW PROF"/>
      <sheetName val="PNW PROF"/>
      <sheetName val="AEX PROF"/>
      <sheetName val="CASE 2"/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CEX PORT"/>
      <sheetName val="CEX VOY"/>
      <sheetName val="AEX SPACE"/>
      <sheetName val="AEX RATIO"/>
      <sheetName val="AEX PORT"/>
      <sheetName val="AEX VOY"/>
      <sheetName val="PSW DF-SPD"/>
      <sheetName val="AEX DF-SPD"/>
      <sheetName val="TPR-PSW"/>
      <sheetName val="TPR-TPS"/>
      <sheetName val="GBP 비교"/>
      <sheetName val="GBP 비교 (2)"/>
      <sheetName val="AEX GBP실적"/>
      <sheetName val="PNW SPACE"/>
      <sheetName val="PNWMVS"/>
      <sheetName val="PNWSPD"/>
      <sheetName val="ECS space"/>
      <sheetName val="BSA현행유지"/>
      <sheetName val="신조선투입시"/>
      <sheetName val="7개년채산 BSA"/>
      <sheetName val="신규선복확보 (연습)"/>
      <sheetName val="MENU"/>
      <sheetName val="OPO"/>
      <sheetName val="REPORT"/>
      <sheetName val="DATA"/>
      <sheetName val="ETA"/>
      <sheetName val="DISTTB"/>
      <sheetName val="INOBTB"/>
      <sheetName val="입력"/>
      <sheetName val="COVER"/>
      <sheetName val="조정"/>
      <sheetName val="조정 (2)"/>
      <sheetName val="보고서"/>
      <sheetName val="REPORT (2)"/>
      <sheetName val="BUNKER 소모량"/>
      <sheetName val="MACRO"/>
      <sheetName val="총괄"/>
      <sheetName val="수급현황 (2)"/>
      <sheetName val="경쟁사"/>
      <sheetName val="운임율"/>
      <sheetName val="경쟁사 원본"/>
      <sheetName val="손익 개선 방안"/>
      <sheetName val="운임추이EB (2)"/>
      <sheetName val="운임추이WB (2)"/>
      <sheetName val="#REF"/>
      <sheetName val="Jul 2001 Interest Repayment"/>
      <sheetName val="Aug 2001 Interest Repayment"/>
      <sheetName val="Sep 2001 Interest Repayment"/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ort-charges"/>
      <sheetName val="region"/>
      <sheetName val="NB-MKT"/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Cost0628"/>
      <sheetName val="Eu Compare"/>
      <sheetName val="BSA0628"/>
      <sheetName val="SUM0628"/>
      <sheetName val="SUM0612"/>
      <sheetName val="EUEB0628"/>
      <sheetName val="EUWB0628"/>
      <sheetName val="TP Compare"/>
      <sheetName val="TPWB0628"/>
      <sheetName val="TPEB0628"/>
      <sheetName val="EUEB0612"/>
      <sheetName val="EUWB0612"/>
      <sheetName val="TPWB0612"/>
      <sheetName val="TPEB0612"/>
      <sheetName val="ECS-TAS"/>
      <sheetName val="TRADE"/>
      <sheetName val="TATL"/>
      <sheetName val="TPWB"/>
      <sheetName val="TPEB"/>
      <sheetName val="tnwa optg cost - 2003"/>
      <sheetName val="tnwa optg cost - 2002"/>
      <sheetName val="tnwa optg cost - 2001"/>
      <sheetName val="Bunker"/>
      <sheetName val="CASCADE-SEP-25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Vsl-Cost-Comp"/>
      <sheetName val="Cascade-Oct-18 (X)"/>
      <sheetName val="Jun12-Sep15-Comp"/>
      <sheetName val="cascade-Jun27"/>
      <sheetName val="SHIP-COST"/>
      <sheetName val="Sheet1 (2)"/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SUM COST"/>
      <sheetName val="02 apl bsa sum"/>
      <sheetName val="Cascade"/>
      <sheetName val="02 Profile"/>
      <sheetName val="EUR"/>
      <sheetName val="03 Profile"/>
      <sheetName val="Expl_Var"/>
      <sheetName val="SUZ(TEST)"/>
      <sheetName val="BSA-Comp"/>
      <sheetName val="04 Profile"/>
      <sheetName val="CEXSAX"/>
      <sheetName val="PS1Q1"/>
      <sheetName val="PS2 1Q"/>
      <sheetName val="PS2 2-4Q"/>
      <sheetName val="PS3"/>
      <sheetName val="PSV"/>
      <sheetName val="MAX"/>
      <sheetName val="APXTASq1"/>
      <sheetName val="CEX 1Q"/>
      <sheetName val="CEX 2-4Q"/>
      <sheetName val="REX"/>
      <sheetName val="Compare (2)"/>
      <sheetName val="Summary of Change"/>
      <sheetName val="ShaNgb_FdrCost"/>
      <sheetName val="SHS_VOYAGE"/>
      <sheetName val="APX 13 ship  v2b"/>
      <sheetName val="REX VSP"/>
      <sheetName val="Aker "/>
      <sheetName val="PS1Q1VSP"/>
      <sheetName val="04 Prof"/>
      <sheetName val="Summary_ Slide"/>
      <sheetName val="AAX-LOOP(A)"/>
      <sheetName val="AAX-LOOP(B)"/>
      <sheetName val="앞장"/>
      <sheetName val="보고서1"/>
      <sheetName val="보고서2"/>
      <sheetName val="보고서3"/>
      <sheetName val="보고서4"/>
      <sheetName val="타사선 CAPA"/>
      <sheetName val="타사선 CAPA (2)"/>
      <sheetName val="A"/>
      <sheetName val="B"/>
      <sheetName val="C"/>
      <sheetName val="D"/>
      <sheetName val="MERIT"/>
      <sheetName val="GBP"/>
      <sheetName val="PSW VOY COST"/>
      <sheetName val="항비"/>
      <sheetName val="A (2)"/>
      <sheetName val="요약"/>
      <sheetName val="선형비교"/>
      <sheetName val="PSW GBP"/>
      <sheetName val="BSA case"/>
      <sheetName val="PNW 변경"/>
      <sheetName val="PNW 변경 (2)"/>
      <sheetName val="PNW 항,연비"/>
      <sheetName val="extra"/>
      <sheetName val="extra2"/>
      <sheetName val="reliability"/>
      <sheetName val="PNW 변경 (4)"/>
      <sheetName val="PNW 변경 (5)"/>
      <sheetName val="PNW 변경 (3)"/>
      <sheetName val="saving"/>
      <sheetName val="선복 수급"/>
      <sheetName val="선복 수급 (2)"/>
      <sheetName val="운항가능성"/>
      <sheetName val="TNWA신조계획"/>
      <sheetName val="챠트"/>
      <sheetName val="자본비"/>
      <sheetName val="12월 3주(구주)"/>
      <sheetName val="선박변경"/>
      <sheetName val="물량계획"/>
      <sheetName val="rental charge"/>
      <sheetName val="대만당국"/>
      <sheetName val="KAO물량"/>
      <sheetName val="목차"/>
      <sheetName val="Time Table"/>
      <sheetName val="1"/>
      <sheetName val="2"/>
      <sheetName val="3"/>
      <sheetName val="4"/>
      <sheetName val="5"/>
      <sheetName val="6"/>
      <sheetName val="7"/>
      <sheetName val="이전"/>
      <sheetName val="8"/>
      <sheetName val="9"/>
      <sheetName val="10"/>
      <sheetName val="11"/>
      <sheetName val="임차료"/>
      <sheetName val="참고"/>
      <sheetName val="HMM 임차료"/>
      <sheetName val="총물량근거"/>
      <sheetName val="Cost-Teu"/>
      <sheetName val="항박도"/>
      <sheetName val="가상채산"/>
      <sheetName val="1-3"/>
      <sheetName val="자료1"/>
      <sheetName val="자료2"/>
      <sheetName val="자료3"/>
      <sheetName val="자료4"/>
      <sheetName val="조편성"/>
      <sheetName val="의제"/>
      <sheetName val="양식"/>
      <sheetName val="중장기"/>
      <sheetName val="조직도 (2)"/>
      <sheetName val="TIME (2)"/>
      <sheetName val="AEX 2002"/>
      <sheetName val="AEX EU변경 (2)"/>
      <sheetName val="직원명부"/>
      <sheetName val="수입"/>
      <sheetName val="xxxxxx"/>
      <sheetName val="공문"/>
      <sheetName val="작성지침"/>
      <sheetName val="환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Suz통항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  <sheetName val="2002_4분기 북구주"/>
      <sheetName val="요약표 (2)"/>
      <sheetName val="현황표"/>
      <sheetName val="요약표"/>
      <sheetName val="AEX(W)"/>
      <sheetName val="AEX(E)"/>
      <sheetName val="JEX(W)"/>
      <sheetName val="JEX(E)"/>
      <sheetName val="CEX(W)"/>
      <sheetName val="CEX(E)"/>
      <sheetName val="APX(W)"/>
      <sheetName val="APX(E)"/>
      <sheetName val="ATS(W)"/>
      <sheetName val="ATS(E)"/>
      <sheetName val="SPS(S)"/>
      <sheetName val="AMS(W)"/>
      <sheetName val="AMS(E)"/>
      <sheetName val="SCX(W)"/>
      <sheetName val="SCX(E)"/>
      <sheetName val="용선료(6.25%)"/>
      <sheetName val="분기별 용선료"/>
      <sheetName val="리스선급부대비계산"/>
      <sheetName val="용선료계산5.25"/>
      <sheetName val="자본비배부"/>
      <sheetName val="영업외비용배부"/>
      <sheetName val="임시손익"/>
      <sheetName val="Sheet7"/>
      <sheetName val="Sheet8"/>
      <sheetName val="Sheet9"/>
      <sheetName val="일정"/>
      <sheetName val="공문 (2)"/>
      <sheetName val="1.통합"/>
      <sheetName val="2-1손익"/>
      <sheetName val="2-2재무"/>
      <sheetName val="2-3차입조건"/>
      <sheetName val="2-5,지분5사업"/>
      <sheetName val="2-6인원"/>
      <sheetName val="3-1과잉생산"/>
      <sheetName val="3-2투자조정"/>
      <sheetName val="3-3재무개선"/>
      <sheetName val="3-2부채감축"/>
      <sheetName val="3-3재무구조개선"/>
      <sheetName val="3-4과잉정비"/>
      <sheetName val="4.대정부"/>
      <sheetName val="1-1손익"/>
      <sheetName val="1-2재무"/>
      <sheetName val="1-3,지분4사업"/>
      <sheetName val="1-5인원"/>
      <sheetName val="2-1과잉생산"/>
      <sheetName val="2-2과잉정비"/>
      <sheetName val="차입금 및 지급보증현황"/>
      <sheetName val="부채"/>
      <sheetName val="차수"/>
      <sheetName val="연료수정"/>
      <sheetName val="2002USDN"/>
      <sheetName val="2002WONN"/>
      <sheetName val="2003USDN"/>
      <sheetName val="2003WONN"/>
      <sheetName val="2004USDN"/>
      <sheetName val="2004WONN"/>
      <sheetName val="2005USDN"/>
      <sheetName val="2005WONN"/>
      <sheetName val="2002USDN (2)"/>
      <sheetName val="2003USDN (2)"/>
      <sheetName val="2004USDN (2)"/>
      <sheetName val="2005USD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>
        <row r="8">
          <cell r="A8" t="str">
            <v xml:space="preserve">                Sub Total ( 1월 )</v>
          </cell>
          <cell r="F8">
            <v>20600</v>
          </cell>
          <cell r="G8">
            <v>0</v>
          </cell>
          <cell r="H8">
            <v>0</v>
          </cell>
          <cell r="I8">
            <v>0</v>
          </cell>
          <cell r="J8">
            <v>11368</v>
          </cell>
          <cell r="K8">
            <v>427.05</v>
          </cell>
          <cell r="L8">
            <v>4854704.4000000004</v>
          </cell>
          <cell r="M8">
            <v>4854704.4000000004</v>
          </cell>
          <cell r="N8">
            <v>23000</v>
          </cell>
          <cell r="O8">
            <v>28.076923076913044</v>
          </cell>
          <cell r="P8">
            <v>645769.23076900002</v>
          </cell>
          <cell r="Q8">
            <v>0</v>
          </cell>
          <cell r="R8">
            <v>0</v>
          </cell>
          <cell r="S8">
            <v>0</v>
          </cell>
          <cell r="T8">
            <v>-645769.23076900002</v>
          </cell>
          <cell r="U8">
            <v>4208935.1692310004</v>
          </cell>
          <cell r="V8" t="str">
            <v xml:space="preserve"> Tota</v>
          </cell>
        </row>
        <row r="13">
          <cell r="A13" t="str">
            <v xml:space="preserve">                Sub Total ( 2월 )</v>
          </cell>
          <cell r="F13">
            <v>20600</v>
          </cell>
          <cell r="G13">
            <v>0</v>
          </cell>
          <cell r="H13">
            <v>0</v>
          </cell>
          <cell r="I13">
            <v>0</v>
          </cell>
          <cell r="J13">
            <v>11368</v>
          </cell>
          <cell r="K13">
            <v>427.05</v>
          </cell>
          <cell r="L13">
            <v>4854704.4000000004</v>
          </cell>
          <cell r="M13">
            <v>4854704.4000000004</v>
          </cell>
          <cell r="N13">
            <v>46000</v>
          </cell>
          <cell r="O13">
            <v>56.153846153826088</v>
          </cell>
          <cell r="P13">
            <v>1291538.461538</v>
          </cell>
          <cell r="Q13">
            <v>0</v>
          </cell>
          <cell r="R13">
            <v>0</v>
          </cell>
          <cell r="S13">
            <v>0</v>
          </cell>
          <cell r="T13">
            <v>-1291538.461538</v>
          </cell>
          <cell r="U13">
            <v>3563165.9384620003</v>
          </cell>
        </row>
        <row r="19">
          <cell r="A19" t="str">
            <v xml:space="preserve">                Sub Total ( 3월 )</v>
          </cell>
          <cell r="F19">
            <v>25750</v>
          </cell>
          <cell r="G19">
            <v>0</v>
          </cell>
          <cell r="H19">
            <v>0</v>
          </cell>
          <cell r="I19">
            <v>0</v>
          </cell>
          <cell r="J19">
            <v>14210</v>
          </cell>
          <cell r="K19">
            <v>427.05</v>
          </cell>
          <cell r="L19">
            <v>6068380.5</v>
          </cell>
          <cell r="M19">
            <v>6068380.5</v>
          </cell>
          <cell r="N19">
            <v>23000</v>
          </cell>
          <cell r="O19">
            <v>28.076923076913044</v>
          </cell>
          <cell r="P19">
            <v>645769.23076900002</v>
          </cell>
          <cell r="Q19">
            <v>0</v>
          </cell>
          <cell r="R19">
            <v>0</v>
          </cell>
          <cell r="S19">
            <v>0</v>
          </cell>
          <cell r="T19">
            <v>-645769.23076900002</v>
          </cell>
          <cell r="U19">
            <v>5422611.2692310009</v>
          </cell>
        </row>
        <row r="24">
          <cell r="A24" t="str">
            <v xml:space="preserve">                Sub Total ( 4월 )</v>
          </cell>
          <cell r="F24">
            <v>20600</v>
          </cell>
          <cell r="G24">
            <v>0</v>
          </cell>
          <cell r="H24">
            <v>0</v>
          </cell>
          <cell r="I24">
            <v>0</v>
          </cell>
          <cell r="J24">
            <v>11368</v>
          </cell>
          <cell r="K24">
            <v>427.05</v>
          </cell>
          <cell r="L24">
            <v>4854704.4000000004</v>
          </cell>
          <cell r="M24">
            <v>4854704.4000000004</v>
          </cell>
          <cell r="N24">
            <v>46000</v>
          </cell>
          <cell r="O24">
            <v>56.153846153826088</v>
          </cell>
          <cell r="P24">
            <v>1291538.461538</v>
          </cell>
          <cell r="Q24">
            <v>0</v>
          </cell>
          <cell r="R24">
            <v>0</v>
          </cell>
          <cell r="S24">
            <v>0</v>
          </cell>
          <cell r="T24">
            <v>-1291538.461538</v>
          </cell>
          <cell r="U24">
            <v>3563165.9384620003</v>
          </cell>
        </row>
        <row r="29">
          <cell r="A29" t="str">
            <v xml:space="preserve">                Sub Total ( 5월 )</v>
          </cell>
          <cell r="F29">
            <v>20600</v>
          </cell>
          <cell r="G29">
            <v>0</v>
          </cell>
          <cell r="H29">
            <v>0</v>
          </cell>
          <cell r="I29">
            <v>0</v>
          </cell>
          <cell r="J29">
            <v>11368</v>
          </cell>
          <cell r="K29">
            <v>427.05</v>
          </cell>
          <cell r="L29">
            <v>4854704.4000000004</v>
          </cell>
          <cell r="M29">
            <v>4854704.4000000004</v>
          </cell>
          <cell r="N29">
            <v>23000</v>
          </cell>
          <cell r="O29">
            <v>28.076923076913044</v>
          </cell>
          <cell r="P29">
            <v>645769.23076900002</v>
          </cell>
          <cell r="Q29">
            <v>0</v>
          </cell>
          <cell r="R29">
            <v>0</v>
          </cell>
          <cell r="S29">
            <v>0</v>
          </cell>
          <cell r="T29">
            <v>-645769.23076900002</v>
          </cell>
          <cell r="U29">
            <v>4208935.1692310004</v>
          </cell>
        </row>
        <row r="35">
          <cell r="A35" t="str">
            <v xml:space="preserve">                Sub Total ( 6월 )</v>
          </cell>
          <cell r="F35">
            <v>25750</v>
          </cell>
          <cell r="G35">
            <v>0</v>
          </cell>
          <cell r="H35">
            <v>0</v>
          </cell>
          <cell r="I35">
            <v>0</v>
          </cell>
          <cell r="J35">
            <v>14210</v>
          </cell>
          <cell r="K35">
            <v>427.05</v>
          </cell>
          <cell r="L35">
            <v>6068380.5</v>
          </cell>
          <cell r="M35">
            <v>6068380.5</v>
          </cell>
          <cell r="N35">
            <v>46000</v>
          </cell>
          <cell r="O35">
            <v>56.153846153826088</v>
          </cell>
          <cell r="P35">
            <v>1291538.461538</v>
          </cell>
          <cell r="Q35">
            <v>0</v>
          </cell>
          <cell r="R35">
            <v>0</v>
          </cell>
          <cell r="S35">
            <v>0</v>
          </cell>
          <cell r="T35">
            <v>-1291538.461538</v>
          </cell>
          <cell r="U35">
            <v>4776842.038462</v>
          </cell>
        </row>
        <row r="40">
          <cell r="A40" t="str">
            <v xml:space="preserve">                Sub Total ( 7월 )</v>
          </cell>
          <cell r="F40">
            <v>20600</v>
          </cell>
          <cell r="G40">
            <v>0</v>
          </cell>
          <cell r="H40">
            <v>0</v>
          </cell>
          <cell r="I40">
            <v>0</v>
          </cell>
          <cell r="J40">
            <v>11368</v>
          </cell>
          <cell r="K40">
            <v>427.05</v>
          </cell>
          <cell r="L40">
            <v>4854704.4000000004</v>
          </cell>
          <cell r="M40">
            <v>4854704.4000000004</v>
          </cell>
          <cell r="N40">
            <v>46000</v>
          </cell>
          <cell r="O40">
            <v>56.153846153826088</v>
          </cell>
          <cell r="P40">
            <v>1291538.461538</v>
          </cell>
          <cell r="Q40">
            <v>0</v>
          </cell>
          <cell r="R40">
            <v>0</v>
          </cell>
          <cell r="S40">
            <v>0</v>
          </cell>
          <cell r="T40">
            <v>-1291538.461538</v>
          </cell>
          <cell r="U40">
            <v>3563165.9384620003</v>
          </cell>
        </row>
        <row r="46">
          <cell r="A46" t="str">
            <v xml:space="preserve">                Sub Total ( 8월 )</v>
          </cell>
          <cell r="F46">
            <v>25750</v>
          </cell>
          <cell r="G46">
            <v>0</v>
          </cell>
          <cell r="H46">
            <v>0</v>
          </cell>
          <cell r="I46">
            <v>0</v>
          </cell>
          <cell r="J46">
            <v>14210</v>
          </cell>
          <cell r="K46">
            <v>427.05</v>
          </cell>
          <cell r="L46">
            <v>6068380.5</v>
          </cell>
          <cell r="M46">
            <v>6068380.5</v>
          </cell>
          <cell r="N46">
            <v>46000</v>
          </cell>
          <cell r="O46">
            <v>56.153846153826088</v>
          </cell>
          <cell r="P46">
            <v>1291538.461538</v>
          </cell>
          <cell r="Q46">
            <v>0</v>
          </cell>
          <cell r="R46">
            <v>0</v>
          </cell>
          <cell r="S46">
            <v>0</v>
          </cell>
          <cell r="T46">
            <v>-1291538.461538</v>
          </cell>
          <cell r="U46">
            <v>4776842.038462</v>
          </cell>
        </row>
        <row r="51">
          <cell r="A51" t="str">
            <v xml:space="preserve">                Sub Total ( 9월 )</v>
          </cell>
          <cell r="F51">
            <v>20600</v>
          </cell>
          <cell r="G51">
            <v>0</v>
          </cell>
          <cell r="H51">
            <v>0</v>
          </cell>
          <cell r="I51">
            <v>0</v>
          </cell>
          <cell r="J51">
            <v>11368</v>
          </cell>
          <cell r="K51">
            <v>427.05</v>
          </cell>
          <cell r="L51">
            <v>4854704.4000000004</v>
          </cell>
          <cell r="M51">
            <v>4854704.4000000004</v>
          </cell>
          <cell r="N51">
            <v>23000</v>
          </cell>
          <cell r="O51">
            <v>28.076923076913044</v>
          </cell>
          <cell r="P51">
            <v>645769.23076900002</v>
          </cell>
          <cell r="Q51">
            <v>0</v>
          </cell>
          <cell r="R51">
            <v>0</v>
          </cell>
          <cell r="S51">
            <v>0</v>
          </cell>
          <cell r="T51">
            <v>-645769.23076900002</v>
          </cell>
          <cell r="U51">
            <v>4208935.1692310004</v>
          </cell>
        </row>
        <row r="56">
          <cell r="A56" t="str">
            <v xml:space="preserve">                Sub Total ( 10월 )</v>
          </cell>
          <cell r="F56">
            <v>20600</v>
          </cell>
          <cell r="G56">
            <v>0</v>
          </cell>
          <cell r="H56">
            <v>0</v>
          </cell>
          <cell r="I56">
            <v>0</v>
          </cell>
          <cell r="J56">
            <v>11368</v>
          </cell>
          <cell r="K56">
            <v>427.05</v>
          </cell>
          <cell r="L56">
            <v>4854704.4000000004</v>
          </cell>
          <cell r="M56">
            <v>4854704.4000000004</v>
          </cell>
          <cell r="N56">
            <v>46000</v>
          </cell>
          <cell r="O56">
            <v>56.153846153826088</v>
          </cell>
          <cell r="P56">
            <v>1291538.461538</v>
          </cell>
          <cell r="Q56">
            <v>0</v>
          </cell>
          <cell r="R56">
            <v>0</v>
          </cell>
          <cell r="S56">
            <v>0</v>
          </cell>
          <cell r="T56">
            <v>-1291538.461538</v>
          </cell>
          <cell r="U56">
            <v>3563165.9384620003</v>
          </cell>
        </row>
        <row r="62">
          <cell r="A62" t="str">
            <v xml:space="preserve">                Sub Total ( 11월 )</v>
          </cell>
          <cell r="F62">
            <v>25750</v>
          </cell>
          <cell r="G62">
            <v>0</v>
          </cell>
          <cell r="H62">
            <v>0</v>
          </cell>
          <cell r="I62">
            <v>0</v>
          </cell>
          <cell r="J62">
            <v>14210</v>
          </cell>
          <cell r="K62">
            <v>427.05</v>
          </cell>
          <cell r="L62">
            <v>6068380.5</v>
          </cell>
          <cell r="M62">
            <v>6068380.5</v>
          </cell>
          <cell r="N62">
            <v>46000</v>
          </cell>
          <cell r="O62">
            <v>56.153846153826088</v>
          </cell>
          <cell r="P62">
            <v>1291538.461538</v>
          </cell>
          <cell r="Q62">
            <v>0</v>
          </cell>
          <cell r="R62">
            <v>0</v>
          </cell>
          <cell r="S62">
            <v>0</v>
          </cell>
          <cell r="T62">
            <v>-1291538.461538</v>
          </cell>
          <cell r="U62">
            <v>4776842.038462</v>
          </cell>
        </row>
        <row r="67">
          <cell r="A67" t="str">
            <v xml:space="preserve">                Sub Total ( 12월 )</v>
          </cell>
          <cell r="F67">
            <v>20600</v>
          </cell>
          <cell r="G67">
            <v>0</v>
          </cell>
          <cell r="H67">
            <v>0</v>
          </cell>
          <cell r="I67">
            <v>0</v>
          </cell>
          <cell r="J67">
            <v>11368</v>
          </cell>
          <cell r="K67">
            <v>427.05</v>
          </cell>
          <cell r="L67">
            <v>4854704.4000000004</v>
          </cell>
          <cell r="M67">
            <v>4854704.4000000004</v>
          </cell>
          <cell r="N67">
            <v>23000</v>
          </cell>
          <cell r="O67">
            <v>28.076923076913044</v>
          </cell>
          <cell r="P67">
            <v>645769.23076900002</v>
          </cell>
          <cell r="Q67">
            <v>0</v>
          </cell>
          <cell r="R67">
            <v>0</v>
          </cell>
          <cell r="S67">
            <v>0</v>
          </cell>
          <cell r="T67">
            <v>-645769.23076900002</v>
          </cell>
          <cell r="U67">
            <v>4208935.1692310004</v>
          </cell>
        </row>
      </sheetData>
      <sheetData sheetId="340">
        <row r="8">
          <cell r="A8" t="str">
            <v xml:space="preserve">                Sub Total ( 1월 )</v>
          </cell>
          <cell r="F8">
            <v>20600</v>
          </cell>
          <cell r="G8">
            <v>0</v>
          </cell>
          <cell r="H8">
            <v>0</v>
          </cell>
          <cell r="I8">
            <v>0</v>
          </cell>
          <cell r="J8">
            <v>11368</v>
          </cell>
          <cell r="K8">
            <v>427.05</v>
          </cell>
          <cell r="L8">
            <v>4854704.4000000004</v>
          </cell>
          <cell r="M8">
            <v>4854704.4000000004</v>
          </cell>
          <cell r="N8">
            <v>46000</v>
          </cell>
          <cell r="O8">
            <v>56.153846153826088</v>
          </cell>
          <cell r="P8">
            <v>1291538.461538</v>
          </cell>
          <cell r="Q8">
            <v>0</v>
          </cell>
          <cell r="R8">
            <v>0</v>
          </cell>
          <cell r="S8">
            <v>0</v>
          </cell>
          <cell r="T8">
            <v>-1291538.461538</v>
          </cell>
          <cell r="U8">
            <v>3563165.9384620003</v>
          </cell>
        </row>
        <row r="13">
          <cell r="A13" t="str">
            <v xml:space="preserve">                Sub Total ( 2월 )</v>
          </cell>
          <cell r="F13">
            <v>20600</v>
          </cell>
          <cell r="G13">
            <v>0</v>
          </cell>
          <cell r="H13">
            <v>0</v>
          </cell>
          <cell r="I13">
            <v>0</v>
          </cell>
          <cell r="J13">
            <v>11368</v>
          </cell>
          <cell r="K13">
            <v>427.05</v>
          </cell>
          <cell r="L13">
            <v>4854704.4000000004</v>
          </cell>
          <cell r="M13">
            <v>4854704.4000000004</v>
          </cell>
          <cell r="N13">
            <v>23000</v>
          </cell>
          <cell r="O13">
            <v>28.076923076913044</v>
          </cell>
          <cell r="P13">
            <v>645769.23076900002</v>
          </cell>
          <cell r="Q13">
            <v>0</v>
          </cell>
          <cell r="R13">
            <v>0</v>
          </cell>
          <cell r="S13">
            <v>0</v>
          </cell>
          <cell r="T13">
            <v>-645769.23076900002</v>
          </cell>
          <cell r="U13">
            <v>4208935.1692310004</v>
          </cell>
        </row>
        <row r="19">
          <cell r="A19" t="str">
            <v xml:space="preserve">                Sub Total ( 3월 )</v>
          </cell>
          <cell r="F19">
            <v>25750</v>
          </cell>
          <cell r="G19">
            <v>0</v>
          </cell>
          <cell r="H19">
            <v>0</v>
          </cell>
          <cell r="I19">
            <v>0</v>
          </cell>
          <cell r="J19">
            <v>14210</v>
          </cell>
          <cell r="K19">
            <v>427.05</v>
          </cell>
          <cell r="L19">
            <v>6068380.5</v>
          </cell>
          <cell r="M19">
            <v>6068380.5</v>
          </cell>
          <cell r="N19">
            <v>46000</v>
          </cell>
          <cell r="O19">
            <v>56.153846153826088</v>
          </cell>
          <cell r="P19">
            <v>1291538.461538</v>
          </cell>
          <cell r="Q19">
            <v>0</v>
          </cell>
          <cell r="R19">
            <v>0</v>
          </cell>
          <cell r="S19">
            <v>0</v>
          </cell>
          <cell r="T19">
            <v>-1291538.461538</v>
          </cell>
          <cell r="U19">
            <v>4776842.038462</v>
          </cell>
        </row>
        <row r="24">
          <cell r="A24" t="str">
            <v xml:space="preserve">                Sub Total ( 4월 )</v>
          </cell>
          <cell r="F24">
            <v>20600</v>
          </cell>
          <cell r="G24">
            <v>0</v>
          </cell>
          <cell r="H24">
            <v>0</v>
          </cell>
          <cell r="I24">
            <v>0</v>
          </cell>
          <cell r="J24">
            <v>11368</v>
          </cell>
          <cell r="K24">
            <v>427.05</v>
          </cell>
          <cell r="L24">
            <v>4854704.4000000004</v>
          </cell>
          <cell r="M24">
            <v>4854704.4000000004</v>
          </cell>
          <cell r="N24">
            <v>46000</v>
          </cell>
          <cell r="O24">
            <v>56.153846153826088</v>
          </cell>
          <cell r="P24">
            <v>1291538.461538</v>
          </cell>
          <cell r="Q24">
            <v>0</v>
          </cell>
          <cell r="R24">
            <v>0</v>
          </cell>
          <cell r="S24">
            <v>0</v>
          </cell>
          <cell r="T24">
            <v>-1291538.461538</v>
          </cell>
          <cell r="U24">
            <v>3563165.9384620003</v>
          </cell>
        </row>
        <row r="29">
          <cell r="A29" t="str">
            <v xml:space="preserve">                Sub Total ( 5월 )</v>
          </cell>
          <cell r="F29">
            <v>20600</v>
          </cell>
          <cell r="G29">
            <v>0</v>
          </cell>
          <cell r="H29">
            <v>0</v>
          </cell>
          <cell r="I29">
            <v>0</v>
          </cell>
          <cell r="J29">
            <v>11368</v>
          </cell>
          <cell r="K29">
            <v>427.05</v>
          </cell>
          <cell r="L29">
            <v>4854704.4000000004</v>
          </cell>
          <cell r="M29">
            <v>4854704.4000000004</v>
          </cell>
          <cell r="N29">
            <v>23000</v>
          </cell>
          <cell r="O29">
            <v>28.076923076913044</v>
          </cell>
          <cell r="P29">
            <v>645769.23076900002</v>
          </cell>
          <cell r="Q29">
            <v>0</v>
          </cell>
          <cell r="R29">
            <v>0</v>
          </cell>
          <cell r="S29">
            <v>0</v>
          </cell>
          <cell r="T29">
            <v>-645769.23076900002</v>
          </cell>
          <cell r="U29">
            <v>4208935.1692310004</v>
          </cell>
        </row>
        <row r="35">
          <cell r="A35" t="str">
            <v xml:space="preserve">                Sub Total ( 6월 )</v>
          </cell>
          <cell r="F35">
            <v>25750</v>
          </cell>
          <cell r="G35">
            <v>0</v>
          </cell>
          <cell r="H35">
            <v>0</v>
          </cell>
          <cell r="I35">
            <v>0</v>
          </cell>
          <cell r="J35">
            <v>14210</v>
          </cell>
          <cell r="K35">
            <v>427.05</v>
          </cell>
          <cell r="L35">
            <v>6068380.5</v>
          </cell>
          <cell r="M35">
            <v>6068380.5</v>
          </cell>
          <cell r="N35">
            <v>46000</v>
          </cell>
          <cell r="O35">
            <v>56.153846153826088</v>
          </cell>
          <cell r="P35">
            <v>1291538.461538</v>
          </cell>
          <cell r="Q35">
            <v>0</v>
          </cell>
          <cell r="R35">
            <v>0</v>
          </cell>
          <cell r="S35">
            <v>0</v>
          </cell>
          <cell r="T35">
            <v>-1291538.461538</v>
          </cell>
          <cell r="U35">
            <v>4776842.038462</v>
          </cell>
        </row>
        <row r="40">
          <cell r="A40" t="str">
            <v xml:space="preserve">                Sub Total ( 7월 )</v>
          </cell>
          <cell r="F40">
            <v>20600</v>
          </cell>
          <cell r="G40">
            <v>0</v>
          </cell>
          <cell r="H40">
            <v>0</v>
          </cell>
          <cell r="I40">
            <v>0</v>
          </cell>
          <cell r="J40">
            <v>11368</v>
          </cell>
          <cell r="K40">
            <v>427.05</v>
          </cell>
          <cell r="L40">
            <v>4854704.4000000004</v>
          </cell>
          <cell r="M40">
            <v>4854704.4000000004</v>
          </cell>
          <cell r="N40">
            <v>46000</v>
          </cell>
          <cell r="O40">
            <v>56.153846153826088</v>
          </cell>
          <cell r="P40">
            <v>1291538.461538</v>
          </cell>
          <cell r="Q40">
            <v>0</v>
          </cell>
          <cell r="R40">
            <v>0</v>
          </cell>
          <cell r="S40">
            <v>0</v>
          </cell>
          <cell r="T40">
            <v>-1291538.461538</v>
          </cell>
          <cell r="U40">
            <v>3563165.9384620003</v>
          </cell>
        </row>
        <row r="46">
          <cell r="A46" t="str">
            <v xml:space="preserve">                Sub Total ( 8월 )</v>
          </cell>
          <cell r="F46">
            <v>25750</v>
          </cell>
          <cell r="G46">
            <v>0</v>
          </cell>
          <cell r="H46">
            <v>0</v>
          </cell>
          <cell r="I46">
            <v>0</v>
          </cell>
          <cell r="J46">
            <v>14210</v>
          </cell>
          <cell r="K46">
            <v>427.05</v>
          </cell>
          <cell r="L46">
            <v>6068380.5</v>
          </cell>
          <cell r="M46">
            <v>6068380.5</v>
          </cell>
          <cell r="N46">
            <v>46000</v>
          </cell>
          <cell r="O46">
            <v>56.153846153826088</v>
          </cell>
          <cell r="P46">
            <v>1291538.461538</v>
          </cell>
          <cell r="Q46">
            <v>0</v>
          </cell>
          <cell r="R46">
            <v>0</v>
          </cell>
          <cell r="S46">
            <v>0</v>
          </cell>
          <cell r="T46">
            <v>-1291538.461538</v>
          </cell>
          <cell r="U46">
            <v>4776842.038462</v>
          </cell>
        </row>
        <row r="51">
          <cell r="A51" t="str">
            <v xml:space="preserve">                Sub Total ( 9월 )</v>
          </cell>
          <cell r="F51">
            <v>20600</v>
          </cell>
          <cell r="G51">
            <v>0</v>
          </cell>
          <cell r="H51">
            <v>0</v>
          </cell>
          <cell r="I51">
            <v>0</v>
          </cell>
          <cell r="J51">
            <v>11368</v>
          </cell>
          <cell r="K51">
            <v>427.05</v>
          </cell>
          <cell r="L51">
            <v>4854704.4000000004</v>
          </cell>
          <cell r="M51">
            <v>4854704.4000000004</v>
          </cell>
          <cell r="N51">
            <v>23000</v>
          </cell>
          <cell r="O51">
            <v>28.076923076913044</v>
          </cell>
          <cell r="P51">
            <v>645769.23076900002</v>
          </cell>
          <cell r="Q51">
            <v>0</v>
          </cell>
          <cell r="R51">
            <v>0</v>
          </cell>
          <cell r="S51">
            <v>0</v>
          </cell>
          <cell r="T51">
            <v>-645769.23076900002</v>
          </cell>
          <cell r="U51">
            <v>4208935.1692310004</v>
          </cell>
        </row>
        <row r="56">
          <cell r="A56" t="str">
            <v xml:space="preserve">                Sub Total ( 10월 )</v>
          </cell>
          <cell r="F56">
            <v>20600</v>
          </cell>
          <cell r="G56">
            <v>0</v>
          </cell>
          <cell r="H56">
            <v>0</v>
          </cell>
          <cell r="I56">
            <v>0</v>
          </cell>
          <cell r="J56">
            <v>11368</v>
          </cell>
          <cell r="K56">
            <v>427.05</v>
          </cell>
          <cell r="L56">
            <v>4854704.4000000004</v>
          </cell>
          <cell r="M56">
            <v>4854704.4000000004</v>
          </cell>
          <cell r="N56">
            <v>46000</v>
          </cell>
          <cell r="O56">
            <v>85.048582995826095</v>
          </cell>
          <cell r="P56">
            <v>1291538.461538</v>
          </cell>
          <cell r="Q56">
            <v>0</v>
          </cell>
          <cell r="R56">
            <v>0</v>
          </cell>
          <cell r="S56">
            <v>0</v>
          </cell>
          <cell r="T56">
            <v>-1291538.461538</v>
          </cell>
          <cell r="U56">
            <v>3563165.9384620003</v>
          </cell>
        </row>
        <row r="62">
          <cell r="A62" t="str">
            <v xml:space="preserve">                Sub Total ( 11월 )</v>
          </cell>
          <cell r="F62">
            <v>25750</v>
          </cell>
          <cell r="G62">
            <v>0</v>
          </cell>
          <cell r="H62">
            <v>0</v>
          </cell>
          <cell r="I62">
            <v>0</v>
          </cell>
          <cell r="J62">
            <v>14210</v>
          </cell>
          <cell r="K62">
            <v>427.05</v>
          </cell>
          <cell r="L62">
            <v>6068380.5</v>
          </cell>
          <cell r="M62">
            <v>6068380.5</v>
          </cell>
          <cell r="N62">
            <v>23000</v>
          </cell>
          <cell r="O62">
            <v>28.076923076913044</v>
          </cell>
          <cell r="P62">
            <v>645769.23076900002</v>
          </cell>
          <cell r="Q62">
            <v>0</v>
          </cell>
          <cell r="R62">
            <v>0</v>
          </cell>
          <cell r="S62">
            <v>0</v>
          </cell>
          <cell r="T62">
            <v>-645769.23076900002</v>
          </cell>
          <cell r="U62">
            <v>5422611.2692310009</v>
          </cell>
        </row>
        <row r="67">
          <cell r="A67" t="str">
            <v xml:space="preserve">                Sub Total ( 12월 )</v>
          </cell>
          <cell r="F67">
            <v>20600</v>
          </cell>
          <cell r="G67">
            <v>0</v>
          </cell>
          <cell r="H67">
            <v>0</v>
          </cell>
          <cell r="I67">
            <v>0</v>
          </cell>
          <cell r="J67">
            <v>11368</v>
          </cell>
          <cell r="K67">
            <v>427.05</v>
          </cell>
          <cell r="L67">
            <v>4854704.4000000004</v>
          </cell>
          <cell r="M67">
            <v>4854704.4000000004</v>
          </cell>
          <cell r="N67">
            <v>46000</v>
          </cell>
          <cell r="O67">
            <v>56.153846153826088</v>
          </cell>
          <cell r="P67">
            <v>1291538.461538</v>
          </cell>
          <cell r="Q67">
            <v>0</v>
          </cell>
          <cell r="R67">
            <v>0</v>
          </cell>
          <cell r="S67">
            <v>0</v>
          </cell>
          <cell r="T67">
            <v>-1291538.461538</v>
          </cell>
          <cell r="U67">
            <v>3563165.9384620003</v>
          </cell>
        </row>
      </sheetData>
      <sheetData sheetId="341">
        <row r="8">
          <cell r="A8" t="str">
            <v xml:space="preserve">                Sub Total ( 1월 )</v>
          </cell>
          <cell r="F8">
            <v>21952</v>
          </cell>
          <cell r="G8">
            <v>4338</v>
          </cell>
          <cell r="H8">
            <v>427.89</v>
          </cell>
          <cell r="I8">
            <v>1856186.8199999998</v>
          </cell>
          <cell r="J8">
            <v>0</v>
          </cell>
          <cell r="K8">
            <v>0</v>
          </cell>
          <cell r="L8">
            <v>0</v>
          </cell>
          <cell r="M8">
            <v>-1856186.8199999998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-1856186.8199999998</v>
          </cell>
        </row>
        <row r="13">
          <cell r="A13" t="str">
            <v xml:space="preserve">                Sub Total ( 2월 )</v>
          </cell>
          <cell r="F13">
            <v>21952</v>
          </cell>
          <cell r="G13">
            <v>4397</v>
          </cell>
          <cell r="H13">
            <v>427.89</v>
          </cell>
          <cell r="I13">
            <v>1881432.3299999998</v>
          </cell>
          <cell r="J13">
            <v>0</v>
          </cell>
          <cell r="K13">
            <v>0</v>
          </cell>
          <cell r="L13">
            <v>0</v>
          </cell>
          <cell r="M13">
            <v>-1881432.3299999998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-1881432.3299999998</v>
          </cell>
        </row>
        <row r="19">
          <cell r="A19" t="str">
            <v xml:space="preserve">                Sub Total ( 3월 )</v>
          </cell>
          <cell r="F19">
            <v>27440</v>
          </cell>
          <cell r="G19">
            <v>5452</v>
          </cell>
          <cell r="H19">
            <v>427.89</v>
          </cell>
          <cell r="I19">
            <v>2332856.2799999998</v>
          </cell>
          <cell r="J19">
            <v>0</v>
          </cell>
          <cell r="K19">
            <v>0</v>
          </cell>
          <cell r="L19">
            <v>0</v>
          </cell>
          <cell r="M19">
            <v>-2332856.2799999998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-2332856.2799999998</v>
          </cell>
        </row>
        <row r="24">
          <cell r="A24" t="str">
            <v xml:space="preserve">                Sub Total ( 4월 )</v>
          </cell>
          <cell r="F24">
            <v>21952</v>
          </cell>
          <cell r="G24">
            <v>4397</v>
          </cell>
          <cell r="H24">
            <v>427.89</v>
          </cell>
          <cell r="I24">
            <v>1881432.3299999998</v>
          </cell>
          <cell r="J24">
            <v>0</v>
          </cell>
          <cell r="K24">
            <v>0</v>
          </cell>
          <cell r="L24">
            <v>0</v>
          </cell>
          <cell r="M24">
            <v>-1881432.3299999998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-1881432.3299999998</v>
          </cell>
        </row>
        <row r="29">
          <cell r="A29" t="str">
            <v xml:space="preserve">                Sub Total ( 5월 )</v>
          </cell>
          <cell r="F29">
            <v>21952</v>
          </cell>
          <cell r="G29">
            <v>4338</v>
          </cell>
          <cell r="H29">
            <v>427.89</v>
          </cell>
          <cell r="I29">
            <v>1856186.8199999998</v>
          </cell>
          <cell r="J29">
            <v>0</v>
          </cell>
          <cell r="K29">
            <v>0</v>
          </cell>
          <cell r="L29">
            <v>0</v>
          </cell>
          <cell r="M29">
            <v>-1856186.8199999998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-1856186.8199999998</v>
          </cell>
        </row>
        <row r="35">
          <cell r="A35" t="str">
            <v xml:space="preserve">                Sub Total ( 6월 )</v>
          </cell>
          <cell r="F35">
            <v>27440</v>
          </cell>
          <cell r="G35">
            <v>5452</v>
          </cell>
          <cell r="H35">
            <v>427.89</v>
          </cell>
          <cell r="I35">
            <v>2332856.2799999998</v>
          </cell>
          <cell r="J35">
            <v>0</v>
          </cell>
          <cell r="K35">
            <v>0</v>
          </cell>
          <cell r="L35">
            <v>0</v>
          </cell>
          <cell r="M35">
            <v>-2332856.2799999998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-2332856.2799999998</v>
          </cell>
        </row>
        <row r="40">
          <cell r="A40" t="str">
            <v xml:space="preserve">                Sub Total ( 7월 )</v>
          </cell>
          <cell r="F40">
            <v>21952</v>
          </cell>
          <cell r="G40">
            <v>4397</v>
          </cell>
          <cell r="H40">
            <v>427.89</v>
          </cell>
          <cell r="I40">
            <v>1881432.3299999998</v>
          </cell>
          <cell r="J40">
            <v>0</v>
          </cell>
          <cell r="K40">
            <v>0</v>
          </cell>
          <cell r="L40">
            <v>0</v>
          </cell>
          <cell r="M40">
            <v>-1881432.3299999998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-1881432.3299999998</v>
          </cell>
        </row>
        <row r="46">
          <cell r="A46" t="str">
            <v xml:space="preserve">                Sub Total ( 8월 )</v>
          </cell>
          <cell r="F46">
            <v>27440</v>
          </cell>
          <cell r="G46">
            <v>5452</v>
          </cell>
          <cell r="H46">
            <v>427.89</v>
          </cell>
          <cell r="I46">
            <v>2332856.2799999998</v>
          </cell>
          <cell r="J46">
            <v>0</v>
          </cell>
          <cell r="K46">
            <v>0</v>
          </cell>
          <cell r="L46">
            <v>0</v>
          </cell>
          <cell r="M46">
            <v>-2332856.2799999998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-2332856.2799999998</v>
          </cell>
        </row>
        <row r="51">
          <cell r="A51" t="str">
            <v xml:space="preserve">                Sub Total ( 9월 )</v>
          </cell>
          <cell r="F51">
            <v>21952</v>
          </cell>
          <cell r="G51">
            <v>4397</v>
          </cell>
          <cell r="H51">
            <v>427.89</v>
          </cell>
          <cell r="I51">
            <v>1881432.3299999998</v>
          </cell>
          <cell r="J51">
            <v>0</v>
          </cell>
          <cell r="K51">
            <v>0</v>
          </cell>
          <cell r="L51">
            <v>0</v>
          </cell>
          <cell r="M51">
            <v>-1881432.3299999998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-1881432.3299999998</v>
          </cell>
        </row>
        <row r="56">
          <cell r="A56" t="str">
            <v xml:space="preserve">                Sub Total ( 10월 )</v>
          </cell>
          <cell r="F56">
            <v>21952</v>
          </cell>
          <cell r="G56">
            <v>4338</v>
          </cell>
          <cell r="H56">
            <v>427.89</v>
          </cell>
          <cell r="I56">
            <v>1856186.8199999998</v>
          </cell>
          <cell r="J56">
            <v>0</v>
          </cell>
          <cell r="K56">
            <v>0</v>
          </cell>
          <cell r="L56">
            <v>0</v>
          </cell>
          <cell r="M56">
            <v>-1856186.8199999998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-1856186.8199999998</v>
          </cell>
        </row>
        <row r="62">
          <cell r="A62" t="str">
            <v xml:space="preserve">                Sub Total ( 11월 )</v>
          </cell>
          <cell r="F62">
            <v>27440</v>
          </cell>
          <cell r="G62">
            <v>5452</v>
          </cell>
          <cell r="H62">
            <v>427.89</v>
          </cell>
          <cell r="I62">
            <v>2332856.2799999998</v>
          </cell>
          <cell r="J62">
            <v>0</v>
          </cell>
          <cell r="K62">
            <v>0</v>
          </cell>
          <cell r="L62">
            <v>0</v>
          </cell>
          <cell r="M62">
            <v>-2332856.2799999998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-2332856.2799999998</v>
          </cell>
        </row>
        <row r="67">
          <cell r="A67" t="str">
            <v xml:space="preserve">                Sub Total ( 12월 )</v>
          </cell>
          <cell r="F67">
            <v>21952</v>
          </cell>
          <cell r="G67">
            <v>4338</v>
          </cell>
          <cell r="H67">
            <v>427.89</v>
          </cell>
          <cell r="I67">
            <v>1856186.8199999998</v>
          </cell>
          <cell r="J67">
            <v>0</v>
          </cell>
          <cell r="K67">
            <v>0</v>
          </cell>
          <cell r="L67">
            <v>0</v>
          </cell>
          <cell r="M67">
            <v>-1856186.8199999998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-1856186.8199999998</v>
          </cell>
        </row>
      </sheetData>
      <sheetData sheetId="342">
        <row r="8">
          <cell r="A8" t="str">
            <v xml:space="preserve">                Sub Total ( 1월 )</v>
          </cell>
          <cell r="F8">
            <v>21952</v>
          </cell>
          <cell r="G8">
            <v>4397</v>
          </cell>
          <cell r="H8">
            <v>427.89</v>
          </cell>
          <cell r="I8">
            <v>1881432.3299999998</v>
          </cell>
          <cell r="J8">
            <v>0</v>
          </cell>
          <cell r="K8">
            <v>0</v>
          </cell>
          <cell r="L8">
            <v>0</v>
          </cell>
          <cell r="M8">
            <v>-1881432.3299999998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-1881432.3299999998</v>
          </cell>
        </row>
        <row r="13">
          <cell r="A13" t="str">
            <v xml:space="preserve">                Sub Total ( 2월 )</v>
          </cell>
          <cell r="F13">
            <v>21952</v>
          </cell>
          <cell r="G13">
            <v>4338</v>
          </cell>
          <cell r="H13">
            <v>427.89</v>
          </cell>
          <cell r="I13">
            <v>1856186.8199999998</v>
          </cell>
          <cell r="J13">
            <v>0</v>
          </cell>
          <cell r="K13">
            <v>0</v>
          </cell>
          <cell r="L13">
            <v>0</v>
          </cell>
          <cell r="M13">
            <v>-1856186.8199999998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-1856186.8199999998</v>
          </cell>
        </row>
        <row r="19">
          <cell r="A19" t="str">
            <v xml:space="preserve">                Sub Total ( 3월 )</v>
          </cell>
          <cell r="F19">
            <v>27440</v>
          </cell>
          <cell r="G19">
            <v>5452</v>
          </cell>
          <cell r="H19">
            <v>427.89</v>
          </cell>
          <cell r="I19">
            <v>2332856.2799999998</v>
          </cell>
          <cell r="J19">
            <v>0</v>
          </cell>
          <cell r="K19">
            <v>0</v>
          </cell>
          <cell r="L19">
            <v>0</v>
          </cell>
          <cell r="M19">
            <v>-2332856.2799999998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-2332856.2799999998</v>
          </cell>
        </row>
        <row r="24">
          <cell r="A24" t="str">
            <v xml:space="preserve">                Sub Total ( 4월 )</v>
          </cell>
          <cell r="F24">
            <v>21952</v>
          </cell>
          <cell r="G24">
            <v>4397</v>
          </cell>
          <cell r="H24">
            <v>427.89</v>
          </cell>
          <cell r="I24">
            <v>1881432.3299999998</v>
          </cell>
          <cell r="J24">
            <v>0</v>
          </cell>
          <cell r="K24">
            <v>0</v>
          </cell>
          <cell r="L24">
            <v>0</v>
          </cell>
          <cell r="M24">
            <v>-1881432.3299999998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-1881432.3299999998</v>
          </cell>
        </row>
        <row r="29">
          <cell r="A29" t="str">
            <v xml:space="preserve">                Sub Total ( 5월 )</v>
          </cell>
          <cell r="F29">
            <v>21952</v>
          </cell>
          <cell r="G29">
            <v>4338</v>
          </cell>
          <cell r="H29">
            <v>427.89</v>
          </cell>
          <cell r="I29">
            <v>1856186.8199999998</v>
          </cell>
          <cell r="J29">
            <v>0</v>
          </cell>
          <cell r="K29">
            <v>0</v>
          </cell>
          <cell r="L29">
            <v>0</v>
          </cell>
          <cell r="M29">
            <v>-1856186.8199999998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-1856186.8199999998</v>
          </cell>
        </row>
        <row r="35">
          <cell r="A35" t="str">
            <v xml:space="preserve">                Sub Total ( 6월 )</v>
          </cell>
          <cell r="F35">
            <v>27440</v>
          </cell>
          <cell r="G35">
            <v>5511</v>
          </cell>
          <cell r="H35">
            <v>427.89</v>
          </cell>
          <cell r="I35">
            <v>2358101.79</v>
          </cell>
          <cell r="J35">
            <v>0</v>
          </cell>
          <cell r="K35">
            <v>0</v>
          </cell>
          <cell r="L35">
            <v>0</v>
          </cell>
          <cell r="M35">
            <v>-2358101.79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-2358101.79</v>
          </cell>
        </row>
        <row r="40">
          <cell r="A40" t="str">
            <v xml:space="preserve">                Sub Total ( 7월 )</v>
          </cell>
          <cell r="F40">
            <v>21952</v>
          </cell>
          <cell r="G40">
            <v>4338</v>
          </cell>
          <cell r="H40">
            <v>427.89</v>
          </cell>
          <cell r="I40">
            <v>1856186.8199999998</v>
          </cell>
          <cell r="J40">
            <v>0</v>
          </cell>
          <cell r="K40">
            <v>0</v>
          </cell>
          <cell r="L40">
            <v>0</v>
          </cell>
          <cell r="M40">
            <v>-1856186.8199999998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-1856186.8199999998</v>
          </cell>
        </row>
        <row r="46">
          <cell r="A46" t="str">
            <v xml:space="preserve">                Sub Total ( 8월 )</v>
          </cell>
          <cell r="F46">
            <v>27440</v>
          </cell>
          <cell r="G46">
            <v>5452</v>
          </cell>
          <cell r="H46">
            <v>427.89</v>
          </cell>
          <cell r="I46">
            <v>2332856.2799999998</v>
          </cell>
          <cell r="J46">
            <v>0</v>
          </cell>
          <cell r="K46">
            <v>0</v>
          </cell>
          <cell r="L46">
            <v>0</v>
          </cell>
          <cell r="M46">
            <v>-2332856.2799999998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-2332856.2799999998</v>
          </cell>
        </row>
        <row r="51">
          <cell r="A51" t="str">
            <v xml:space="preserve">                Sub Total ( 9월 )</v>
          </cell>
          <cell r="F51">
            <v>21952</v>
          </cell>
          <cell r="G51">
            <v>4338</v>
          </cell>
          <cell r="H51">
            <v>427.89</v>
          </cell>
          <cell r="I51">
            <v>1856186.8199999998</v>
          </cell>
          <cell r="J51">
            <v>0</v>
          </cell>
          <cell r="K51">
            <v>0</v>
          </cell>
          <cell r="L51">
            <v>0</v>
          </cell>
          <cell r="M51">
            <v>-1856186.8199999998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-1856186.8199999998</v>
          </cell>
        </row>
        <row r="56">
          <cell r="A56" t="str">
            <v xml:space="preserve">                Sub Total ( 10월 )</v>
          </cell>
          <cell r="F56">
            <v>21952</v>
          </cell>
          <cell r="G56">
            <v>4397</v>
          </cell>
          <cell r="H56">
            <v>427.89</v>
          </cell>
          <cell r="I56">
            <v>1881432.3299999998</v>
          </cell>
          <cell r="J56">
            <v>0</v>
          </cell>
          <cell r="K56">
            <v>0</v>
          </cell>
          <cell r="L56">
            <v>0</v>
          </cell>
          <cell r="M56">
            <v>-1881432.3299999998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-1881432.3299999998</v>
          </cell>
        </row>
        <row r="62">
          <cell r="A62" t="str">
            <v xml:space="preserve">                Sub Total ( 11월 )</v>
          </cell>
          <cell r="F62">
            <v>27440</v>
          </cell>
          <cell r="G62">
            <v>5452</v>
          </cell>
          <cell r="H62">
            <v>427.89</v>
          </cell>
          <cell r="I62">
            <v>2332856.2799999998</v>
          </cell>
          <cell r="J62">
            <v>0</v>
          </cell>
          <cell r="K62">
            <v>0</v>
          </cell>
          <cell r="L62">
            <v>0</v>
          </cell>
          <cell r="M62">
            <v>-2332856.2799999998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-2332856.2799999998</v>
          </cell>
        </row>
        <row r="67">
          <cell r="A67" t="str">
            <v xml:space="preserve">                Sub Total ( 12월 )</v>
          </cell>
          <cell r="F67">
            <v>21952</v>
          </cell>
          <cell r="G67">
            <v>4397</v>
          </cell>
          <cell r="H67">
            <v>427.89</v>
          </cell>
          <cell r="I67">
            <v>1881432.3299999998</v>
          </cell>
          <cell r="J67">
            <v>0</v>
          </cell>
          <cell r="K67">
            <v>0</v>
          </cell>
          <cell r="L67">
            <v>0</v>
          </cell>
          <cell r="M67">
            <v>-1881432.3299999998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-1881432.3299999998</v>
          </cell>
        </row>
      </sheetData>
      <sheetData sheetId="343">
        <row r="8">
          <cell r="A8" t="str">
            <v xml:space="preserve">                Sub Total ( 1월 )</v>
          </cell>
          <cell r="F8">
            <v>21200</v>
          </cell>
          <cell r="G8">
            <v>4797</v>
          </cell>
          <cell r="H8">
            <v>395.88</v>
          </cell>
          <cell r="I8">
            <v>1899036.36</v>
          </cell>
          <cell r="J8">
            <v>0</v>
          </cell>
          <cell r="K8">
            <v>0</v>
          </cell>
          <cell r="L8">
            <v>0</v>
          </cell>
          <cell r="M8">
            <v>-1899036.36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-1899036.36</v>
          </cell>
        </row>
        <row r="13">
          <cell r="A13" t="str">
            <v xml:space="preserve">                Sub Total ( 2월 )</v>
          </cell>
          <cell r="F13">
            <v>21200</v>
          </cell>
          <cell r="G13">
            <v>4643</v>
          </cell>
          <cell r="H13">
            <v>395.88</v>
          </cell>
          <cell r="I13">
            <v>1838070.84</v>
          </cell>
          <cell r="J13">
            <v>0</v>
          </cell>
          <cell r="K13">
            <v>0</v>
          </cell>
          <cell r="L13">
            <v>0</v>
          </cell>
          <cell r="M13">
            <v>-1838070.84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-1838070.84</v>
          </cell>
        </row>
        <row r="19">
          <cell r="A19" t="str">
            <v xml:space="preserve">                Sub Total ( 3월 )</v>
          </cell>
          <cell r="F19">
            <v>26500</v>
          </cell>
          <cell r="G19">
            <v>5922</v>
          </cell>
          <cell r="H19">
            <v>395.88</v>
          </cell>
          <cell r="I19">
            <v>2344401.3600000003</v>
          </cell>
          <cell r="J19">
            <v>0</v>
          </cell>
          <cell r="K19">
            <v>0</v>
          </cell>
          <cell r="L19">
            <v>0</v>
          </cell>
          <cell r="M19">
            <v>-2344401.3600000003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-2344401.3600000003</v>
          </cell>
        </row>
        <row r="24">
          <cell r="A24" t="str">
            <v xml:space="preserve">                Sub Total ( 4월 )</v>
          </cell>
          <cell r="F24">
            <v>21200</v>
          </cell>
          <cell r="G24">
            <v>4709</v>
          </cell>
          <cell r="H24">
            <v>395.88</v>
          </cell>
          <cell r="I24">
            <v>1864198.9200000002</v>
          </cell>
          <cell r="J24">
            <v>0</v>
          </cell>
          <cell r="K24">
            <v>0</v>
          </cell>
          <cell r="L24">
            <v>0</v>
          </cell>
          <cell r="M24">
            <v>-1864198.9200000002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-1864198.9200000002</v>
          </cell>
        </row>
        <row r="29">
          <cell r="A29" t="str">
            <v xml:space="preserve">                Sub Total ( 5월 )</v>
          </cell>
          <cell r="F29">
            <v>21200</v>
          </cell>
          <cell r="G29">
            <v>4731</v>
          </cell>
          <cell r="H29">
            <v>395.88</v>
          </cell>
          <cell r="I29">
            <v>1872908.28</v>
          </cell>
          <cell r="J29">
            <v>0</v>
          </cell>
          <cell r="K29">
            <v>0</v>
          </cell>
          <cell r="L29">
            <v>0</v>
          </cell>
          <cell r="M29">
            <v>-1872908.28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-1872908.28</v>
          </cell>
        </row>
        <row r="35">
          <cell r="A35" t="str">
            <v xml:space="preserve">                Sub Total ( 6월 )</v>
          </cell>
          <cell r="F35">
            <v>26500</v>
          </cell>
          <cell r="G35">
            <v>5911</v>
          </cell>
          <cell r="H35">
            <v>395.88</v>
          </cell>
          <cell r="I35">
            <v>2340046.6800000002</v>
          </cell>
          <cell r="J35">
            <v>0</v>
          </cell>
          <cell r="K35">
            <v>0</v>
          </cell>
          <cell r="L35">
            <v>0</v>
          </cell>
          <cell r="M35">
            <v>-2340046.6800000002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-2340046.6800000002</v>
          </cell>
        </row>
        <row r="40">
          <cell r="A40" t="str">
            <v xml:space="preserve">                Sub Total ( 7월 )</v>
          </cell>
          <cell r="F40">
            <v>21200</v>
          </cell>
          <cell r="G40">
            <v>4654</v>
          </cell>
          <cell r="H40">
            <v>395.88</v>
          </cell>
          <cell r="I40">
            <v>1842425.52</v>
          </cell>
          <cell r="J40">
            <v>0</v>
          </cell>
          <cell r="K40">
            <v>0</v>
          </cell>
          <cell r="L40">
            <v>0</v>
          </cell>
          <cell r="M40">
            <v>-1842425.52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-1842425.52</v>
          </cell>
        </row>
        <row r="46">
          <cell r="A46" t="str">
            <v xml:space="preserve">                Sub Total ( 8월 )</v>
          </cell>
          <cell r="F46">
            <v>26500</v>
          </cell>
          <cell r="G46">
            <v>5988</v>
          </cell>
          <cell r="H46">
            <v>395.88</v>
          </cell>
          <cell r="I46">
            <v>2370529.4400000004</v>
          </cell>
          <cell r="J46">
            <v>0</v>
          </cell>
          <cell r="K46">
            <v>0</v>
          </cell>
          <cell r="L46">
            <v>0</v>
          </cell>
          <cell r="M46">
            <v>-2370529.4400000004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-2370529.4400000004</v>
          </cell>
        </row>
        <row r="51">
          <cell r="A51" t="str">
            <v xml:space="preserve">                Sub Total ( 9월 )</v>
          </cell>
          <cell r="F51">
            <v>21200</v>
          </cell>
          <cell r="G51">
            <v>4654</v>
          </cell>
          <cell r="H51">
            <v>395.88</v>
          </cell>
          <cell r="I51">
            <v>1842425.52</v>
          </cell>
          <cell r="J51">
            <v>0</v>
          </cell>
          <cell r="K51">
            <v>0</v>
          </cell>
          <cell r="L51">
            <v>0</v>
          </cell>
          <cell r="M51">
            <v>-1842425.52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-1842425.52</v>
          </cell>
        </row>
        <row r="56">
          <cell r="A56" t="str">
            <v xml:space="preserve">                Sub Total ( 10월 )</v>
          </cell>
          <cell r="F56">
            <v>21200</v>
          </cell>
          <cell r="G56">
            <v>4786</v>
          </cell>
          <cell r="H56">
            <v>395.88</v>
          </cell>
          <cell r="I56">
            <v>1894681.68</v>
          </cell>
          <cell r="J56">
            <v>0</v>
          </cell>
          <cell r="K56">
            <v>0</v>
          </cell>
          <cell r="L56">
            <v>0</v>
          </cell>
          <cell r="M56">
            <v>-1894681.68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-1894681.68</v>
          </cell>
        </row>
        <row r="62">
          <cell r="A62" t="str">
            <v xml:space="preserve">                Sub Total ( 11월 )</v>
          </cell>
          <cell r="F62">
            <v>26500</v>
          </cell>
          <cell r="G62">
            <v>5845</v>
          </cell>
          <cell r="H62">
            <v>395.88</v>
          </cell>
          <cell r="I62">
            <v>2313918.6</v>
          </cell>
          <cell r="J62">
            <v>0</v>
          </cell>
          <cell r="K62">
            <v>0</v>
          </cell>
          <cell r="L62">
            <v>0</v>
          </cell>
          <cell r="M62">
            <v>-2313918.6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-2313918.6</v>
          </cell>
        </row>
        <row r="67">
          <cell r="A67" t="str">
            <v xml:space="preserve">                Sub Total ( 12월 )</v>
          </cell>
          <cell r="F67">
            <v>21200</v>
          </cell>
          <cell r="G67">
            <v>4797</v>
          </cell>
          <cell r="H67">
            <v>395.88</v>
          </cell>
          <cell r="I67">
            <v>1899036.36</v>
          </cell>
          <cell r="J67">
            <v>0</v>
          </cell>
          <cell r="K67">
            <v>0</v>
          </cell>
          <cell r="L67">
            <v>0</v>
          </cell>
          <cell r="M67">
            <v>-1899036.36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-1899036.36</v>
          </cell>
        </row>
      </sheetData>
      <sheetData sheetId="344">
        <row r="8">
          <cell r="A8" t="str">
            <v xml:space="preserve">                Sub Total ( 1월 )</v>
          </cell>
          <cell r="F8">
            <v>21200</v>
          </cell>
          <cell r="G8">
            <v>4709</v>
          </cell>
          <cell r="H8">
            <v>395.88</v>
          </cell>
          <cell r="I8">
            <v>1864198.9200000002</v>
          </cell>
          <cell r="J8">
            <v>0</v>
          </cell>
          <cell r="K8">
            <v>0</v>
          </cell>
          <cell r="L8">
            <v>0</v>
          </cell>
          <cell r="M8">
            <v>-1864198.9200000002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-1864198.9200000002</v>
          </cell>
        </row>
        <row r="13">
          <cell r="A13" t="str">
            <v xml:space="preserve">                Sub Total ( 2월 )</v>
          </cell>
          <cell r="F13">
            <v>21200</v>
          </cell>
          <cell r="G13">
            <v>4731</v>
          </cell>
          <cell r="H13">
            <v>395.88</v>
          </cell>
          <cell r="I13">
            <v>1872908.28</v>
          </cell>
          <cell r="J13">
            <v>0</v>
          </cell>
          <cell r="K13">
            <v>0</v>
          </cell>
          <cell r="L13">
            <v>0</v>
          </cell>
          <cell r="M13">
            <v>-1872908.28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-1872908.28</v>
          </cell>
        </row>
        <row r="19">
          <cell r="A19" t="str">
            <v xml:space="preserve">                Sub Total ( 3월 )</v>
          </cell>
          <cell r="F19">
            <v>26500</v>
          </cell>
          <cell r="G19">
            <v>5911</v>
          </cell>
          <cell r="H19">
            <v>395.88</v>
          </cell>
          <cell r="I19">
            <v>2340046.6800000002</v>
          </cell>
          <cell r="J19">
            <v>0</v>
          </cell>
          <cell r="K19">
            <v>0</v>
          </cell>
          <cell r="L19">
            <v>0</v>
          </cell>
          <cell r="M19">
            <v>-2340046.6800000002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-2340046.6800000002</v>
          </cell>
        </row>
        <row r="24">
          <cell r="A24" t="str">
            <v xml:space="preserve">                Sub Total ( 4월 )</v>
          </cell>
          <cell r="F24">
            <v>21200</v>
          </cell>
          <cell r="G24">
            <v>4654</v>
          </cell>
          <cell r="H24">
            <v>395.88</v>
          </cell>
          <cell r="I24">
            <v>1842425.52</v>
          </cell>
          <cell r="J24">
            <v>0</v>
          </cell>
          <cell r="K24">
            <v>0</v>
          </cell>
          <cell r="L24">
            <v>0</v>
          </cell>
          <cell r="M24">
            <v>-1842425.52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-1842425.52</v>
          </cell>
        </row>
        <row r="29">
          <cell r="A29" t="str">
            <v xml:space="preserve">                Sub Total ( 5월 )</v>
          </cell>
          <cell r="F29">
            <v>21200</v>
          </cell>
          <cell r="G29">
            <v>4786</v>
          </cell>
          <cell r="H29">
            <v>395.88</v>
          </cell>
          <cell r="I29">
            <v>1894681.6800000002</v>
          </cell>
          <cell r="J29">
            <v>0</v>
          </cell>
          <cell r="K29">
            <v>0</v>
          </cell>
          <cell r="L29">
            <v>0</v>
          </cell>
          <cell r="M29">
            <v>-1894681.6800000002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-1894681.6800000002</v>
          </cell>
        </row>
        <row r="35">
          <cell r="A35" t="str">
            <v xml:space="preserve">                Sub Total ( 6월 )</v>
          </cell>
          <cell r="F35">
            <v>26500</v>
          </cell>
          <cell r="G35">
            <v>5856</v>
          </cell>
          <cell r="H35">
            <v>395.88</v>
          </cell>
          <cell r="I35">
            <v>2318273.2800000003</v>
          </cell>
          <cell r="J35">
            <v>0</v>
          </cell>
          <cell r="K35">
            <v>0</v>
          </cell>
          <cell r="L35">
            <v>0</v>
          </cell>
          <cell r="M35">
            <v>-2318273.2800000003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-2318273.2800000003</v>
          </cell>
        </row>
        <row r="40">
          <cell r="A40" t="str">
            <v xml:space="preserve">                Sub Total ( 7월 )</v>
          </cell>
          <cell r="F40">
            <v>21200</v>
          </cell>
          <cell r="G40">
            <v>4786</v>
          </cell>
          <cell r="H40">
            <v>395.88</v>
          </cell>
          <cell r="I40">
            <v>1894681.68</v>
          </cell>
          <cell r="J40">
            <v>0</v>
          </cell>
          <cell r="K40">
            <v>0</v>
          </cell>
          <cell r="L40">
            <v>0</v>
          </cell>
          <cell r="M40">
            <v>-1894681.68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-1894681.68</v>
          </cell>
        </row>
        <row r="46">
          <cell r="A46" t="str">
            <v xml:space="preserve">                Sub Total ( 8월 )</v>
          </cell>
          <cell r="F46">
            <v>26500</v>
          </cell>
          <cell r="G46">
            <v>5845</v>
          </cell>
          <cell r="H46">
            <v>395.88</v>
          </cell>
          <cell r="I46">
            <v>2313918.6</v>
          </cell>
          <cell r="J46">
            <v>0</v>
          </cell>
          <cell r="K46">
            <v>0</v>
          </cell>
          <cell r="L46">
            <v>0</v>
          </cell>
          <cell r="M46">
            <v>-2313918.6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-2313918.6</v>
          </cell>
        </row>
        <row r="51">
          <cell r="A51" t="str">
            <v xml:space="preserve">                Sub Total ( 9월 )</v>
          </cell>
          <cell r="F51">
            <v>21200</v>
          </cell>
          <cell r="G51">
            <v>4797</v>
          </cell>
          <cell r="H51">
            <v>395.88</v>
          </cell>
          <cell r="I51">
            <v>1899036.36</v>
          </cell>
          <cell r="J51">
            <v>0</v>
          </cell>
          <cell r="K51">
            <v>0</v>
          </cell>
          <cell r="L51">
            <v>0</v>
          </cell>
          <cell r="M51">
            <v>-1899036.36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-1899036.36</v>
          </cell>
        </row>
        <row r="56">
          <cell r="A56" t="str">
            <v xml:space="preserve">                Sub Total ( 10월 )</v>
          </cell>
          <cell r="F56">
            <v>21200</v>
          </cell>
          <cell r="G56">
            <v>4643</v>
          </cell>
          <cell r="H56">
            <v>395.88</v>
          </cell>
          <cell r="I56">
            <v>1838070.84</v>
          </cell>
          <cell r="J56">
            <v>0</v>
          </cell>
          <cell r="K56">
            <v>0</v>
          </cell>
          <cell r="L56">
            <v>0</v>
          </cell>
          <cell r="M56">
            <v>-1838070.84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-1838070.84</v>
          </cell>
        </row>
        <row r="62">
          <cell r="A62" t="str">
            <v xml:space="preserve">                Sub Total ( 11월 )</v>
          </cell>
          <cell r="F62">
            <v>26500</v>
          </cell>
          <cell r="G62">
            <v>5922</v>
          </cell>
          <cell r="H62">
            <v>395.88</v>
          </cell>
          <cell r="I62">
            <v>2344401.3600000003</v>
          </cell>
          <cell r="J62">
            <v>0</v>
          </cell>
          <cell r="K62">
            <v>0</v>
          </cell>
          <cell r="L62">
            <v>0</v>
          </cell>
          <cell r="M62">
            <v>-2344401.3600000003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-2344401.3600000003</v>
          </cell>
        </row>
        <row r="67">
          <cell r="A67" t="str">
            <v xml:space="preserve">                Sub Total ( 12월 )</v>
          </cell>
          <cell r="F67">
            <v>21200</v>
          </cell>
          <cell r="G67">
            <v>4709</v>
          </cell>
          <cell r="H67">
            <v>395.88</v>
          </cell>
          <cell r="I67">
            <v>1864198.9200000002</v>
          </cell>
          <cell r="J67">
            <v>0</v>
          </cell>
          <cell r="K67">
            <v>0</v>
          </cell>
          <cell r="L67">
            <v>0</v>
          </cell>
          <cell r="M67">
            <v>-1864198.9200000002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-1864198.9200000002</v>
          </cell>
        </row>
      </sheetData>
      <sheetData sheetId="345">
        <row r="8">
          <cell r="A8" t="str">
            <v xml:space="preserve">                Sub Total ( 1월 )</v>
          </cell>
          <cell r="F8">
            <v>12800</v>
          </cell>
          <cell r="G8">
            <v>1388</v>
          </cell>
          <cell r="H8">
            <v>175.02</v>
          </cell>
          <cell r="I8">
            <v>242927.76</v>
          </cell>
          <cell r="J8">
            <v>0</v>
          </cell>
          <cell r="K8">
            <v>0</v>
          </cell>
          <cell r="L8">
            <v>0</v>
          </cell>
          <cell r="M8">
            <v>-242927.76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-242927.76</v>
          </cell>
        </row>
        <row r="13">
          <cell r="A13" t="str">
            <v xml:space="preserve">                Sub Total ( 2월 )</v>
          </cell>
          <cell r="F13">
            <v>12530</v>
          </cell>
          <cell r="G13">
            <v>1346</v>
          </cell>
          <cell r="H13">
            <v>175.02</v>
          </cell>
          <cell r="I13">
            <v>235576.92</v>
          </cell>
          <cell r="J13">
            <v>0</v>
          </cell>
          <cell r="K13">
            <v>0</v>
          </cell>
          <cell r="L13">
            <v>0</v>
          </cell>
          <cell r="M13">
            <v>-235576.92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-235576.92</v>
          </cell>
        </row>
        <row r="19">
          <cell r="A19" t="str">
            <v xml:space="preserve">                Sub Total ( 3월 )</v>
          </cell>
          <cell r="F19">
            <v>16300</v>
          </cell>
          <cell r="G19">
            <v>1782</v>
          </cell>
          <cell r="H19">
            <v>175.02</v>
          </cell>
          <cell r="I19">
            <v>311885.64</v>
          </cell>
          <cell r="J19">
            <v>0</v>
          </cell>
          <cell r="K19">
            <v>0</v>
          </cell>
          <cell r="L19">
            <v>0</v>
          </cell>
          <cell r="M19">
            <v>-311885.64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-311885.64</v>
          </cell>
        </row>
        <row r="24">
          <cell r="A24" t="str">
            <v xml:space="preserve">                Sub Total ( 4월 )</v>
          </cell>
          <cell r="F24">
            <v>12530</v>
          </cell>
          <cell r="G24">
            <v>1346</v>
          </cell>
          <cell r="H24">
            <v>175.02</v>
          </cell>
          <cell r="I24">
            <v>235576.92</v>
          </cell>
          <cell r="J24">
            <v>0</v>
          </cell>
          <cell r="K24">
            <v>0</v>
          </cell>
          <cell r="L24">
            <v>0</v>
          </cell>
          <cell r="M24">
            <v>-235576.92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-235576.92</v>
          </cell>
        </row>
        <row r="29">
          <cell r="A29" t="str">
            <v xml:space="preserve">                Sub Total ( 5월 )</v>
          </cell>
          <cell r="F29">
            <v>12800</v>
          </cell>
          <cell r="G29">
            <v>1388</v>
          </cell>
          <cell r="H29">
            <v>175.02</v>
          </cell>
          <cell r="I29">
            <v>242927.76</v>
          </cell>
          <cell r="J29">
            <v>0</v>
          </cell>
          <cell r="K29">
            <v>0</v>
          </cell>
          <cell r="L29">
            <v>0</v>
          </cell>
          <cell r="M29">
            <v>-242927.76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-242927.76</v>
          </cell>
        </row>
        <row r="35">
          <cell r="A35" t="str">
            <v xml:space="preserve">                Sub Total ( 6월 )</v>
          </cell>
          <cell r="F35">
            <v>16300</v>
          </cell>
          <cell r="G35">
            <v>1782</v>
          </cell>
          <cell r="H35">
            <v>175.02</v>
          </cell>
          <cell r="I35">
            <v>311885.64</v>
          </cell>
          <cell r="J35">
            <v>0</v>
          </cell>
          <cell r="K35">
            <v>0</v>
          </cell>
          <cell r="L35">
            <v>0</v>
          </cell>
          <cell r="M35">
            <v>-311885.64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-311885.64</v>
          </cell>
        </row>
        <row r="40">
          <cell r="A40" t="str">
            <v xml:space="preserve">                Sub Total ( 7월 )</v>
          </cell>
          <cell r="F40">
            <v>12530</v>
          </cell>
          <cell r="G40">
            <v>1346</v>
          </cell>
          <cell r="H40">
            <v>175.02</v>
          </cell>
          <cell r="I40">
            <v>235576.92</v>
          </cell>
          <cell r="J40">
            <v>0</v>
          </cell>
          <cell r="K40">
            <v>0</v>
          </cell>
          <cell r="L40">
            <v>0</v>
          </cell>
          <cell r="M40">
            <v>-235576.92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-235576.92</v>
          </cell>
        </row>
        <row r="46">
          <cell r="A46" t="str">
            <v xml:space="preserve">                Sub Total ( 8월 )</v>
          </cell>
          <cell r="F46">
            <v>16300</v>
          </cell>
          <cell r="G46">
            <v>1782</v>
          </cell>
          <cell r="H46">
            <v>175.02</v>
          </cell>
          <cell r="I46">
            <v>311885.64</v>
          </cell>
          <cell r="J46">
            <v>0</v>
          </cell>
          <cell r="K46">
            <v>0</v>
          </cell>
          <cell r="L46">
            <v>0</v>
          </cell>
          <cell r="M46">
            <v>-311885.64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-311885.64</v>
          </cell>
        </row>
        <row r="51">
          <cell r="A51" t="str">
            <v xml:space="preserve">                Sub Total ( 9월 )</v>
          </cell>
          <cell r="F51">
            <v>12800</v>
          </cell>
          <cell r="G51">
            <v>1388</v>
          </cell>
          <cell r="H51">
            <v>175.02</v>
          </cell>
          <cell r="I51">
            <v>242927.76</v>
          </cell>
          <cell r="J51">
            <v>0</v>
          </cell>
          <cell r="K51">
            <v>0</v>
          </cell>
          <cell r="L51">
            <v>0</v>
          </cell>
          <cell r="M51">
            <v>-242927.76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-242927.76</v>
          </cell>
        </row>
        <row r="56">
          <cell r="A56" t="str">
            <v xml:space="preserve">                Sub Total ( 10월 )</v>
          </cell>
          <cell r="F56">
            <v>12530</v>
          </cell>
          <cell r="G56">
            <v>1346</v>
          </cell>
          <cell r="H56">
            <v>175.02</v>
          </cell>
          <cell r="I56">
            <v>235576.92</v>
          </cell>
          <cell r="J56">
            <v>0</v>
          </cell>
          <cell r="K56">
            <v>0</v>
          </cell>
          <cell r="L56">
            <v>0</v>
          </cell>
          <cell r="M56">
            <v>-235576.92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-235576.92</v>
          </cell>
        </row>
        <row r="62">
          <cell r="A62" t="str">
            <v xml:space="preserve">                Sub Total ( 11월 )</v>
          </cell>
          <cell r="F62">
            <v>16300</v>
          </cell>
          <cell r="G62">
            <v>1782</v>
          </cell>
          <cell r="H62">
            <v>175.02</v>
          </cell>
          <cell r="I62">
            <v>311885.64</v>
          </cell>
          <cell r="J62">
            <v>0</v>
          </cell>
          <cell r="K62">
            <v>0</v>
          </cell>
          <cell r="L62">
            <v>0</v>
          </cell>
          <cell r="M62">
            <v>-311885.64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-311885.64</v>
          </cell>
        </row>
        <row r="67">
          <cell r="A67" t="str">
            <v xml:space="preserve">                Sub Total ( 12월 )</v>
          </cell>
          <cell r="F67">
            <v>12800</v>
          </cell>
          <cell r="G67">
            <v>1388</v>
          </cell>
          <cell r="H67">
            <v>175.02</v>
          </cell>
          <cell r="I67">
            <v>242927.76</v>
          </cell>
          <cell r="J67">
            <v>0</v>
          </cell>
          <cell r="K67">
            <v>0</v>
          </cell>
          <cell r="L67">
            <v>0</v>
          </cell>
          <cell r="M67">
            <v>-242927.76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-242927.76</v>
          </cell>
        </row>
      </sheetData>
      <sheetData sheetId="346">
        <row r="8">
          <cell r="A8" t="str">
            <v xml:space="preserve">                Sub Total ( 1월 )</v>
          </cell>
          <cell r="F8">
            <v>12800</v>
          </cell>
          <cell r="G8">
            <v>1346</v>
          </cell>
          <cell r="H8">
            <v>175.02</v>
          </cell>
          <cell r="I8">
            <v>235576.92</v>
          </cell>
          <cell r="J8">
            <v>0</v>
          </cell>
          <cell r="K8">
            <v>0</v>
          </cell>
          <cell r="L8">
            <v>0</v>
          </cell>
          <cell r="M8">
            <v>-235576.92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-235576.92</v>
          </cell>
        </row>
        <row r="13">
          <cell r="A13" t="str">
            <v xml:space="preserve">                Sub Total ( 2월 )</v>
          </cell>
          <cell r="F13">
            <v>12800</v>
          </cell>
          <cell r="G13">
            <v>1388</v>
          </cell>
          <cell r="H13">
            <v>175.02</v>
          </cell>
          <cell r="I13">
            <v>242927.76</v>
          </cell>
          <cell r="J13">
            <v>0</v>
          </cell>
          <cell r="K13">
            <v>0</v>
          </cell>
          <cell r="L13">
            <v>0</v>
          </cell>
          <cell r="M13">
            <v>-242927.76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-242927.76</v>
          </cell>
        </row>
        <row r="19">
          <cell r="A19" t="str">
            <v xml:space="preserve">                Sub Total ( 3월 )</v>
          </cell>
          <cell r="F19">
            <v>16000</v>
          </cell>
          <cell r="G19">
            <v>1735</v>
          </cell>
          <cell r="H19">
            <v>175.02</v>
          </cell>
          <cell r="I19">
            <v>303659.7</v>
          </cell>
          <cell r="J19">
            <v>0</v>
          </cell>
          <cell r="K19">
            <v>0</v>
          </cell>
          <cell r="L19">
            <v>0</v>
          </cell>
          <cell r="M19">
            <v>-303659.7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-303659.7</v>
          </cell>
        </row>
        <row r="24">
          <cell r="A24" t="str">
            <v xml:space="preserve">                Sub Total ( 4월 )</v>
          </cell>
          <cell r="F24">
            <v>12800</v>
          </cell>
          <cell r="G24">
            <v>1346</v>
          </cell>
          <cell r="H24">
            <v>175.02</v>
          </cell>
          <cell r="I24">
            <v>235576.92</v>
          </cell>
          <cell r="J24">
            <v>0</v>
          </cell>
          <cell r="K24">
            <v>0</v>
          </cell>
          <cell r="L24">
            <v>0</v>
          </cell>
          <cell r="M24">
            <v>-235576.92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-235576.92</v>
          </cell>
        </row>
        <row r="29">
          <cell r="A29" t="str">
            <v xml:space="preserve">                Sub Total ( 5월 )</v>
          </cell>
          <cell r="F29">
            <v>12800</v>
          </cell>
          <cell r="G29">
            <v>1388</v>
          </cell>
          <cell r="H29">
            <v>175.02</v>
          </cell>
          <cell r="I29">
            <v>242927.76</v>
          </cell>
          <cell r="J29">
            <v>0</v>
          </cell>
          <cell r="K29">
            <v>0</v>
          </cell>
          <cell r="L29">
            <v>0</v>
          </cell>
          <cell r="M29">
            <v>-242927.76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-242927.76</v>
          </cell>
        </row>
        <row r="35">
          <cell r="A35" t="str">
            <v xml:space="preserve">                Sub Total ( 6월 )</v>
          </cell>
          <cell r="F35">
            <v>16000</v>
          </cell>
          <cell r="G35">
            <v>1735</v>
          </cell>
          <cell r="H35">
            <v>175.02</v>
          </cell>
          <cell r="I35">
            <v>303659.7</v>
          </cell>
          <cell r="J35">
            <v>0</v>
          </cell>
          <cell r="K35">
            <v>0</v>
          </cell>
          <cell r="L35">
            <v>0</v>
          </cell>
          <cell r="M35">
            <v>-303659.7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-303659.7</v>
          </cell>
        </row>
        <row r="40">
          <cell r="A40" t="str">
            <v xml:space="preserve">                Sub Total ( 7월 )</v>
          </cell>
          <cell r="F40">
            <v>12800</v>
          </cell>
          <cell r="G40">
            <v>1346</v>
          </cell>
          <cell r="H40">
            <v>175.02</v>
          </cell>
          <cell r="I40">
            <v>235576.92</v>
          </cell>
          <cell r="J40">
            <v>0</v>
          </cell>
          <cell r="K40">
            <v>0</v>
          </cell>
          <cell r="L40">
            <v>0</v>
          </cell>
          <cell r="M40">
            <v>-235576.92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-235576.92</v>
          </cell>
        </row>
        <row r="46">
          <cell r="A46" t="str">
            <v xml:space="preserve">                Sub Total ( 8월 )</v>
          </cell>
          <cell r="F46">
            <v>16000</v>
          </cell>
          <cell r="G46">
            <v>1735</v>
          </cell>
          <cell r="H46">
            <v>175.02</v>
          </cell>
          <cell r="I46">
            <v>303659.7</v>
          </cell>
          <cell r="J46">
            <v>0</v>
          </cell>
          <cell r="K46">
            <v>0</v>
          </cell>
          <cell r="L46">
            <v>0</v>
          </cell>
          <cell r="M46">
            <v>-303659.7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-303659.7</v>
          </cell>
        </row>
        <row r="51">
          <cell r="A51" t="str">
            <v xml:space="preserve">                Sub Total ( 9월 )</v>
          </cell>
          <cell r="F51">
            <v>12800</v>
          </cell>
          <cell r="G51">
            <v>1388</v>
          </cell>
          <cell r="H51">
            <v>175.02</v>
          </cell>
          <cell r="I51">
            <v>242927.76</v>
          </cell>
          <cell r="J51">
            <v>0</v>
          </cell>
          <cell r="K51">
            <v>0</v>
          </cell>
          <cell r="L51">
            <v>0</v>
          </cell>
          <cell r="M51">
            <v>-242927.76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-242927.76</v>
          </cell>
        </row>
        <row r="56">
          <cell r="A56" t="str">
            <v xml:space="preserve">                Sub Total ( 10월 )</v>
          </cell>
          <cell r="F56">
            <v>12800</v>
          </cell>
          <cell r="G56">
            <v>1346</v>
          </cell>
          <cell r="H56">
            <v>175.02</v>
          </cell>
          <cell r="I56">
            <v>235576.92</v>
          </cell>
          <cell r="J56">
            <v>0</v>
          </cell>
          <cell r="K56">
            <v>0</v>
          </cell>
          <cell r="L56">
            <v>0</v>
          </cell>
          <cell r="M56">
            <v>-235576.92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-235576.92</v>
          </cell>
        </row>
        <row r="62">
          <cell r="A62" t="str">
            <v xml:space="preserve">                Sub Total ( 11월 )</v>
          </cell>
          <cell r="F62">
            <v>16000</v>
          </cell>
          <cell r="G62">
            <v>1735</v>
          </cell>
          <cell r="H62">
            <v>175.02</v>
          </cell>
          <cell r="I62">
            <v>303659.7</v>
          </cell>
          <cell r="J62">
            <v>0</v>
          </cell>
          <cell r="K62">
            <v>0</v>
          </cell>
          <cell r="L62">
            <v>0</v>
          </cell>
          <cell r="M62">
            <v>-303659.7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-303659.7</v>
          </cell>
        </row>
        <row r="67">
          <cell r="A67" t="str">
            <v xml:space="preserve">                Sub Total ( 12월 )</v>
          </cell>
          <cell r="F67">
            <v>12800</v>
          </cell>
          <cell r="G67">
            <v>1346</v>
          </cell>
          <cell r="H67">
            <v>175.02</v>
          </cell>
          <cell r="I67">
            <v>235576.92</v>
          </cell>
          <cell r="J67">
            <v>0</v>
          </cell>
          <cell r="K67">
            <v>0</v>
          </cell>
          <cell r="L67">
            <v>0</v>
          </cell>
          <cell r="M67">
            <v>-235576.92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-235576.92</v>
          </cell>
        </row>
      </sheetData>
      <sheetData sheetId="347">
        <row r="8">
          <cell r="A8" t="str">
            <v xml:space="preserve">                Sub Total ( 1월 )</v>
          </cell>
          <cell r="F8">
            <v>13800</v>
          </cell>
          <cell r="G8">
            <v>592</v>
          </cell>
          <cell r="H8">
            <v>175.02</v>
          </cell>
          <cell r="I8">
            <v>103611.84000000001</v>
          </cell>
          <cell r="J8">
            <v>0</v>
          </cell>
          <cell r="K8">
            <v>0</v>
          </cell>
          <cell r="L8">
            <v>0</v>
          </cell>
          <cell r="M8">
            <v>-103611.84000000001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-103611.84000000001</v>
          </cell>
        </row>
        <row r="13">
          <cell r="A13" t="str">
            <v xml:space="preserve">                Sub Total ( 2월 )</v>
          </cell>
          <cell r="F13">
            <v>14300</v>
          </cell>
          <cell r="G13">
            <v>614</v>
          </cell>
          <cell r="H13">
            <v>175.02</v>
          </cell>
          <cell r="I13">
            <v>107462.28</v>
          </cell>
          <cell r="J13">
            <v>0</v>
          </cell>
          <cell r="K13">
            <v>0</v>
          </cell>
          <cell r="L13">
            <v>0</v>
          </cell>
          <cell r="M13">
            <v>-107462.28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-107462.28</v>
          </cell>
        </row>
        <row r="19">
          <cell r="A19" t="str">
            <v xml:space="preserve">                Sub Total ( 3월 )</v>
          </cell>
          <cell r="F19">
            <v>17500</v>
          </cell>
          <cell r="G19">
            <v>751</v>
          </cell>
          <cell r="H19">
            <v>175.02</v>
          </cell>
          <cell r="I19">
            <v>131440.01999999999</v>
          </cell>
          <cell r="J19">
            <v>0</v>
          </cell>
          <cell r="K19">
            <v>0</v>
          </cell>
          <cell r="L19">
            <v>0</v>
          </cell>
          <cell r="M19">
            <v>-131440.01999999999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-131440.01999999999</v>
          </cell>
        </row>
        <row r="24">
          <cell r="A24" t="str">
            <v xml:space="preserve">                Sub Total ( 4월 )</v>
          </cell>
          <cell r="F24">
            <v>13800</v>
          </cell>
          <cell r="G24">
            <v>592</v>
          </cell>
          <cell r="H24">
            <v>175.02</v>
          </cell>
          <cell r="I24">
            <v>103611.84</v>
          </cell>
          <cell r="J24">
            <v>0</v>
          </cell>
          <cell r="K24">
            <v>0</v>
          </cell>
          <cell r="L24">
            <v>0</v>
          </cell>
          <cell r="M24">
            <v>-103611.84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-103611.84</v>
          </cell>
        </row>
        <row r="29">
          <cell r="A29" t="str">
            <v xml:space="preserve">                Sub Total ( 5월 )</v>
          </cell>
          <cell r="F29">
            <v>13800</v>
          </cell>
          <cell r="G29">
            <v>592</v>
          </cell>
          <cell r="H29">
            <v>175.02</v>
          </cell>
          <cell r="I29">
            <v>103611.84000000001</v>
          </cell>
          <cell r="J29">
            <v>0</v>
          </cell>
          <cell r="K29">
            <v>0</v>
          </cell>
          <cell r="L29">
            <v>0</v>
          </cell>
          <cell r="M29">
            <v>-103611.84000000001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-103611.84000000001</v>
          </cell>
        </row>
        <row r="35">
          <cell r="A35" t="str">
            <v xml:space="preserve">                Sub Total ( 6월 )</v>
          </cell>
          <cell r="F35">
            <v>17500</v>
          </cell>
          <cell r="G35">
            <v>751</v>
          </cell>
          <cell r="H35">
            <v>175.02</v>
          </cell>
          <cell r="I35">
            <v>131440.01999999999</v>
          </cell>
          <cell r="J35">
            <v>0</v>
          </cell>
          <cell r="K35">
            <v>0</v>
          </cell>
          <cell r="L35">
            <v>0</v>
          </cell>
          <cell r="M35">
            <v>-131440.01999999999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-131440.01999999999</v>
          </cell>
        </row>
        <row r="40">
          <cell r="A40" t="str">
            <v xml:space="preserve">                Sub Total ( 7월 )</v>
          </cell>
          <cell r="F40">
            <v>14300</v>
          </cell>
          <cell r="G40">
            <v>614</v>
          </cell>
          <cell r="H40">
            <v>175.02</v>
          </cell>
          <cell r="I40">
            <v>107462.28</v>
          </cell>
          <cell r="J40">
            <v>0</v>
          </cell>
          <cell r="K40">
            <v>0</v>
          </cell>
          <cell r="L40">
            <v>0</v>
          </cell>
          <cell r="M40">
            <v>-107462.28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-107462.28</v>
          </cell>
        </row>
        <row r="46">
          <cell r="A46" t="str">
            <v xml:space="preserve">                Sub Total ( 8월 )</v>
          </cell>
          <cell r="F46">
            <v>17500</v>
          </cell>
          <cell r="G46">
            <v>751</v>
          </cell>
          <cell r="H46">
            <v>175.02</v>
          </cell>
          <cell r="I46">
            <v>131440.02000000002</v>
          </cell>
          <cell r="J46">
            <v>0</v>
          </cell>
          <cell r="K46">
            <v>0</v>
          </cell>
          <cell r="L46">
            <v>0</v>
          </cell>
          <cell r="M46">
            <v>-131440.02000000002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-131440.02000000002</v>
          </cell>
        </row>
        <row r="51">
          <cell r="A51" t="str">
            <v xml:space="preserve">                Sub Total ( 9월 )</v>
          </cell>
          <cell r="F51">
            <v>13800</v>
          </cell>
          <cell r="G51">
            <v>592</v>
          </cell>
          <cell r="H51">
            <v>175.02</v>
          </cell>
          <cell r="I51">
            <v>103611.84000000001</v>
          </cell>
          <cell r="J51">
            <v>0</v>
          </cell>
          <cell r="K51">
            <v>0</v>
          </cell>
          <cell r="L51">
            <v>0</v>
          </cell>
          <cell r="M51">
            <v>-103611.84000000001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-103611.84000000001</v>
          </cell>
        </row>
        <row r="56">
          <cell r="A56" t="str">
            <v xml:space="preserve">                Sub Total ( 10월 )</v>
          </cell>
          <cell r="F56">
            <v>14300</v>
          </cell>
          <cell r="G56">
            <v>614</v>
          </cell>
          <cell r="H56">
            <v>175.02</v>
          </cell>
          <cell r="I56">
            <v>107462.28</v>
          </cell>
          <cell r="J56">
            <v>0</v>
          </cell>
          <cell r="K56">
            <v>0</v>
          </cell>
          <cell r="L56">
            <v>0</v>
          </cell>
          <cell r="M56">
            <v>-107462.28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-107462.28</v>
          </cell>
        </row>
        <row r="62">
          <cell r="A62" t="str">
            <v xml:space="preserve">                Sub Total ( 11월 )</v>
          </cell>
          <cell r="F62">
            <v>17500</v>
          </cell>
          <cell r="G62">
            <v>751</v>
          </cell>
          <cell r="H62">
            <v>175.02</v>
          </cell>
          <cell r="I62">
            <v>131440.01999999999</v>
          </cell>
          <cell r="J62">
            <v>0</v>
          </cell>
          <cell r="K62">
            <v>0</v>
          </cell>
          <cell r="L62">
            <v>0</v>
          </cell>
          <cell r="M62">
            <v>-131440.01999999999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-131440.01999999999</v>
          </cell>
        </row>
        <row r="67">
          <cell r="A67" t="str">
            <v xml:space="preserve">                Sub Total ( 12월 )</v>
          </cell>
          <cell r="F67">
            <v>13800</v>
          </cell>
          <cell r="G67">
            <v>592</v>
          </cell>
          <cell r="H67">
            <v>175.02</v>
          </cell>
          <cell r="I67">
            <v>103611.84</v>
          </cell>
          <cell r="J67">
            <v>0</v>
          </cell>
          <cell r="K67">
            <v>0</v>
          </cell>
          <cell r="L67">
            <v>0</v>
          </cell>
          <cell r="M67">
            <v>-103611.84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-103611.84</v>
          </cell>
        </row>
      </sheetData>
      <sheetData sheetId="348">
        <row r="8">
          <cell r="A8" t="str">
            <v xml:space="preserve">                Sub Total ( 1월 )</v>
          </cell>
          <cell r="F8">
            <v>13800</v>
          </cell>
          <cell r="G8">
            <v>592</v>
          </cell>
          <cell r="H8">
            <v>175.02</v>
          </cell>
          <cell r="I8">
            <v>103611.84000000001</v>
          </cell>
          <cell r="J8">
            <v>0</v>
          </cell>
          <cell r="K8">
            <v>0</v>
          </cell>
          <cell r="L8">
            <v>0</v>
          </cell>
          <cell r="M8">
            <v>-103611.84000000001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-103611.84000000001</v>
          </cell>
        </row>
        <row r="13">
          <cell r="A13" t="str">
            <v xml:space="preserve">                Sub Total ( 2월 )</v>
          </cell>
          <cell r="F13">
            <v>14300</v>
          </cell>
          <cell r="G13">
            <v>614</v>
          </cell>
          <cell r="H13">
            <v>175.02</v>
          </cell>
          <cell r="I13">
            <v>107462.28</v>
          </cell>
          <cell r="J13">
            <v>0</v>
          </cell>
          <cell r="K13">
            <v>0</v>
          </cell>
          <cell r="L13">
            <v>0</v>
          </cell>
          <cell r="M13">
            <v>-107462.28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-107462.28</v>
          </cell>
        </row>
        <row r="19">
          <cell r="A19" t="str">
            <v xml:space="preserve">                Sub Total ( 3월 )</v>
          </cell>
          <cell r="F19">
            <v>17500</v>
          </cell>
          <cell r="G19">
            <v>751</v>
          </cell>
          <cell r="H19">
            <v>175.02</v>
          </cell>
          <cell r="I19">
            <v>131440.02000000002</v>
          </cell>
          <cell r="J19">
            <v>0</v>
          </cell>
          <cell r="K19">
            <v>0</v>
          </cell>
          <cell r="L19">
            <v>0</v>
          </cell>
          <cell r="M19">
            <v>-131440.02000000002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-131440.02000000002</v>
          </cell>
        </row>
        <row r="24">
          <cell r="A24" t="str">
            <v xml:space="preserve">                Sub Total ( 4월 )</v>
          </cell>
          <cell r="F24">
            <v>13800</v>
          </cell>
          <cell r="G24">
            <v>592</v>
          </cell>
          <cell r="H24">
            <v>175.02</v>
          </cell>
          <cell r="I24">
            <v>103611.84000000001</v>
          </cell>
          <cell r="J24">
            <v>0</v>
          </cell>
          <cell r="K24">
            <v>0</v>
          </cell>
          <cell r="L24">
            <v>0</v>
          </cell>
          <cell r="M24">
            <v>-103611.84000000001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-103611.84000000001</v>
          </cell>
        </row>
        <row r="29">
          <cell r="A29" t="str">
            <v xml:space="preserve">                Sub Total ( 5월 )</v>
          </cell>
          <cell r="F29">
            <v>14300</v>
          </cell>
          <cell r="G29">
            <v>614</v>
          </cell>
          <cell r="H29">
            <v>175.02</v>
          </cell>
          <cell r="I29">
            <v>107462.28</v>
          </cell>
          <cell r="J29">
            <v>0</v>
          </cell>
          <cell r="K29">
            <v>0</v>
          </cell>
          <cell r="L29">
            <v>0</v>
          </cell>
          <cell r="M29">
            <v>-107462.28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-107462.28</v>
          </cell>
        </row>
        <row r="35">
          <cell r="A35" t="str">
            <v xml:space="preserve">                Sub Total ( 6월 )</v>
          </cell>
          <cell r="F35">
            <v>17500</v>
          </cell>
          <cell r="G35">
            <v>751</v>
          </cell>
          <cell r="H35">
            <v>175.02</v>
          </cell>
          <cell r="I35">
            <v>131440.01999999999</v>
          </cell>
          <cell r="J35">
            <v>0</v>
          </cell>
          <cell r="K35">
            <v>0</v>
          </cell>
          <cell r="L35">
            <v>0</v>
          </cell>
          <cell r="M35">
            <v>-131440.01999999999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-131440.01999999999</v>
          </cell>
        </row>
        <row r="40">
          <cell r="A40" t="str">
            <v xml:space="preserve">                Sub Total ( 7월 )</v>
          </cell>
          <cell r="F40">
            <v>13800</v>
          </cell>
          <cell r="G40">
            <v>592</v>
          </cell>
          <cell r="H40">
            <v>175.02</v>
          </cell>
          <cell r="I40">
            <v>103611.84</v>
          </cell>
          <cell r="J40">
            <v>0</v>
          </cell>
          <cell r="K40">
            <v>0</v>
          </cell>
          <cell r="L40">
            <v>0</v>
          </cell>
          <cell r="M40">
            <v>-103611.84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-103611.84</v>
          </cell>
        </row>
        <row r="46">
          <cell r="A46" t="str">
            <v xml:space="preserve">                Sub Total ( 8월 )</v>
          </cell>
          <cell r="F46">
            <v>17500</v>
          </cell>
          <cell r="G46">
            <v>751</v>
          </cell>
          <cell r="H46">
            <v>175.02</v>
          </cell>
          <cell r="I46">
            <v>131440.02000000002</v>
          </cell>
          <cell r="J46">
            <v>0</v>
          </cell>
          <cell r="K46">
            <v>0</v>
          </cell>
          <cell r="L46">
            <v>0</v>
          </cell>
          <cell r="M46">
            <v>-131440.02000000002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-131440.02000000002</v>
          </cell>
        </row>
        <row r="51">
          <cell r="A51" t="str">
            <v xml:space="preserve">                Sub Total ( 9월 )</v>
          </cell>
          <cell r="F51">
            <v>13800</v>
          </cell>
          <cell r="G51">
            <v>592</v>
          </cell>
          <cell r="H51">
            <v>175.02</v>
          </cell>
          <cell r="I51">
            <v>103611.84000000001</v>
          </cell>
          <cell r="J51">
            <v>0</v>
          </cell>
          <cell r="K51">
            <v>0</v>
          </cell>
          <cell r="L51">
            <v>0</v>
          </cell>
          <cell r="M51">
            <v>-103611.84000000001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-103611.84000000001</v>
          </cell>
        </row>
        <row r="56">
          <cell r="A56" t="str">
            <v xml:space="preserve">                Sub Total ( 10월 )</v>
          </cell>
          <cell r="F56">
            <v>14300</v>
          </cell>
          <cell r="G56">
            <v>614</v>
          </cell>
          <cell r="H56">
            <v>175.02</v>
          </cell>
          <cell r="I56">
            <v>107462.28</v>
          </cell>
          <cell r="J56">
            <v>0</v>
          </cell>
          <cell r="K56">
            <v>0</v>
          </cell>
          <cell r="L56">
            <v>0</v>
          </cell>
          <cell r="M56">
            <v>-107462.28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-107462.28</v>
          </cell>
        </row>
        <row r="62">
          <cell r="A62" t="str">
            <v xml:space="preserve">                Sub Total ( 11월 )</v>
          </cell>
          <cell r="F62">
            <v>17500</v>
          </cell>
          <cell r="G62">
            <v>751</v>
          </cell>
          <cell r="H62">
            <v>175.02</v>
          </cell>
          <cell r="I62">
            <v>131440.02000000002</v>
          </cell>
          <cell r="J62">
            <v>0</v>
          </cell>
          <cell r="K62">
            <v>0</v>
          </cell>
          <cell r="L62">
            <v>0</v>
          </cell>
          <cell r="M62">
            <v>-131440.02000000002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-131440.02000000002</v>
          </cell>
        </row>
        <row r="67">
          <cell r="A67" t="str">
            <v xml:space="preserve">                Sub Total ( 12월 )</v>
          </cell>
          <cell r="F67">
            <v>13800</v>
          </cell>
          <cell r="G67">
            <v>592</v>
          </cell>
          <cell r="H67">
            <v>175.02</v>
          </cell>
          <cell r="I67">
            <v>103611.84000000001</v>
          </cell>
          <cell r="J67">
            <v>0</v>
          </cell>
          <cell r="K67">
            <v>0</v>
          </cell>
          <cell r="L67">
            <v>0</v>
          </cell>
          <cell r="M67">
            <v>-103611.84000000001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-103611.84000000001</v>
          </cell>
        </row>
      </sheetData>
      <sheetData sheetId="349">
        <row r="8">
          <cell r="A8" t="str">
            <v xml:space="preserve">                Sub Total ( 1월 )</v>
          </cell>
          <cell r="F8">
            <v>8942</v>
          </cell>
          <cell r="G8">
            <v>68</v>
          </cell>
          <cell r="H8">
            <v>1335</v>
          </cell>
          <cell r="I8">
            <v>90780</v>
          </cell>
          <cell r="J8">
            <v>0</v>
          </cell>
          <cell r="K8">
            <v>0</v>
          </cell>
          <cell r="L8">
            <v>0</v>
          </cell>
          <cell r="M8">
            <v>-90780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-90780</v>
          </cell>
        </row>
        <row r="13">
          <cell r="A13" t="str">
            <v xml:space="preserve">                Sub Total ( 2월 )</v>
          </cell>
          <cell r="F13">
            <v>9348</v>
          </cell>
          <cell r="G13">
            <v>68</v>
          </cell>
          <cell r="H13">
            <v>1335</v>
          </cell>
          <cell r="I13">
            <v>90780</v>
          </cell>
          <cell r="J13">
            <v>0</v>
          </cell>
          <cell r="K13">
            <v>0</v>
          </cell>
          <cell r="L13">
            <v>0</v>
          </cell>
          <cell r="M13">
            <v>-90780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-90780</v>
          </cell>
        </row>
        <row r="19">
          <cell r="A19" t="str">
            <v xml:space="preserve">                Sub Total ( 3월 )</v>
          </cell>
          <cell r="F19">
            <v>11676</v>
          </cell>
          <cell r="G19">
            <v>85</v>
          </cell>
          <cell r="H19">
            <v>1335</v>
          </cell>
          <cell r="I19">
            <v>113475</v>
          </cell>
          <cell r="J19">
            <v>0</v>
          </cell>
          <cell r="K19">
            <v>0</v>
          </cell>
          <cell r="L19">
            <v>0</v>
          </cell>
          <cell r="M19">
            <v>-113475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-113475</v>
          </cell>
        </row>
        <row r="24">
          <cell r="A24" t="str">
            <v xml:space="preserve">                Sub Total ( 4월 )</v>
          </cell>
          <cell r="F24">
            <v>9282</v>
          </cell>
          <cell r="G24">
            <v>68</v>
          </cell>
          <cell r="H24">
            <v>1335</v>
          </cell>
          <cell r="I24">
            <v>90780</v>
          </cell>
          <cell r="J24">
            <v>0</v>
          </cell>
          <cell r="K24">
            <v>0</v>
          </cell>
          <cell r="L24">
            <v>0</v>
          </cell>
          <cell r="M24">
            <v>-90780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-90780</v>
          </cell>
        </row>
        <row r="29">
          <cell r="A29" t="str">
            <v xml:space="preserve">                Sub Total ( 5월 )</v>
          </cell>
          <cell r="F29">
            <v>8955</v>
          </cell>
          <cell r="G29">
            <v>68</v>
          </cell>
          <cell r="H29">
            <v>1335</v>
          </cell>
          <cell r="I29">
            <v>90780</v>
          </cell>
          <cell r="J29">
            <v>0</v>
          </cell>
          <cell r="K29">
            <v>0</v>
          </cell>
          <cell r="L29">
            <v>0</v>
          </cell>
          <cell r="M29">
            <v>-90780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-90780</v>
          </cell>
        </row>
        <row r="35">
          <cell r="A35" t="str">
            <v xml:space="preserve">                Sub Total ( 6월 )</v>
          </cell>
          <cell r="F35">
            <v>11676</v>
          </cell>
          <cell r="G35">
            <v>85</v>
          </cell>
          <cell r="H35">
            <v>1335</v>
          </cell>
          <cell r="I35">
            <v>113475</v>
          </cell>
          <cell r="J35">
            <v>0</v>
          </cell>
          <cell r="K35">
            <v>0</v>
          </cell>
          <cell r="L35">
            <v>0</v>
          </cell>
          <cell r="M35">
            <v>-113475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-113475</v>
          </cell>
        </row>
        <row r="40">
          <cell r="A40" t="str">
            <v xml:space="preserve">                Sub Total ( 7월 )</v>
          </cell>
          <cell r="F40">
            <v>9345</v>
          </cell>
          <cell r="G40">
            <v>68</v>
          </cell>
          <cell r="H40">
            <v>1335</v>
          </cell>
          <cell r="I40">
            <v>90780</v>
          </cell>
          <cell r="J40">
            <v>0</v>
          </cell>
          <cell r="K40">
            <v>0</v>
          </cell>
          <cell r="L40">
            <v>0</v>
          </cell>
          <cell r="M40">
            <v>-90780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-90780</v>
          </cell>
        </row>
        <row r="46">
          <cell r="A46" t="str">
            <v xml:space="preserve">                Sub Total ( 8월 )</v>
          </cell>
          <cell r="F46">
            <v>11362</v>
          </cell>
          <cell r="G46">
            <v>85</v>
          </cell>
          <cell r="H46">
            <v>1335</v>
          </cell>
          <cell r="I46">
            <v>113475</v>
          </cell>
          <cell r="J46">
            <v>0</v>
          </cell>
          <cell r="K46">
            <v>0</v>
          </cell>
          <cell r="L46">
            <v>0</v>
          </cell>
          <cell r="M46">
            <v>-113475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-113475</v>
          </cell>
        </row>
        <row r="51">
          <cell r="A51" t="str">
            <v xml:space="preserve">                Sub Total ( 9월 )</v>
          </cell>
          <cell r="F51">
            <v>9206</v>
          </cell>
          <cell r="G51">
            <v>68</v>
          </cell>
          <cell r="H51">
            <v>1335</v>
          </cell>
          <cell r="I51">
            <v>90780</v>
          </cell>
          <cell r="J51">
            <v>0</v>
          </cell>
          <cell r="K51">
            <v>0</v>
          </cell>
          <cell r="L51">
            <v>0</v>
          </cell>
          <cell r="M51">
            <v>-90780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-90780</v>
          </cell>
        </row>
        <row r="56">
          <cell r="A56" t="str">
            <v xml:space="preserve">                Sub Total ( 10월 )</v>
          </cell>
          <cell r="F56">
            <v>9408</v>
          </cell>
          <cell r="G56">
            <v>68</v>
          </cell>
          <cell r="H56">
            <v>1335</v>
          </cell>
          <cell r="I56">
            <v>90780</v>
          </cell>
          <cell r="J56">
            <v>0</v>
          </cell>
          <cell r="K56">
            <v>0</v>
          </cell>
          <cell r="L56">
            <v>0</v>
          </cell>
          <cell r="M56">
            <v>-90780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-90780</v>
          </cell>
        </row>
        <row r="62">
          <cell r="A62" t="str">
            <v xml:space="preserve">                Sub Total ( 11월 )</v>
          </cell>
          <cell r="F62">
            <v>11616</v>
          </cell>
          <cell r="G62">
            <v>85</v>
          </cell>
          <cell r="H62">
            <v>1335</v>
          </cell>
          <cell r="I62">
            <v>113475</v>
          </cell>
          <cell r="J62">
            <v>0</v>
          </cell>
          <cell r="K62">
            <v>0</v>
          </cell>
          <cell r="L62">
            <v>0</v>
          </cell>
          <cell r="M62">
            <v>-113475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-113475</v>
          </cell>
        </row>
        <row r="67">
          <cell r="A67" t="str">
            <v xml:space="preserve">                Sub Total ( 12월 )</v>
          </cell>
          <cell r="F67">
            <v>8942</v>
          </cell>
          <cell r="G67">
            <v>68</v>
          </cell>
          <cell r="H67">
            <v>1335</v>
          </cell>
          <cell r="I67">
            <v>90780</v>
          </cell>
          <cell r="J67">
            <v>0</v>
          </cell>
          <cell r="K67">
            <v>0</v>
          </cell>
          <cell r="L67">
            <v>0</v>
          </cell>
          <cell r="M67">
            <v>-90780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-90780</v>
          </cell>
        </row>
      </sheetData>
      <sheetData sheetId="350">
        <row r="8">
          <cell r="A8" t="str">
            <v xml:space="preserve">                Sub Total ( 1월 )</v>
          </cell>
          <cell r="F8">
            <v>8231</v>
          </cell>
          <cell r="G8">
            <v>600</v>
          </cell>
          <cell r="H8">
            <v>550</v>
          </cell>
          <cell r="I8">
            <v>330000</v>
          </cell>
          <cell r="J8">
            <v>0</v>
          </cell>
          <cell r="K8">
            <v>0</v>
          </cell>
          <cell r="L8">
            <v>0</v>
          </cell>
          <cell r="M8">
            <v>-330000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-330000</v>
          </cell>
        </row>
        <row r="13">
          <cell r="A13" t="str">
            <v xml:space="preserve">                Sub Total ( 2월 )</v>
          </cell>
          <cell r="F13">
            <v>8231</v>
          </cell>
          <cell r="G13">
            <v>600</v>
          </cell>
          <cell r="H13">
            <v>550</v>
          </cell>
          <cell r="I13">
            <v>330000</v>
          </cell>
          <cell r="J13">
            <v>0</v>
          </cell>
          <cell r="K13">
            <v>0</v>
          </cell>
          <cell r="L13">
            <v>0</v>
          </cell>
          <cell r="M13">
            <v>-330000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-330000</v>
          </cell>
        </row>
        <row r="19">
          <cell r="A19" t="str">
            <v xml:space="preserve">                Sub Total ( 3월 )</v>
          </cell>
          <cell r="F19">
            <v>10285</v>
          </cell>
          <cell r="G19">
            <v>750</v>
          </cell>
          <cell r="H19">
            <v>550</v>
          </cell>
          <cell r="I19">
            <v>412500</v>
          </cell>
          <cell r="J19">
            <v>0</v>
          </cell>
          <cell r="K19">
            <v>0</v>
          </cell>
          <cell r="L19">
            <v>0</v>
          </cell>
          <cell r="M19">
            <v>-412500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-412500</v>
          </cell>
        </row>
        <row r="24">
          <cell r="A24" t="str">
            <v xml:space="preserve">                Sub Total ( 4월 )</v>
          </cell>
          <cell r="F24">
            <v>8216</v>
          </cell>
          <cell r="G24">
            <v>600</v>
          </cell>
          <cell r="H24">
            <v>550</v>
          </cell>
          <cell r="I24">
            <v>330000</v>
          </cell>
          <cell r="J24">
            <v>0</v>
          </cell>
          <cell r="K24">
            <v>0</v>
          </cell>
          <cell r="L24">
            <v>0</v>
          </cell>
          <cell r="M24">
            <v>-330000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-330000</v>
          </cell>
        </row>
        <row r="29">
          <cell r="A29" t="str">
            <v xml:space="preserve">                Sub Total ( 5월 )</v>
          </cell>
          <cell r="F29">
            <v>8231</v>
          </cell>
          <cell r="G29">
            <v>600</v>
          </cell>
          <cell r="H29">
            <v>550</v>
          </cell>
          <cell r="I29">
            <v>330000</v>
          </cell>
          <cell r="J29">
            <v>0</v>
          </cell>
          <cell r="K29">
            <v>0</v>
          </cell>
          <cell r="L29">
            <v>0</v>
          </cell>
          <cell r="M29">
            <v>-330000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-330000</v>
          </cell>
        </row>
        <row r="35">
          <cell r="A35" t="str">
            <v xml:space="preserve">                Sub Total ( 6월 )</v>
          </cell>
          <cell r="F35">
            <v>10285</v>
          </cell>
          <cell r="G35">
            <v>750</v>
          </cell>
          <cell r="H35">
            <v>550</v>
          </cell>
          <cell r="I35">
            <v>412500</v>
          </cell>
          <cell r="J35">
            <v>0</v>
          </cell>
          <cell r="K35">
            <v>0</v>
          </cell>
          <cell r="L35">
            <v>0</v>
          </cell>
          <cell r="M35">
            <v>-412500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-412500</v>
          </cell>
        </row>
        <row r="40">
          <cell r="A40" t="str">
            <v xml:space="preserve">                Sub Total ( 7월 )</v>
          </cell>
          <cell r="F40">
            <v>8216</v>
          </cell>
          <cell r="G40">
            <v>600</v>
          </cell>
          <cell r="H40">
            <v>550</v>
          </cell>
          <cell r="I40">
            <v>330000</v>
          </cell>
          <cell r="J40">
            <v>0</v>
          </cell>
          <cell r="K40">
            <v>0</v>
          </cell>
          <cell r="L40">
            <v>0</v>
          </cell>
          <cell r="M40">
            <v>-330000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-330000</v>
          </cell>
        </row>
        <row r="46">
          <cell r="A46" t="str">
            <v xml:space="preserve">                Sub Total ( 8월 )</v>
          </cell>
          <cell r="F46">
            <v>10285</v>
          </cell>
          <cell r="G46">
            <v>750</v>
          </cell>
          <cell r="H46">
            <v>550</v>
          </cell>
          <cell r="I46">
            <v>412500</v>
          </cell>
          <cell r="J46">
            <v>0</v>
          </cell>
          <cell r="K46">
            <v>0</v>
          </cell>
          <cell r="L46">
            <v>0</v>
          </cell>
          <cell r="M46">
            <v>-412500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-412500</v>
          </cell>
        </row>
        <row r="51">
          <cell r="A51" t="str">
            <v xml:space="preserve">                Sub Total ( 9월 )</v>
          </cell>
          <cell r="F51">
            <v>8231</v>
          </cell>
          <cell r="G51">
            <v>600</v>
          </cell>
          <cell r="H51">
            <v>550</v>
          </cell>
          <cell r="I51">
            <v>330000</v>
          </cell>
          <cell r="J51">
            <v>0</v>
          </cell>
          <cell r="K51">
            <v>0</v>
          </cell>
          <cell r="L51">
            <v>0</v>
          </cell>
          <cell r="M51">
            <v>-330000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-330000</v>
          </cell>
        </row>
        <row r="56">
          <cell r="A56" t="str">
            <v xml:space="preserve">                Sub Total ( 10월 )</v>
          </cell>
          <cell r="F56">
            <v>8231</v>
          </cell>
          <cell r="G56">
            <v>600</v>
          </cell>
          <cell r="H56">
            <v>550</v>
          </cell>
          <cell r="I56">
            <v>330000</v>
          </cell>
          <cell r="J56">
            <v>0</v>
          </cell>
          <cell r="K56">
            <v>0</v>
          </cell>
          <cell r="L56">
            <v>0</v>
          </cell>
          <cell r="M56">
            <v>-330000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-330000</v>
          </cell>
        </row>
        <row r="62">
          <cell r="A62" t="str">
            <v xml:space="preserve">                Sub Total ( 11월 )</v>
          </cell>
          <cell r="F62">
            <v>10270</v>
          </cell>
          <cell r="G62">
            <v>750</v>
          </cell>
          <cell r="H62">
            <v>550</v>
          </cell>
          <cell r="I62">
            <v>412500</v>
          </cell>
          <cell r="J62">
            <v>0</v>
          </cell>
          <cell r="K62">
            <v>0</v>
          </cell>
          <cell r="L62">
            <v>0</v>
          </cell>
          <cell r="M62">
            <v>-412500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-412500</v>
          </cell>
        </row>
        <row r="67">
          <cell r="A67" t="str">
            <v xml:space="preserve">                Sub Total ( 12월 )</v>
          </cell>
          <cell r="F67">
            <v>8231</v>
          </cell>
          <cell r="G67">
            <v>600</v>
          </cell>
          <cell r="H67">
            <v>550</v>
          </cell>
          <cell r="I67">
            <v>330000</v>
          </cell>
          <cell r="J67">
            <v>0</v>
          </cell>
          <cell r="K67">
            <v>0</v>
          </cell>
          <cell r="L67">
            <v>0</v>
          </cell>
          <cell r="M67">
            <v>-330000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-330000</v>
          </cell>
        </row>
      </sheetData>
      <sheetData sheetId="351">
        <row r="8">
          <cell r="A8" t="str">
            <v xml:space="preserve">                Sub Total ( 1월 )</v>
          </cell>
          <cell r="F8">
            <v>8231</v>
          </cell>
          <cell r="G8">
            <v>600</v>
          </cell>
          <cell r="H8">
            <v>270</v>
          </cell>
          <cell r="I8">
            <v>162000</v>
          </cell>
          <cell r="J8">
            <v>0</v>
          </cell>
          <cell r="K8">
            <v>0</v>
          </cell>
          <cell r="L8">
            <v>0</v>
          </cell>
          <cell r="M8">
            <v>-162000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-162000</v>
          </cell>
        </row>
        <row r="13">
          <cell r="A13" t="str">
            <v xml:space="preserve">                Sub Total ( 2월 )</v>
          </cell>
          <cell r="F13">
            <v>8216</v>
          </cell>
          <cell r="G13">
            <v>600</v>
          </cell>
          <cell r="H13">
            <v>270</v>
          </cell>
          <cell r="I13">
            <v>162000</v>
          </cell>
          <cell r="J13">
            <v>0</v>
          </cell>
          <cell r="K13">
            <v>0</v>
          </cell>
          <cell r="L13">
            <v>0</v>
          </cell>
          <cell r="M13">
            <v>-162000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-162000</v>
          </cell>
        </row>
        <row r="19">
          <cell r="A19" t="str">
            <v xml:space="preserve">                Sub Total ( 3월 )</v>
          </cell>
          <cell r="F19">
            <v>10285</v>
          </cell>
          <cell r="G19">
            <v>750</v>
          </cell>
          <cell r="H19">
            <v>270</v>
          </cell>
          <cell r="I19">
            <v>202500</v>
          </cell>
          <cell r="J19">
            <v>0</v>
          </cell>
          <cell r="K19">
            <v>0</v>
          </cell>
          <cell r="L19">
            <v>0</v>
          </cell>
          <cell r="M19">
            <v>-202500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-202500</v>
          </cell>
        </row>
        <row r="24">
          <cell r="A24" t="str">
            <v xml:space="preserve">                Sub Total ( 4월 )</v>
          </cell>
          <cell r="F24">
            <v>8231</v>
          </cell>
          <cell r="G24">
            <v>600</v>
          </cell>
          <cell r="H24">
            <v>270</v>
          </cell>
          <cell r="I24">
            <v>162000</v>
          </cell>
          <cell r="J24">
            <v>0</v>
          </cell>
          <cell r="K24">
            <v>0</v>
          </cell>
          <cell r="L24">
            <v>0</v>
          </cell>
          <cell r="M24">
            <v>-162000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-162000</v>
          </cell>
        </row>
        <row r="29">
          <cell r="A29" t="str">
            <v xml:space="preserve">                Sub Total ( 5월 )</v>
          </cell>
          <cell r="F29">
            <v>8216</v>
          </cell>
          <cell r="G29">
            <v>600</v>
          </cell>
          <cell r="H29">
            <v>270</v>
          </cell>
          <cell r="I29">
            <v>162000</v>
          </cell>
          <cell r="J29">
            <v>0</v>
          </cell>
          <cell r="K29">
            <v>0</v>
          </cell>
          <cell r="L29">
            <v>0</v>
          </cell>
          <cell r="M29">
            <v>-162000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-162000</v>
          </cell>
        </row>
        <row r="35">
          <cell r="A35" t="str">
            <v xml:space="preserve">                Sub Total ( 6월 )</v>
          </cell>
          <cell r="F35">
            <v>10285</v>
          </cell>
          <cell r="G35">
            <v>750</v>
          </cell>
          <cell r="H35">
            <v>270</v>
          </cell>
          <cell r="I35">
            <v>202500</v>
          </cell>
          <cell r="J35">
            <v>0</v>
          </cell>
          <cell r="K35">
            <v>0</v>
          </cell>
          <cell r="L35">
            <v>0</v>
          </cell>
          <cell r="M35">
            <v>-202500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-202500</v>
          </cell>
        </row>
        <row r="40">
          <cell r="A40" t="str">
            <v xml:space="preserve">                Sub Total ( 7월 )</v>
          </cell>
          <cell r="F40">
            <v>8231</v>
          </cell>
          <cell r="G40">
            <v>600</v>
          </cell>
          <cell r="H40">
            <v>270</v>
          </cell>
          <cell r="I40">
            <v>162000</v>
          </cell>
          <cell r="J40">
            <v>0</v>
          </cell>
          <cell r="K40">
            <v>0</v>
          </cell>
          <cell r="L40">
            <v>0</v>
          </cell>
          <cell r="M40">
            <v>-162000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-162000</v>
          </cell>
        </row>
        <row r="46">
          <cell r="A46" t="str">
            <v xml:space="preserve">                Sub Total ( 8월 )</v>
          </cell>
          <cell r="F46">
            <v>10285</v>
          </cell>
          <cell r="G46">
            <v>750</v>
          </cell>
          <cell r="H46">
            <v>270</v>
          </cell>
          <cell r="I46">
            <v>202500</v>
          </cell>
          <cell r="J46">
            <v>0</v>
          </cell>
          <cell r="K46">
            <v>0</v>
          </cell>
          <cell r="L46">
            <v>0</v>
          </cell>
          <cell r="M46">
            <v>-202500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-202500</v>
          </cell>
        </row>
        <row r="51">
          <cell r="A51" t="str">
            <v xml:space="preserve">                Sub Total ( 9월 )</v>
          </cell>
          <cell r="F51">
            <v>8216</v>
          </cell>
          <cell r="G51">
            <v>600</v>
          </cell>
          <cell r="H51">
            <v>270</v>
          </cell>
          <cell r="I51">
            <v>162000</v>
          </cell>
          <cell r="J51">
            <v>0</v>
          </cell>
          <cell r="K51">
            <v>0</v>
          </cell>
          <cell r="L51">
            <v>0</v>
          </cell>
          <cell r="M51">
            <v>-162000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-162000</v>
          </cell>
        </row>
        <row r="56">
          <cell r="A56" t="str">
            <v xml:space="preserve">                Sub Total ( 10월 )</v>
          </cell>
          <cell r="F56">
            <v>8231</v>
          </cell>
          <cell r="G56">
            <v>600</v>
          </cell>
          <cell r="H56">
            <v>270</v>
          </cell>
          <cell r="I56">
            <v>162000</v>
          </cell>
          <cell r="J56">
            <v>0</v>
          </cell>
          <cell r="K56">
            <v>0</v>
          </cell>
          <cell r="L56">
            <v>0</v>
          </cell>
          <cell r="M56">
            <v>-162000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-162000</v>
          </cell>
        </row>
        <row r="62">
          <cell r="A62" t="str">
            <v xml:space="preserve">                Sub Total ( 11월 )</v>
          </cell>
          <cell r="F62">
            <v>10285</v>
          </cell>
          <cell r="G62">
            <v>750</v>
          </cell>
          <cell r="H62">
            <v>270</v>
          </cell>
          <cell r="I62">
            <v>202500</v>
          </cell>
          <cell r="J62">
            <v>0</v>
          </cell>
          <cell r="K62">
            <v>0</v>
          </cell>
          <cell r="L62">
            <v>0</v>
          </cell>
          <cell r="M62">
            <v>-202500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-202500</v>
          </cell>
        </row>
        <row r="67">
          <cell r="A67" t="str">
            <v xml:space="preserve">                Sub Total ( 12월 )</v>
          </cell>
          <cell r="F67">
            <v>8231</v>
          </cell>
          <cell r="G67">
            <v>600</v>
          </cell>
          <cell r="H67">
            <v>270</v>
          </cell>
          <cell r="I67">
            <v>162000</v>
          </cell>
          <cell r="J67">
            <v>0</v>
          </cell>
          <cell r="K67">
            <v>0</v>
          </cell>
          <cell r="L67">
            <v>0</v>
          </cell>
          <cell r="M67">
            <v>-162000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-162000</v>
          </cell>
        </row>
      </sheetData>
      <sheetData sheetId="352">
        <row r="8">
          <cell r="A8" t="str">
            <v xml:space="preserve">                Sub Total ( 1월 )</v>
          </cell>
          <cell r="F8">
            <v>19236</v>
          </cell>
          <cell r="G8">
            <v>1178</v>
          </cell>
          <cell r="H8">
            <v>500</v>
          </cell>
          <cell r="I8">
            <v>589000</v>
          </cell>
          <cell r="J8">
            <v>0</v>
          </cell>
          <cell r="K8">
            <v>0</v>
          </cell>
          <cell r="L8">
            <v>0</v>
          </cell>
          <cell r="M8">
            <v>-589000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-589000</v>
          </cell>
        </row>
        <row r="13">
          <cell r="A13" t="str">
            <v xml:space="preserve">                Sub Total ( 2월 )</v>
          </cell>
          <cell r="F13">
            <v>18886</v>
          </cell>
          <cell r="G13">
            <v>1156</v>
          </cell>
          <cell r="H13">
            <v>500</v>
          </cell>
          <cell r="I13">
            <v>578000</v>
          </cell>
          <cell r="J13">
            <v>0</v>
          </cell>
          <cell r="K13">
            <v>0</v>
          </cell>
          <cell r="L13">
            <v>0</v>
          </cell>
          <cell r="M13">
            <v>-578000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-578000</v>
          </cell>
        </row>
        <row r="19">
          <cell r="A19" t="str">
            <v xml:space="preserve">                Sub Total ( 3월 )</v>
          </cell>
          <cell r="F19">
            <v>25604</v>
          </cell>
          <cell r="G19">
            <v>1564</v>
          </cell>
          <cell r="H19">
            <v>500</v>
          </cell>
          <cell r="I19">
            <v>782000</v>
          </cell>
          <cell r="J19">
            <v>0</v>
          </cell>
          <cell r="K19">
            <v>0</v>
          </cell>
          <cell r="L19">
            <v>0</v>
          </cell>
          <cell r="M19">
            <v>-782000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-782000</v>
          </cell>
        </row>
        <row r="24">
          <cell r="A24" t="str">
            <v xml:space="preserve">                Sub Total ( 4월 )</v>
          </cell>
          <cell r="F24">
            <v>19236</v>
          </cell>
          <cell r="G24">
            <v>1165</v>
          </cell>
          <cell r="H24">
            <v>500</v>
          </cell>
          <cell r="I24">
            <v>582500</v>
          </cell>
          <cell r="J24">
            <v>0</v>
          </cell>
          <cell r="K24">
            <v>0</v>
          </cell>
          <cell r="L24">
            <v>0</v>
          </cell>
          <cell r="M24">
            <v>-582500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-582500</v>
          </cell>
        </row>
        <row r="29">
          <cell r="A29" t="str">
            <v xml:space="preserve">                Sub Total ( 5월 )</v>
          </cell>
          <cell r="F29">
            <v>20004</v>
          </cell>
          <cell r="G29">
            <v>1215</v>
          </cell>
          <cell r="H29">
            <v>500</v>
          </cell>
          <cell r="I29">
            <v>607500</v>
          </cell>
          <cell r="J29">
            <v>0</v>
          </cell>
          <cell r="K29">
            <v>0</v>
          </cell>
          <cell r="L29">
            <v>0</v>
          </cell>
          <cell r="M29">
            <v>-607500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-607500</v>
          </cell>
        </row>
        <row r="35">
          <cell r="A35" t="str">
            <v xml:space="preserve">                Sub Total ( 6월 )</v>
          </cell>
          <cell r="F35">
            <v>24386</v>
          </cell>
          <cell r="G35">
            <v>1480</v>
          </cell>
          <cell r="H35">
            <v>500</v>
          </cell>
          <cell r="I35">
            <v>740000</v>
          </cell>
          <cell r="J35">
            <v>0</v>
          </cell>
          <cell r="K35">
            <v>0</v>
          </cell>
          <cell r="L35">
            <v>0</v>
          </cell>
          <cell r="M35">
            <v>-740000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-740000</v>
          </cell>
        </row>
        <row r="40">
          <cell r="A40" t="str">
            <v xml:space="preserve">                Sub Total ( 7월 )</v>
          </cell>
          <cell r="F40">
            <v>18754</v>
          </cell>
          <cell r="G40">
            <v>1136</v>
          </cell>
          <cell r="H40">
            <v>500</v>
          </cell>
          <cell r="I40">
            <v>568000</v>
          </cell>
          <cell r="J40">
            <v>0</v>
          </cell>
          <cell r="K40">
            <v>0</v>
          </cell>
          <cell r="L40">
            <v>0</v>
          </cell>
          <cell r="M40">
            <v>-568000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-568000</v>
          </cell>
        </row>
        <row r="46">
          <cell r="A46" t="str">
            <v xml:space="preserve">                Sub Total ( 8월 )</v>
          </cell>
          <cell r="F46">
            <v>25504</v>
          </cell>
          <cell r="G46">
            <v>1566</v>
          </cell>
          <cell r="H46">
            <v>500</v>
          </cell>
          <cell r="I46">
            <v>783000</v>
          </cell>
          <cell r="J46">
            <v>0</v>
          </cell>
          <cell r="K46">
            <v>0</v>
          </cell>
          <cell r="L46">
            <v>0</v>
          </cell>
          <cell r="M46">
            <v>-783000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-783000</v>
          </cell>
        </row>
        <row r="51">
          <cell r="A51" t="str">
            <v xml:space="preserve">                Sub Total ( 9월 )</v>
          </cell>
          <cell r="F51">
            <v>19236</v>
          </cell>
          <cell r="G51">
            <v>1165</v>
          </cell>
          <cell r="H51">
            <v>500</v>
          </cell>
          <cell r="I51">
            <v>582500</v>
          </cell>
          <cell r="J51">
            <v>0</v>
          </cell>
          <cell r="K51">
            <v>0</v>
          </cell>
          <cell r="L51">
            <v>0</v>
          </cell>
          <cell r="M51">
            <v>-582500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-582500</v>
          </cell>
        </row>
        <row r="56">
          <cell r="A56" t="str">
            <v xml:space="preserve">                Sub Total ( 10월 )</v>
          </cell>
          <cell r="F56">
            <v>18886</v>
          </cell>
          <cell r="G56">
            <v>1165</v>
          </cell>
          <cell r="H56">
            <v>500</v>
          </cell>
          <cell r="I56">
            <v>582500</v>
          </cell>
          <cell r="J56">
            <v>0</v>
          </cell>
          <cell r="K56">
            <v>0</v>
          </cell>
          <cell r="L56">
            <v>0</v>
          </cell>
          <cell r="M56">
            <v>-582500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-582500</v>
          </cell>
        </row>
        <row r="62">
          <cell r="A62" t="str">
            <v xml:space="preserve">                Sub Total ( 11월 )</v>
          </cell>
          <cell r="F62">
            <v>25604</v>
          </cell>
          <cell r="G62">
            <v>1572</v>
          </cell>
          <cell r="H62">
            <v>500</v>
          </cell>
          <cell r="I62">
            <v>786000</v>
          </cell>
          <cell r="J62">
            <v>0</v>
          </cell>
          <cell r="K62">
            <v>0</v>
          </cell>
          <cell r="L62">
            <v>0</v>
          </cell>
          <cell r="M62">
            <v>-786000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-786000</v>
          </cell>
        </row>
        <row r="67">
          <cell r="A67" t="str">
            <v xml:space="preserve">                Sub Total ( 12월 )</v>
          </cell>
          <cell r="F67">
            <v>19236</v>
          </cell>
          <cell r="G67">
            <v>1165</v>
          </cell>
          <cell r="H67">
            <v>500</v>
          </cell>
          <cell r="I67">
            <v>582500</v>
          </cell>
          <cell r="J67">
            <v>0</v>
          </cell>
          <cell r="K67">
            <v>0</v>
          </cell>
          <cell r="L67">
            <v>0</v>
          </cell>
          <cell r="M67">
            <v>-582500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-582500</v>
          </cell>
        </row>
      </sheetData>
      <sheetData sheetId="353">
        <row r="8">
          <cell r="A8" t="str">
            <v xml:space="preserve">                Sub Total ( 1월 )</v>
          </cell>
          <cell r="F8">
            <v>18886</v>
          </cell>
          <cell r="G8">
            <v>1156</v>
          </cell>
          <cell r="H8">
            <v>250</v>
          </cell>
          <cell r="I8">
            <v>289000</v>
          </cell>
          <cell r="J8">
            <v>0</v>
          </cell>
          <cell r="K8">
            <v>0</v>
          </cell>
          <cell r="L8">
            <v>0</v>
          </cell>
          <cell r="M8">
            <v>-289000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-289000</v>
          </cell>
        </row>
        <row r="13">
          <cell r="A13" t="str">
            <v xml:space="preserve">                Sub Total ( 2월 )</v>
          </cell>
          <cell r="F13">
            <v>20586</v>
          </cell>
          <cell r="G13">
            <v>1260</v>
          </cell>
          <cell r="H13">
            <v>250</v>
          </cell>
          <cell r="I13">
            <v>315000</v>
          </cell>
          <cell r="J13">
            <v>0</v>
          </cell>
          <cell r="K13">
            <v>0</v>
          </cell>
          <cell r="L13">
            <v>0</v>
          </cell>
          <cell r="M13">
            <v>-315000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-315000</v>
          </cell>
        </row>
        <row r="19">
          <cell r="A19" t="str">
            <v xml:space="preserve">                Sub Total ( 3월 )</v>
          </cell>
          <cell r="F19">
            <v>24254</v>
          </cell>
          <cell r="G19">
            <v>1485</v>
          </cell>
          <cell r="H19">
            <v>250</v>
          </cell>
          <cell r="I19">
            <v>371250</v>
          </cell>
          <cell r="J19">
            <v>0</v>
          </cell>
          <cell r="K19">
            <v>0</v>
          </cell>
          <cell r="L19">
            <v>0</v>
          </cell>
          <cell r="M19">
            <v>-371250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-371250</v>
          </cell>
        </row>
        <row r="24">
          <cell r="A24" t="str">
            <v xml:space="preserve">                Sub Total ( 4월 )</v>
          </cell>
          <cell r="F24">
            <v>20004</v>
          </cell>
          <cell r="G24">
            <v>1218</v>
          </cell>
          <cell r="H24">
            <v>250</v>
          </cell>
          <cell r="I24">
            <v>304500</v>
          </cell>
          <cell r="J24">
            <v>0</v>
          </cell>
          <cell r="K24">
            <v>0</v>
          </cell>
          <cell r="L24">
            <v>0</v>
          </cell>
          <cell r="M24">
            <v>-304500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-304500</v>
          </cell>
        </row>
        <row r="29">
          <cell r="A29" t="str">
            <v xml:space="preserve">                Sub Total ( 5월 )</v>
          </cell>
          <cell r="F29">
            <v>19236</v>
          </cell>
          <cell r="G29">
            <v>1165</v>
          </cell>
          <cell r="H29">
            <v>250</v>
          </cell>
          <cell r="I29">
            <v>291250</v>
          </cell>
          <cell r="J29">
            <v>0</v>
          </cell>
          <cell r="K29">
            <v>0</v>
          </cell>
          <cell r="L29">
            <v>0</v>
          </cell>
          <cell r="M29">
            <v>-291250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-291250</v>
          </cell>
        </row>
        <row r="35">
          <cell r="A35" t="str">
            <v xml:space="preserve">                Sub Total ( 6월 )</v>
          </cell>
          <cell r="F35">
            <v>23904</v>
          </cell>
          <cell r="G35">
            <v>1469</v>
          </cell>
          <cell r="H35">
            <v>250</v>
          </cell>
          <cell r="I35">
            <v>367250</v>
          </cell>
          <cell r="J35">
            <v>0</v>
          </cell>
          <cell r="K35">
            <v>0</v>
          </cell>
          <cell r="L35">
            <v>0</v>
          </cell>
          <cell r="M35">
            <v>-367250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-367250</v>
          </cell>
        </row>
        <row r="40">
          <cell r="A40" t="str">
            <v xml:space="preserve">                Sub Total ( 7월 )</v>
          </cell>
          <cell r="F40">
            <v>20586</v>
          </cell>
          <cell r="G40">
            <v>1268</v>
          </cell>
          <cell r="H40">
            <v>250</v>
          </cell>
          <cell r="I40">
            <v>317000</v>
          </cell>
          <cell r="J40">
            <v>0</v>
          </cell>
          <cell r="K40">
            <v>0</v>
          </cell>
          <cell r="L40">
            <v>0</v>
          </cell>
          <cell r="M40">
            <v>-317000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-317000</v>
          </cell>
        </row>
        <row r="46">
          <cell r="A46" t="str">
            <v xml:space="preserve">                Sub Total ( 8월 )</v>
          </cell>
          <cell r="F46">
            <v>24154</v>
          </cell>
          <cell r="G46">
            <v>1463</v>
          </cell>
          <cell r="H46">
            <v>250</v>
          </cell>
          <cell r="I46">
            <v>365750</v>
          </cell>
          <cell r="J46">
            <v>0</v>
          </cell>
          <cell r="K46">
            <v>0</v>
          </cell>
          <cell r="L46">
            <v>0</v>
          </cell>
          <cell r="M46">
            <v>-365750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-365750</v>
          </cell>
        </row>
        <row r="51">
          <cell r="A51" t="str">
            <v xml:space="preserve">                Sub Total ( 9월 )</v>
          </cell>
          <cell r="F51">
            <v>18886</v>
          </cell>
          <cell r="G51">
            <v>1165</v>
          </cell>
          <cell r="H51">
            <v>250</v>
          </cell>
          <cell r="I51">
            <v>291250</v>
          </cell>
          <cell r="J51">
            <v>0</v>
          </cell>
          <cell r="K51">
            <v>0</v>
          </cell>
          <cell r="L51">
            <v>0</v>
          </cell>
          <cell r="M51">
            <v>-291250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-291250</v>
          </cell>
        </row>
        <row r="56">
          <cell r="A56" t="str">
            <v xml:space="preserve">                Sub Total ( 10월 )</v>
          </cell>
          <cell r="F56">
            <v>20586</v>
          </cell>
          <cell r="G56">
            <v>1268</v>
          </cell>
          <cell r="H56">
            <v>250</v>
          </cell>
          <cell r="I56">
            <v>317000</v>
          </cell>
          <cell r="J56">
            <v>0</v>
          </cell>
          <cell r="K56">
            <v>0</v>
          </cell>
          <cell r="L56">
            <v>0</v>
          </cell>
          <cell r="M56">
            <v>-317000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-317000</v>
          </cell>
        </row>
        <row r="62">
          <cell r="A62" t="str">
            <v xml:space="preserve">                Sub Total ( 11월 )</v>
          </cell>
          <cell r="F62">
            <v>24254</v>
          </cell>
          <cell r="G62">
            <v>1469</v>
          </cell>
          <cell r="H62">
            <v>250</v>
          </cell>
          <cell r="I62">
            <v>367250</v>
          </cell>
          <cell r="J62">
            <v>0</v>
          </cell>
          <cell r="K62">
            <v>0</v>
          </cell>
          <cell r="L62">
            <v>0</v>
          </cell>
          <cell r="M62">
            <v>-367250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-367250</v>
          </cell>
        </row>
        <row r="67">
          <cell r="A67" t="str">
            <v xml:space="preserve">                Sub Total ( 12월 )</v>
          </cell>
          <cell r="F67">
            <v>20004</v>
          </cell>
          <cell r="G67">
            <v>1233</v>
          </cell>
          <cell r="H67">
            <v>250</v>
          </cell>
          <cell r="I67">
            <v>308250</v>
          </cell>
          <cell r="J67">
            <v>0</v>
          </cell>
          <cell r="K67">
            <v>0</v>
          </cell>
          <cell r="L67">
            <v>0</v>
          </cell>
          <cell r="M67">
            <v>-308250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-308250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ro1"/>
      <sheetName val="MAS Sched Sling 1"/>
      <sheetName val="Modul2"/>
      <sheetName val="Modul1"/>
      <sheetName val="Modul5"/>
      <sheetName val="Modul3"/>
      <sheetName val="Schedule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PivotTable $"/>
      <sheetName val="8"/>
      <sheetName val="COMPA_AGAS"/>
      <sheetName val="비용항목"/>
      <sheetName val="Sum Slots"/>
      <sheetName val="차수"/>
      <sheetName val="MAS_Sched_Sling_1"/>
      <sheetName val="Scenario_1_-_with_HMM"/>
      <sheetName val="PivotTable_$"/>
      <sheetName val="Sum_Slots"/>
    </sheetNames>
    <sheetDataSet>
      <sheetData sheetId="0" refreshError="1">
        <row r="1">
          <cell r="A1" t="str">
            <v>AL_File</v>
          </cell>
          <cell r="B1" t="e">
            <v>#N/A</v>
          </cell>
        </row>
        <row r="17">
          <cell r="B17" t="b">
            <v>1</v>
          </cell>
        </row>
        <row r="21">
          <cell r="B21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Panel"/>
      <sheetName val="Print Area-&gt;"/>
      <sheetName val="Cover"/>
      <sheetName val="Notice"/>
      <sheetName val="UFCF"/>
      <sheetName val="Charlie Sheet"/>
      <sheetName val="A"/>
      <sheetName val="SSA Mexico Others"/>
      <sheetName val="OpSum"/>
      <sheetName val="WC"/>
      <sheetName val="Capex&amp;Depn"/>
      <sheetName val="PVM (15yrs-TV=0)"/>
      <sheetName val="PVMatrix (35yrs-AdjFCF)"/>
      <sheetName val="PGMatrix (15yrs-AdjFCF)"/>
      <sheetName val="&lt;-Print Area"/>
      <sheetName val="OPG"/>
      <sheetName val="TMS"/>
      <sheetName val="API "/>
      <sheetName val="Charlie Sheet II"/>
      <sheetName val="Capex Details"/>
      <sheetName val="Consol"/>
      <sheetName val="Consol (2)"/>
      <sheetName val="Consol (3)"/>
      <sheetName val="Consol (4)"/>
      <sheetName val="Consol (5)"/>
      <sheetName val="Graphs"/>
      <sheetName val="MacroA"/>
      <sheetName val="Control Panel"/>
      <sheetName val="Voucher"/>
      <sheetName val="경제성분석"/>
      <sheetName val="Scenario 1 - with HMM"/>
      <sheetName val="Makro1"/>
      <sheetName val="PivotTable $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선령"/>
      <sheetName val="9-1차이내역"/>
      <sheetName val="Assumptions"/>
      <sheetName val="지방,해외배부"/>
      <sheetName val="pmx"/>
      <sheetName val="DATA"/>
      <sheetName val="Capex"/>
      <sheetName val="BUNKER 소모량"/>
      <sheetName val="F.TYPE PNW"/>
      <sheetName val="Scenarios"/>
      <sheetName val="04 Profile"/>
      <sheetName val="8"/>
      <sheetName val="현지법인 사업계획(총괄)"/>
      <sheetName val="수입"/>
      <sheetName val="지급어음"/>
      <sheetName val="출금실적"/>
      <sheetName val="재공품기초자료"/>
    </sheetNames>
    <sheetDataSet>
      <sheetData sheetId="0" refreshError="1">
        <row r="28">
          <cell r="E28">
            <v>0.12</v>
          </cell>
        </row>
        <row r="29">
          <cell r="E29">
            <v>0</v>
          </cell>
        </row>
        <row r="30">
          <cell r="E30">
            <v>-0.01</v>
          </cell>
        </row>
        <row r="33">
          <cell r="J3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>
        <row r="23">
          <cell r="A23" t="str">
            <v>Total Revenue</v>
          </cell>
          <cell r="E23">
            <v>17599.999999999993</v>
          </cell>
          <cell r="F23">
            <v>23300.313999999998</v>
          </cell>
          <cell r="G23">
            <v>31300.000000000004</v>
          </cell>
          <cell r="H23">
            <v>37900</v>
          </cell>
          <cell r="I23">
            <v>49000</v>
          </cell>
          <cell r="J23">
            <v>88196.186192272988</v>
          </cell>
          <cell r="K23">
            <v>99995.222179056742</v>
          </cell>
          <cell r="L23">
            <v>110613.70247638965</v>
          </cell>
          <cell r="M23">
            <v>122292.17848759284</v>
          </cell>
          <cell r="N23">
            <v>135499.21551931035</v>
          </cell>
          <cell r="O23">
            <v>149621.92168910225</v>
          </cell>
          <cell r="P23">
            <v>165490.74491069844</v>
          </cell>
          <cell r="Q23">
            <v>183323.01391399995</v>
          </cell>
          <cell r="R23">
            <v>195244.52379040784</v>
          </cell>
          <cell r="S23">
            <v>200432.9875815266</v>
          </cell>
          <cell r="T23">
            <v>204615.07936314793</v>
          </cell>
          <cell r="U23">
            <v>208895.27605276255</v>
          </cell>
          <cell r="V23">
            <v>213275.97724955098</v>
          </cell>
          <cell r="W23">
            <v>217874.45975978585</v>
          </cell>
          <cell r="X23">
            <v>222466.20709173763</v>
          </cell>
          <cell r="Y23">
            <v>0.1512703289945827</v>
          </cell>
        </row>
        <row r="35">
          <cell r="A35" t="str">
            <v>Total Cost of Sales</v>
          </cell>
          <cell r="E35">
            <v>7099.6845111825696</v>
          </cell>
          <cell r="F35">
            <v>8496.4969967790075</v>
          </cell>
          <cell r="G35">
            <v>9090.2408396811697</v>
          </cell>
          <cell r="H35">
            <v>14468.317749943897</v>
          </cell>
          <cell r="I35">
            <v>21388.292318048781</v>
          </cell>
          <cell r="J35">
            <v>30683.961591653573</v>
          </cell>
          <cell r="K35">
            <v>32969.13099229923</v>
          </cell>
          <cell r="L35">
            <v>35443.365824043642</v>
          </cell>
          <cell r="M35">
            <v>33888.13741487122</v>
          </cell>
          <cell r="N35">
            <v>34912.986499378807</v>
          </cell>
          <cell r="O35">
            <v>37258.763432374748</v>
          </cell>
          <cell r="P35">
            <v>41317.382795306752</v>
          </cell>
          <cell r="Q35">
            <v>46094.3169503682</v>
          </cell>
          <cell r="R35">
            <v>49859.392858984116</v>
          </cell>
          <cell r="S35">
            <v>51970.442036173059</v>
          </cell>
          <cell r="T35">
            <v>54299.587840660504</v>
          </cell>
          <cell r="U35">
            <v>56813.762530875654</v>
          </cell>
          <cell r="V35">
            <v>59530.236076864268</v>
          </cell>
          <cell r="W35">
            <v>62548.340133197504</v>
          </cell>
          <cell r="X35">
            <v>65729.965423969246</v>
          </cell>
          <cell r="Y35">
            <v>9.2843642043125119E-2</v>
          </cell>
        </row>
        <row r="41">
          <cell r="A41" t="str">
            <v>Total Operating Costs</v>
          </cell>
          <cell r="E41">
            <v>2400</v>
          </cell>
          <cell r="F41">
            <v>2803.9999999999991</v>
          </cell>
          <cell r="G41">
            <v>3110.1615083505139</v>
          </cell>
          <cell r="H41">
            <v>3830.7834481190162</v>
          </cell>
          <cell r="I41">
            <v>4011.6841064301552</v>
          </cell>
          <cell r="J41">
            <v>4781.7819713492127</v>
          </cell>
          <cell r="K41">
            <v>4961.3416352868735</v>
          </cell>
          <cell r="L41">
            <v>5081.8876806671906</v>
          </cell>
          <cell r="M41">
            <v>5180.1183492878636</v>
          </cell>
          <cell r="N41">
            <v>5329.4216287314557</v>
          </cell>
          <cell r="O41">
            <v>5386.8259230362873</v>
          </cell>
          <cell r="P41">
            <v>5485.1711353604378</v>
          </cell>
          <cell r="Q41">
            <v>5542.0562138403602</v>
          </cell>
          <cell r="R41">
            <v>5621.843593464082</v>
          </cell>
          <cell r="S41">
            <v>5630.5619721740095</v>
          </cell>
          <cell r="T41">
            <v>5686.7761263648044</v>
          </cell>
          <cell r="U41">
            <v>5744.2550990248928</v>
          </cell>
          <cell r="V41">
            <v>5803.0273485698326</v>
          </cell>
          <cell r="W41">
            <v>5863.1219737295341</v>
          </cell>
          <cell r="X41">
            <v>5924.5687279553295</v>
          </cell>
          <cell r="Y41">
            <v>3.4480959453169202E-2</v>
          </cell>
        </row>
        <row r="47">
          <cell r="A47" t="str">
            <v>Total Depreciation</v>
          </cell>
          <cell r="E47">
            <v>1800</v>
          </cell>
          <cell r="F47">
            <v>2100</v>
          </cell>
          <cell r="G47">
            <v>2300</v>
          </cell>
          <cell r="H47">
            <v>1900</v>
          </cell>
          <cell r="I47">
            <v>1107.9000000000001</v>
          </cell>
          <cell r="J47">
            <v>5372.2757077218776</v>
          </cell>
          <cell r="K47">
            <v>6571.1445272630963</v>
          </cell>
          <cell r="L47">
            <v>7298.9341552260348</v>
          </cell>
          <cell r="M47">
            <v>8106.8322343257614</v>
          </cell>
          <cell r="N47">
            <v>8501.5837019512201</v>
          </cell>
          <cell r="O47">
            <v>8780.699096907585</v>
          </cell>
          <cell r="P47">
            <v>9445.3720430164631</v>
          </cell>
          <cell r="Q47">
            <v>9855.6017154343281</v>
          </cell>
          <cell r="R47">
            <v>8580.2133513313183</v>
          </cell>
          <cell r="S47">
            <v>8177.8115513313178</v>
          </cell>
          <cell r="T47">
            <v>7509.036834664651</v>
          </cell>
          <cell r="U47">
            <v>6865.5954513313181</v>
          </cell>
          <cell r="V47">
            <v>6757.7621179979842</v>
          </cell>
          <cell r="W47">
            <v>6873.5954513313181</v>
          </cell>
          <cell r="X47">
            <v>6499.0287846646506</v>
          </cell>
          <cell r="Y47">
            <v>0.12518308101582853</v>
          </cell>
        </row>
        <row r="48">
          <cell r="A48" t="str">
            <v>Amortization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52">
          <cell r="A52" t="str">
            <v>Capital Expenditure</v>
          </cell>
          <cell r="E52">
            <v>2600</v>
          </cell>
          <cell r="F52">
            <v>3400</v>
          </cell>
          <cell r="G52">
            <v>3600</v>
          </cell>
          <cell r="H52">
            <v>10500</v>
          </cell>
          <cell r="I52">
            <v>10800</v>
          </cell>
          <cell r="J52">
            <v>7602.1610000000001</v>
          </cell>
          <cell r="K52">
            <v>245</v>
          </cell>
          <cell r="L52">
            <v>19735</v>
          </cell>
          <cell r="M52">
            <v>2832</v>
          </cell>
          <cell r="N52">
            <v>6525</v>
          </cell>
          <cell r="O52">
            <v>245</v>
          </cell>
          <cell r="P52">
            <v>18145</v>
          </cell>
          <cell r="Q52">
            <v>2845</v>
          </cell>
          <cell r="R52">
            <v>745</v>
          </cell>
          <cell r="S52">
            <v>2245</v>
          </cell>
          <cell r="T52">
            <v>15345</v>
          </cell>
          <cell r="U52">
            <v>2045</v>
          </cell>
          <cell r="V52">
            <v>3345</v>
          </cell>
          <cell r="W52">
            <v>3245</v>
          </cell>
          <cell r="X52">
            <v>245</v>
          </cell>
          <cell r="Y52">
            <v>-0.14536778569142705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APX BSA"/>
      <sheetName val="Lookup - W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>
        <row r="6">
          <cell r="D6">
            <v>21.5</v>
          </cell>
          <cell r="E6">
            <v>171.9</v>
          </cell>
        </row>
        <row r="7">
          <cell r="D7">
            <v>21.6</v>
          </cell>
          <cell r="E7">
            <v>171.9</v>
          </cell>
        </row>
        <row r="8">
          <cell r="D8">
            <v>21.7</v>
          </cell>
          <cell r="E8">
            <v>171.9</v>
          </cell>
        </row>
        <row r="9">
          <cell r="D9">
            <v>21.8</v>
          </cell>
          <cell r="E9">
            <v>171.9</v>
          </cell>
        </row>
        <row r="10">
          <cell r="D10">
            <v>21.9</v>
          </cell>
          <cell r="E10">
            <v>171.9</v>
          </cell>
        </row>
        <row r="11">
          <cell r="D11">
            <v>22</v>
          </cell>
          <cell r="E11">
            <v>171.9</v>
          </cell>
        </row>
        <row r="12">
          <cell r="D12">
            <v>22.1</v>
          </cell>
          <cell r="E12">
            <v>171.9</v>
          </cell>
        </row>
        <row r="13">
          <cell r="D13">
            <v>22.2</v>
          </cell>
          <cell r="E13">
            <v>171.9</v>
          </cell>
        </row>
        <row r="14">
          <cell r="D14">
            <v>22.3</v>
          </cell>
          <cell r="E14">
            <v>171.9</v>
          </cell>
        </row>
        <row r="15">
          <cell r="D15">
            <v>22.4</v>
          </cell>
          <cell r="E15">
            <v>171.9</v>
          </cell>
        </row>
        <row r="16">
          <cell r="D16">
            <v>22.5</v>
          </cell>
          <cell r="E16">
            <v>171.9</v>
          </cell>
        </row>
        <row r="17">
          <cell r="D17">
            <v>22.6</v>
          </cell>
          <cell r="E17">
            <v>174.69</v>
          </cell>
        </row>
        <row r="18">
          <cell r="D18">
            <v>22.7</v>
          </cell>
          <cell r="E18">
            <v>177.48</v>
          </cell>
        </row>
        <row r="19">
          <cell r="D19">
            <v>22.8</v>
          </cell>
          <cell r="E19">
            <v>180.27</v>
          </cell>
        </row>
        <row r="20">
          <cell r="D20">
            <v>22.9</v>
          </cell>
          <cell r="E20">
            <v>183.06</v>
          </cell>
        </row>
        <row r="21">
          <cell r="D21">
            <v>23</v>
          </cell>
          <cell r="E21">
            <v>185.85</v>
          </cell>
        </row>
        <row r="22">
          <cell r="D22">
            <v>23.1</v>
          </cell>
          <cell r="E22">
            <v>188.64</v>
          </cell>
        </row>
        <row r="23">
          <cell r="D23">
            <v>23.2</v>
          </cell>
          <cell r="E23">
            <v>191.43</v>
          </cell>
        </row>
        <row r="24">
          <cell r="D24">
            <v>23.3</v>
          </cell>
          <cell r="E24">
            <v>194.22</v>
          </cell>
        </row>
        <row r="25">
          <cell r="D25">
            <v>23.4</v>
          </cell>
          <cell r="E25">
            <v>197.01</v>
          </cell>
        </row>
        <row r="26">
          <cell r="D26">
            <v>23.5</v>
          </cell>
          <cell r="E26">
            <v>199.8</v>
          </cell>
        </row>
        <row r="27">
          <cell r="D27">
            <v>23.6</v>
          </cell>
          <cell r="E27">
            <v>202.83</v>
          </cell>
        </row>
        <row r="28">
          <cell r="D28">
            <v>23.7</v>
          </cell>
          <cell r="E28">
            <v>205.86</v>
          </cell>
        </row>
        <row r="29">
          <cell r="D29">
            <v>23.8</v>
          </cell>
          <cell r="E29">
            <v>208.89</v>
          </cell>
        </row>
        <row r="30">
          <cell r="D30">
            <v>23.9</v>
          </cell>
          <cell r="E30">
            <v>211.92</v>
          </cell>
        </row>
        <row r="31">
          <cell r="D31">
            <v>24</v>
          </cell>
          <cell r="E31">
            <v>214.95</v>
          </cell>
        </row>
        <row r="32">
          <cell r="D32">
            <v>24.1</v>
          </cell>
          <cell r="E32">
            <v>218.47142857142856</v>
          </cell>
        </row>
        <row r="33">
          <cell r="D33">
            <v>24.2</v>
          </cell>
          <cell r="E33">
            <v>221.99285714285713</v>
          </cell>
        </row>
        <row r="34">
          <cell r="D34">
            <v>24.3</v>
          </cell>
          <cell r="E34">
            <v>225.51428571428571</v>
          </cell>
        </row>
        <row r="35">
          <cell r="D35">
            <v>24.4</v>
          </cell>
          <cell r="E35">
            <v>229.03571428571428</v>
          </cell>
        </row>
        <row r="36">
          <cell r="D36">
            <v>24.5</v>
          </cell>
          <cell r="E36">
            <v>232.55714285714285</v>
          </cell>
        </row>
        <row r="37">
          <cell r="D37">
            <v>24.6</v>
          </cell>
          <cell r="E37">
            <v>236.07857142857142</v>
          </cell>
        </row>
        <row r="38">
          <cell r="D38">
            <v>24.7</v>
          </cell>
          <cell r="E38">
            <v>239.6</v>
          </cell>
        </row>
        <row r="39">
          <cell r="D39">
            <v>24.8</v>
          </cell>
          <cell r="E39">
            <v>243.12142857142857</v>
          </cell>
        </row>
        <row r="40">
          <cell r="D40">
            <v>24.9</v>
          </cell>
          <cell r="E40">
            <v>246.64285714285714</v>
          </cell>
        </row>
        <row r="41">
          <cell r="D41">
            <v>25</v>
          </cell>
          <cell r="E41">
            <v>250.16428571428571</v>
          </cell>
        </row>
        <row r="42">
          <cell r="D42">
            <v>25.1</v>
          </cell>
          <cell r="E42">
            <v>253.68571428571428</v>
          </cell>
        </row>
        <row r="43">
          <cell r="D43">
            <v>25.2</v>
          </cell>
          <cell r="E43">
            <v>257.20714285714286</v>
          </cell>
        </row>
        <row r="44">
          <cell r="D44">
            <v>25.3</v>
          </cell>
          <cell r="E44">
            <v>260.7285714285714</v>
          </cell>
        </row>
        <row r="45">
          <cell r="D45">
            <v>25.4</v>
          </cell>
          <cell r="E45">
            <v>264.25</v>
          </cell>
        </row>
        <row r="46">
          <cell r="D46">
            <v>25.5</v>
          </cell>
          <cell r="E46">
            <v>267.7714285714286</v>
          </cell>
        </row>
        <row r="47">
          <cell r="D47">
            <v>25.6</v>
          </cell>
          <cell r="E47">
            <v>271.2928571428572</v>
          </cell>
        </row>
        <row r="48">
          <cell r="D48">
            <v>25.7</v>
          </cell>
          <cell r="E48">
            <v>274.8142857142858</v>
          </cell>
        </row>
        <row r="49">
          <cell r="D49">
            <v>25.8</v>
          </cell>
          <cell r="E49">
            <v>278.3357142857144</v>
          </cell>
        </row>
        <row r="50">
          <cell r="D50">
            <v>25.9</v>
          </cell>
          <cell r="E50">
            <v>281.857142857143</v>
          </cell>
        </row>
        <row r="51">
          <cell r="D51">
            <v>26</v>
          </cell>
          <cell r="E51">
            <v>285.3785714285716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Asset Plan 476F"/>
      <sheetName val="Asset Plan 656A"/>
      <sheetName val="FA Plan Summary"/>
    </sheetNames>
    <sheetDataSet>
      <sheetData sheetId="0" refreshError="1"/>
      <sheetData sheetId="1">
        <row r="114">
          <cell r="E114" t="str">
            <v xml:space="preserve">4310 : Business buildings  </v>
          </cell>
        </row>
        <row r="115">
          <cell r="E115" t="str">
            <v xml:space="preserve">4320 : Factory buildings   </v>
          </cell>
        </row>
        <row r="116">
          <cell r="E116" t="str">
            <v xml:space="preserve">5100 : Machines            </v>
          </cell>
        </row>
        <row r="117">
          <cell r="E117" t="str">
            <v>5900 : Minor FA equip/mach.</v>
          </cell>
        </row>
        <row r="118">
          <cell r="E118" t="str">
            <v xml:space="preserve">6110 : Own cars            </v>
          </cell>
        </row>
        <row r="119">
          <cell r="E119" t="str">
            <v xml:space="preserve">6200 : PC &amp; equipment      </v>
          </cell>
        </row>
        <row r="120">
          <cell r="E120" t="str">
            <v xml:space="preserve">6201 : Laptop Computer     </v>
          </cell>
        </row>
        <row r="121">
          <cell r="E121" t="str">
            <v xml:space="preserve">6202 : Desktop Software    </v>
          </cell>
        </row>
        <row r="122">
          <cell r="E122" t="str">
            <v>6320 : Communication-&amp; safe</v>
          </cell>
        </row>
        <row r="123">
          <cell r="E123" t="str">
            <v xml:space="preserve">6321 : Telecomm. System    </v>
          </cell>
        </row>
        <row r="124">
          <cell r="E124" t="str">
            <v>6340 : Security and alarm s</v>
          </cell>
        </row>
        <row r="125">
          <cell r="E125" t="str">
            <v>6500 : Normal testing equip</v>
          </cell>
        </row>
        <row r="126">
          <cell r="E126" t="str">
            <v xml:space="preserve">6600 : Special tools       </v>
          </cell>
        </row>
        <row r="127">
          <cell r="E127" t="str">
            <v xml:space="preserve">6700 : Normal tools        </v>
          </cell>
        </row>
        <row r="128">
          <cell r="E128" t="str">
            <v xml:space="preserve">6800 : Other equipment     </v>
          </cell>
        </row>
        <row r="129">
          <cell r="E129" t="str">
            <v>6801 : Electr., Kitchen Eq.</v>
          </cell>
        </row>
        <row r="130">
          <cell r="E130" t="str">
            <v xml:space="preserve">6802 : Furnitures&amp;Fittings </v>
          </cell>
        </row>
        <row r="131">
          <cell r="E131" t="str">
            <v>6805 : Other Office Equipmt</v>
          </cell>
        </row>
        <row r="132">
          <cell r="E132" t="str">
            <v xml:space="preserve">6900 : Minor fixed assets  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Materials"/>
      <sheetName val="Sensitivity"/>
      <sheetName val="Scenarios"/>
      <sheetName val="Valuation"/>
      <sheetName val="Debt Schedule"/>
      <sheetName val="Cash Flow"/>
      <sheetName val="Capex"/>
      <sheetName val="Assumptions"/>
      <sheetName val="Balance sheet"/>
      <sheetName val="Profit and Loss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UNKER 소모량"/>
      <sheetName val="OpSum"/>
      <sheetName val="ControlPanel"/>
      <sheetName val="TMM SLOT COST 1,2"/>
      <sheetName val="적용환율"/>
      <sheetName val="9-1차이내역"/>
      <sheetName val="Scenario 1 - with HMM"/>
      <sheetName val="Revenue"/>
      <sheetName val="Makr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>
        <row r="29">
          <cell r="A29" t="str">
            <v>Average</v>
          </cell>
          <cell r="E29">
            <v>3516.5</v>
          </cell>
          <cell r="F29">
            <v>6337.5</v>
          </cell>
          <cell r="G29">
            <v>8218.0715537374999</v>
          </cell>
          <cell r="H29">
            <v>8455.5715537374999</v>
          </cell>
          <cell r="I29">
            <v>8500</v>
          </cell>
          <cell r="J29">
            <v>8500</v>
          </cell>
          <cell r="K29">
            <v>8500</v>
          </cell>
          <cell r="L29">
            <v>8500</v>
          </cell>
          <cell r="M29">
            <v>8500</v>
          </cell>
          <cell r="N29">
            <v>8500</v>
          </cell>
          <cell r="O29">
            <v>8500</v>
          </cell>
          <cell r="P29">
            <v>8500</v>
          </cell>
          <cell r="Q29">
            <v>8500</v>
          </cell>
          <cell r="R29">
            <v>8500</v>
          </cell>
          <cell r="S29">
            <v>8500</v>
          </cell>
          <cell r="T29">
            <v>8500</v>
          </cell>
          <cell r="U29">
            <v>8500</v>
          </cell>
          <cell r="V29">
            <v>8500</v>
          </cell>
          <cell r="W29">
            <v>8500</v>
          </cell>
        </row>
      </sheetData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yage cost"/>
      <sheetName val="CASCADE-SEP-25"/>
      <sheetName val="DATA"/>
      <sheetName val="SUMMARY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Bunker"/>
      <sheetName val="Vsl-Cost-Comp"/>
      <sheetName val="Cascade-Oct-18 (X)"/>
      <sheetName val="Jun12-Sep15-Comp"/>
      <sheetName val="cascade-Jun27"/>
      <sheetName val="SHIP-COST"/>
      <sheetName val="지방,해외배부"/>
      <sheetName val="Assumptions"/>
      <sheetName val="차수"/>
      <sheetName val="CoA map"/>
      <sheetName val="OpSum"/>
      <sheetName val="ControlPanel"/>
      <sheetName val="MacroA"/>
      <sheetName val="pmx"/>
      <sheetName val="region"/>
      <sheetName val="경제성분석"/>
    </sheetNames>
    <sheetDataSet>
      <sheetData sheetId="0" refreshError="1"/>
      <sheetData sheetId="1" refreshError="1"/>
      <sheetData sheetId="2" refreshError="1">
        <row r="6">
          <cell r="AK6" t="str">
            <v>PS1</v>
          </cell>
          <cell r="AL6">
            <v>2204343.3300000005</v>
          </cell>
          <cell r="AM6">
            <v>418747</v>
          </cell>
          <cell r="AN6">
            <v>0</v>
          </cell>
        </row>
        <row r="7">
          <cell r="AK7" t="str">
            <v>PS1</v>
          </cell>
          <cell r="AL7">
            <v>2204343.3300000005</v>
          </cell>
          <cell r="AM7">
            <v>418747</v>
          </cell>
          <cell r="AN7">
            <v>0</v>
          </cell>
        </row>
        <row r="8">
          <cell r="AK8" t="str">
            <v>PS1</v>
          </cell>
          <cell r="AL8">
            <v>2204343.3300000005</v>
          </cell>
          <cell r="AM8">
            <v>418747</v>
          </cell>
          <cell r="AN8">
            <v>0</v>
          </cell>
        </row>
        <row r="9">
          <cell r="AK9" t="str">
            <v>PS1</v>
          </cell>
          <cell r="AL9">
            <v>2204343.3300000005</v>
          </cell>
          <cell r="AM9">
            <v>418747</v>
          </cell>
          <cell r="AN9">
            <v>0</v>
          </cell>
        </row>
        <row r="10">
          <cell r="AK10" t="str">
            <v>PS1</v>
          </cell>
          <cell r="AL10">
            <v>2204343.3300000005</v>
          </cell>
          <cell r="AM10">
            <v>418747</v>
          </cell>
          <cell r="AN10">
            <v>0</v>
          </cell>
        </row>
        <row r="11">
          <cell r="AK11" t="str">
            <v>PS1</v>
          </cell>
          <cell r="AL11">
            <v>2204343.3300000005</v>
          </cell>
          <cell r="AM11">
            <v>418747</v>
          </cell>
          <cell r="AN11">
            <v>0</v>
          </cell>
        </row>
        <row r="12">
          <cell r="AK12" t="str">
            <v>PS2</v>
          </cell>
          <cell r="AL12">
            <v>1727480.0550000002</v>
          </cell>
          <cell r="AM12">
            <v>342118</v>
          </cell>
          <cell r="AN12">
            <v>0</v>
          </cell>
        </row>
        <row r="13">
          <cell r="AK13" t="str">
            <v>PS2</v>
          </cell>
          <cell r="AL13">
            <v>1727480.0550000002</v>
          </cell>
          <cell r="AM13">
            <v>342118</v>
          </cell>
          <cell r="AN13">
            <v>0</v>
          </cell>
        </row>
        <row r="14">
          <cell r="AK14" t="str">
            <v>PS2</v>
          </cell>
          <cell r="AL14">
            <v>1727480.0550000002</v>
          </cell>
          <cell r="AM14">
            <v>342118</v>
          </cell>
          <cell r="AN14">
            <v>0</v>
          </cell>
        </row>
        <row r="15">
          <cell r="AK15" t="str">
            <v>PS2</v>
          </cell>
          <cell r="AL15">
            <v>1727480.0550000002</v>
          </cell>
          <cell r="AM15">
            <v>342118</v>
          </cell>
          <cell r="AN15">
            <v>0</v>
          </cell>
        </row>
        <row r="16">
          <cell r="AK16" t="str">
            <v>PS2</v>
          </cell>
          <cell r="AL16">
            <v>1727480.0550000002</v>
          </cell>
          <cell r="AM16">
            <v>342118</v>
          </cell>
          <cell r="AN16">
            <v>0</v>
          </cell>
        </row>
        <row r="17">
          <cell r="AK17" t="str">
            <v>GCX</v>
          </cell>
          <cell r="AL17">
            <v>1648008.6000000003</v>
          </cell>
          <cell r="AM17">
            <v>403449.19999999995</v>
          </cell>
          <cell r="AN17">
            <v>0</v>
          </cell>
        </row>
        <row r="18">
          <cell r="AK18" t="str">
            <v>RELTP</v>
          </cell>
        </row>
        <row r="19">
          <cell r="AK19" t="str">
            <v>GCX</v>
          </cell>
          <cell r="AL19">
            <v>1648008.6000000003</v>
          </cell>
          <cell r="AM19">
            <v>403449.19999999995</v>
          </cell>
          <cell r="AN19">
            <v>0</v>
          </cell>
        </row>
        <row r="20">
          <cell r="AK20" t="str">
            <v>GCX</v>
          </cell>
          <cell r="AL20">
            <v>1648008.6000000003</v>
          </cell>
          <cell r="AM20">
            <v>403449.19999999995</v>
          </cell>
          <cell r="AN20">
            <v>0</v>
          </cell>
        </row>
        <row r="21">
          <cell r="AK21" t="str">
            <v>GCX</v>
          </cell>
          <cell r="AL21">
            <v>1648008.6000000003</v>
          </cell>
          <cell r="AM21">
            <v>403449.19999999995</v>
          </cell>
          <cell r="AN21">
            <v>0</v>
          </cell>
        </row>
        <row r="22">
          <cell r="AK22" t="str">
            <v>GCX</v>
          </cell>
          <cell r="AL22">
            <v>1648008.6000000003</v>
          </cell>
          <cell r="AM22">
            <v>403449.19999999995</v>
          </cell>
          <cell r="AN22">
            <v>0</v>
          </cell>
        </row>
        <row r="23">
          <cell r="AK23" t="str">
            <v>WAX</v>
          </cell>
          <cell r="AL23">
            <v>1562529.0975000001</v>
          </cell>
          <cell r="AM23">
            <v>158508</v>
          </cell>
          <cell r="AN23">
            <v>0</v>
          </cell>
        </row>
        <row r="24">
          <cell r="AK24" t="str">
            <v>CEX</v>
          </cell>
          <cell r="AL24">
            <v>1694493.0843749996</v>
          </cell>
          <cell r="AM24">
            <v>398216</v>
          </cell>
          <cell r="AN24">
            <v>986709.5</v>
          </cell>
        </row>
        <row r="25">
          <cell r="AK25" t="str">
            <v>CEX</v>
          </cell>
          <cell r="AL25">
            <v>1694493.0843749996</v>
          </cell>
          <cell r="AM25">
            <v>398216</v>
          </cell>
          <cell r="AN25">
            <v>986709.5</v>
          </cell>
        </row>
        <row r="26">
          <cell r="AK26" t="str">
            <v>CEX</v>
          </cell>
          <cell r="AL26">
            <v>1694493.0843749996</v>
          </cell>
          <cell r="AM26">
            <v>398216</v>
          </cell>
          <cell r="AN26">
            <v>986709.5</v>
          </cell>
        </row>
        <row r="27">
          <cell r="AK27" t="str">
            <v>CEX</v>
          </cell>
          <cell r="AL27">
            <v>1694493.0843749996</v>
          </cell>
          <cell r="AM27">
            <v>398216</v>
          </cell>
          <cell r="AN27">
            <v>986709.5</v>
          </cell>
        </row>
        <row r="28">
          <cell r="AK28" t="str">
            <v>CEX</v>
          </cell>
          <cell r="AL28">
            <v>1694493.0843749996</v>
          </cell>
          <cell r="AM28">
            <v>398216</v>
          </cell>
          <cell r="AN28">
            <v>986709.5</v>
          </cell>
        </row>
        <row r="29">
          <cell r="AK29" t="str">
            <v>APXTAS</v>
          </cell>
          <cell r="AL29">
            <v>1101109.2750000001</v>
          </cell>
          <cell r="AM29">
            <v>368901.52173913032</v>
          </cell>
          <cell r="AN29">
            <v>277988.66666666669</v>
          </cell>
        </row>
        <row r="30">
          <cell r="AK30" t="str">
            <v>APXTAS</v>
          </cell>
          <cell r="AL30">
            <v>1101109.2750000001</v>
          </cell>
          <cell r="AM30">
            <v>368901.52173913032</v>
          </cell>
          <cell r="AN30">
            <v>277988.66666666669</v>
          </cell>
        </row>
        <row r="31">
          <cell r="AK31" t="str">
            <v>MED</v>
          </cell>
          <cell r="AL31">
            <v>1163968.8374999997</v>
          </cell>
          <cell r="AM31">
            <v>384023.5</v>
          </cell>
          <cell r="AN31">
            <v>686000</v>
          </cell>
        </row>
        <row r="32">
          <cell r="AK32" t="str">
            <v>SAX</v>
          </cell>
          <cell r="AL32">
            <v>2029247.8499999999</v>
          </cell>
          <cell r="AM32">
            <v>237798.41821138217</v>
          </cell>
          <cell r="AN32">
            <v>0</v>
          </cell>
        </row>
        <row r="33">
          <cell r="AK33" t="str">
            <v>SAX</v>
          </cell>
          <cell r="AL33">
            <v>2029247.8499999999</v>
          </cell>
          <cell r="AM33">
            <v>237798.41821138217</v>
          </cell>
          <cell r="AN33">
            <v>0</v>
          </cell>
        </row>
        <row r="34">
          <cell r="AK34" t="str">
            <v>SAX</v>
          </cell>
          <cell r="AL34">
            <v>2029247.8499999999</v>
          </cell>
          <cell r="AM34">
            <v>237798.41821138217</v>
          </cell>
          <cell r="AN34">
            <v>0</v>
          </cell>
        </row>
        <row r="35">
          <cell r="AK35" t="str">
            <v>RELEU</v>
          </cell>
        </row>
        <row r="36">
          <cell r="AK36" t="str">
            <v>CEX</v>
          </cell>
          <cell r="AL36">
            <v>1982788.2375000005</v>
          </cell>
          <cell r="AM36">
            <v>421484</v>
          </cell>
          <cell r="AN36">
            <v>1062236</v>
          </cell>
        </row>
        <row r="37">
          <cell r="AK37" t="str">
            <v>CEX</v>
          </cell>
          <cell r="AL37">
            <v>1953751.2750000001</v>
          </cell>
          <cell r="AM37">
            <v>408296.00000000006</v>
          </cell>
          <cell r="AN37">
            <v>1112926.5</v>
          </cell>
        </row>
        <row r="38">
          <cell r="AK38" t="str">
            <v>CEX</v>
          </cell>
          <cell r="AL38">
            <v>1953751.2750000001</v>
          </cell>
          <cell r="AM38">
            <v>408296.00000000006</v>
          </cell>
          <cell r="AN38">
            <v>1112926.5</v>
          </cell>
        </row>
        <row r="39">
          <cell r="AK39" t="str">
            <v>APXTAS</v>
          </cell>
          <cell r="AL39">
            <v>1627612.8050000002</v>
          </cell>
          <cell r="AM39">
            <v>424237.56666666665</v>
          </cell>
          <cell r="AN39">
            <v>319686.96666666662</v>
          </cell>
        </row>
        <row r="40">
          <cell r="AK40" t="str">
            <v>APXTAS</v>
          </cell>
          <cell r="AL40">
            <v>1627612.8050000002</v>
          </cell>
          <cell r="AM40">
            <v>424237.56666666665</v>
          </cell>
          <cell r="AN40">
            <v>319686.96666666662</v>
          </cell>
        </row>
        <row r="41">
          <cell r="AK41" t="str">
            <v>SAX</v>
          </cell>
          <cell r="AL41">
            <v>1963617.3900000001</v>
          </cell>
          <cell r="AM41">
            <v>249352.57723577233</v>
          </cell>
          <cell r="AN41">
            <v>0</v>
          </cell>
        </row>
        <row r="42">
          <cell r="AK42" t="str">
            <v>SAX</v>
          </cell>
          <cell r="AL42">
            <v>1963617.3900000001</v>
          </cell>
          <cell r="AM42">
            <v>249352.57723577233</v>
          </cell>
          <cell r="AN42">
            <v>0</v>
          </cell>
        </row>
        <row r="43">
          <cell r="AK43" t="str">
            <v>SAX</v>
          </cell>
          <cell r="AL43">
            <v>1963617.3900000001</v>
          </cell>
          <cell r="AM43">
            <v>249352.57723577233</v>
          </cell>
          <cell r="AN43">
            <v>0</v>
          </cell>
        </row>
        <row r="44"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</row>
        <row r="45"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</row>
        <row r="46">
          <cell r="AK46" t="str">
            <v>-</v>
          </cell>
          <cell r="AL46" t="str">
            <v>-</v>
          </cell>
          <cell r="AM46" t="str">
            <v>-</v>
          </cell>
          <cell r="AN46" t="str">
            <v>-</v>
          </cell>
        </row>
        <row r="47"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</row>
        <row r="48"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</row>
        <row r="49"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</row>
        <row r="50"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</row>
        <row r="51"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</row>
        <row r="52"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</row>
        <row r="53">
          <cell r="AK53" t="str">
            <v>EU4</v>
          </cell>
          <cell r="AL53">
            <v>1696528.7587500003</v>
          </cell>
          <cell r="AM53">
            <v>391976.12128914194</v>
          </cell>
          <cell r="AN53">
            <v>885507</v>
          </cell>
        </row>
        <row r="54">
          <cell r="AK54" t="str">
            <v>EU4</v>
          </cell>
          <cell r="AL54">
            <v>1696528.7587500003</v>
          </cell>
          <cell r="AM54">
            <v>391976.12128914194</v>
          </cell>
          <cell r="AN54">
            <v>885507</v>
          </cell>
        </row>
        <row r="55">
          <cell r="AK55" t="str">
            <v>EU4</v>
          </cell>
          <cell r="AL55">
            <v>1696528.7587500003</v>
          </cell>
          <cell r="AM55">
            <v>391976.12128914194</v>
          </cell>
          <cell r="AN55">
            <v>885507</v>
          </cell>
        </row>
        <row r="56">
          <cell r="AK56" t="str">
            <v>-</v>
          </cell>
          <cell r="AL56" t="str">
            <v>-</v>
          </cell>
          <cell r="AM56" t="str">
            <v>-</v>
          </cell>
          <cell r="AN56" t="str">
            <v>-</v>
          </cell>
        </row>
        <row r="57">
          <cell r="AK57" t="str">
            <v>-</v>
          </cell>
          <cell r="AL57" t="str">
            <v>-</v>
          </cell>
          <cell r="AM57" t="str">
            <v>-</v>
          </cell>
          <cell r="AN57" t="str">
            <v>-</v>
          </cell>
        </row>
        <row r="58">
          <cell r="AK58" t="str">
            <v>-</v>
          </cell>
          <cell r="AL58" t="str">
            <v>-</v>
          </cell>
          <cell r="AM58" t="str">
            <v>-</v>
          </cell>
          <cell r="AN58" t="str">
            <v>-</v>
          </cell>
        </row>
        <row r="59"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</row>
        <row r="60"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</row>
        <row r="61">
          <cell r="AK61" t="str">
            <v>APXTAS</v>
          </cell>
          <cell r="AL61">
            <v>1627612.8050000002</v>
          </cell>
          <cell r="AM61">
            <v>424237.56666666665</v>
          </cell>
          <cell r="AN61">
            <v>319686.96666666662</v>
          </cell>
        </row>
        <row r="66">
          <cell r="AK66" t="str">
            <v>WAX</v>
          </cell>
          <cell r="AL66">
            <v>1507479.7499999995</v>
          </cell>
          <cell r="AM66">
            <v>158508</v>
          </cell>
        </row>
        <row r="67">
          <cell r="AK67" t="str">
            <v>WAX</v>
          </cell>
          <cell r="AL67">
            <v>1507479.7499999995</v>
          </cell>
          <cell r="AM67">
            <v>158508</v>
          </cell>
        </row>
        <row r="68">
          <cell r="AK68" t="str">
            <v>WAX</v>
          </cell>
          <cell r="AL68">
            <v>1507479.7499999995</v>
          </cell>
          <cell r="AM68">
            <v>158508</v>
          </cell>
        </row>
        <row r="69">
          <cell r="AK69" t="str">
            <v>MED</v>
          </cell>
          <cell r="AL69">
            <v>1361188.224375</v>
          </cell>
          <cell r="AM69">
            <v>384023.5</v>
          </cell>
          <cell r="AN69">
            <v>686000</v>
          </cell>
        </row>
        <row r="76">
          <cell r="AK76" t="str">
            <v>APXTAS</v>
          </cell>
          <cell r="AL76">
            <v>1440821.7950000002</v>
          </cell>
          <cell r="AM76">
            <v>424237.56666666665</v>
          </cell>
          <cell r="AN76">
            <v>319686.96666666667</v>
          </cell>
        </row>
        <row r="81">
          <cell r="AK81">
            <v>0</v>
          </cell>
          <cell r="AL81">
            <v>78670.445630000031</v>
          </cell>
          <cell r="AM81">
            <v>15943.687660353817</v>
          </cell>
          <cell r="AN81">
            <v>14084.882700000002</v>
          </cell>
        </row>
        <row r="83">
          <cell r="AK83">
            <v>6</v>
          </cell>
        </row>
        <row r="84">
          <cell r="AK84">
            <v>5</v>
          </cell>
        </row>
        <row r="85">
          <cell r="AK85">
            <v>5</v>
          </cell>
        </row>
        <row r="86">
          <cell r="AK86">
            <v>6</v>
          </cell>
        </row>
        <row r="87">
          <cell r="AK87">
            <v>0</v>
          </cell>
        </row>
        <row r="88">
          <cell r="AK88">
            <v>0</v>
          </cell>
        </row>
        <row r="89">
          <cell r="AK89">
            <v>0</v>
          </cell>
        </row>
        <row r="90">
          <cell r="AK90">
            <v>8</v>
          </cell>
        </row>
        <row r="91">
          <cell r="AK91">
            <v>3</v>
          </cell>
        </row>
        <row r="92">
          <cell r="AK92">
            <v>2</v>
          </cell>
        </row>
        <row r="93">
          <cell r="AK93">
            <v>6</v>
          </cell>
        </row>
        <row r="94">
          <cell r="AK94">
            <v>4</v>
          </cell>
        </row>
        <row r="95">
          <cell r="AK95">
            <v>0</v>
          </cell>
        </row>
        <row r="96">
          <cell r="AK96">
            <v>0</v>
          </cell>
        </row>
        <row r="97">
          <cell r="AK97">
            <v>0</v>
          </cell>
        </row>
        <row r="99">
          <cell r="AK99">
            <v>45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9_1차이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Materials"/>
      <sheetName val="Valuation"/>
      <sheetName val="Financials"/>
      <sheetName val="Output"/>
      <sheetName val="Debt Output"/>
      <sheetName val="&lt;=Output    Input=&gt;"/>
      <sheetName val="Scenarios"/>
      <sheetName val="Summary Info"/>
      <sheetName val="Debt Servicing"/>
      <sheetName val="Capex"/>
      <sheetName val="Assumptions"/>
      <sheetName val="Profit and Loss"/>
      <sheetName val="Balance sheet"/>
      <sheetName val="Cash Flow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alanc聥 sheet"/>
      <sheetName val="차수"/>
      <sheetName val="DATA"/>
      <sheetName val="BOLLARDS"/>
      <sheetName val="수입"/>
      <sheetName val="9-1차이내역"/>
      <sheetName val="연간점유"/>
      <sheetName val="지방,해외배부"/>
      <sheetName val="OpSum"/>
      <sheetName val="Control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Capex"/>
      <sheetName val="Scenario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>
        <row r="6">
          <cell r="D6">
            <v>21.5</v>
          </cell>
          <cell r="E6">
            <v>171.9</v>
          </cell>
        </row>
        <row r="7">
          <cell r="D7">
            <v>21.6</v>
          </cell>
          <cell r="E7">
            <v>171.9</v>
          </cell>
        </row>
        <row r="8">
          <cell r="D8">
            <v>21.7</v>
          </cell>
          <cell r="E8">
            <v>171.9</v>
          </cell>
        </row>
        <row r="9">
          <cell r="D9">
            <v>21.8</v>
          </cell>
          <cell r="E9">
            <v>171.9</v>
          </cell>
        </row>
        <row r="10">
          <cell r="D10">
            <v>21.9</v>
          </cell>
          <cell r="E10">
            <v>171.9</v>
          </cell>
        </row>
        <row r="11">
          <cell r="D11">
            <v>22</v>
          </cell>
          <cell r="E11">
            <v>171.9</v>
          </cell>
        </row>
        <row r="12">
          <cell r="D12">
            <v>22.1</v>
          </cell>
          <cell r="E12">
            <v>171.9</v>
          </cell>
        </row>
        <row r="13">
          <cell r="D13">
            <v>22.2</v>
          </cell>
          <cell r="E13">
            <v>171.9</v>
          </cell>
        </row>
        <row r="14">
          <cell r="D14">
            <v>22.3</v>
          </cell>
          <cell r="E14">
            <v>171.9</v>
          </cell>
        </row>
        <row r="15">
          <cell r="D15">
            <v>22.4</v>
          </cell>
          <cell r="E15">
            <v>171.9</v>
          </cell>
        </row>
        <row r="16">
          <cell r="D16">
            <v>22.5</v>
          </cell>
          <cell r="E16">
            <v>171.9</v>
          </cell>
        </row>
        <row r="17">
          <cell r="D17">
            <v>22.6</v>
          </cell>
          <cell r="E17">
            <v>174.69</v>
          </cell>
        </row>
        <row r="18">
          <cell r="D18">
            <v>22.7</v>
          </cell>
          <cell r="E18">
            <v>177.48</v>
          </cell>
        </row>
        <row r="19">
          <cell r="D19">
            <v>22.8</v>
          </cell>
          <cell r="E19">
            <v>180.27</v>
          </cell>
        </row>
        <row r="20">
          <cell r="D20">
            <v>22.9</v>
          </cell>
          <cell r="E20">
            <v>183.06</v>
          </cell>
        </row>
        <row r="21">
          <cell r="D21">
            <v>23</v>
          </cell>
          <cell r="E21">
            <v>185.85</v>
          </cell>
        </row>
        <row r="22">
          <cell r="D22">
            <v>23.1</v>
          </cell>
          <cell r="E22">
            <v>188.64</v>
          </cell>
        </row>
        <row r="23">
          <cell r="D23">
            <v>23.2</v>
          </cell>
          <cell r="E23">
            <v>191.43</v>
          </cell>
        </row>
        <row r="24">
          <cell r="D24">
            <v>23.3</v>
          </cell>
          <cell r="E24">
            <v>194.22</v>
          </cell>
        </row>
        <row r="25">
          <cell r="D25">
            <v>23.4</v>
          </cell>
          <cell r="E25">
            <v>197.01</v>
          </cell>
        </row>
        <row r="26">
          <cell r="D26">
            <v>23.5</v>
          </cell>
          <cell r="E26">
            <v>199.8</v>
          </cell>
        </row>
        <row r="27">
          <cell r="D27">
            <v>23.6</v>
          </cell>
          <cell r="E27">
            <v>202.83</v>
          </cell>
        </row>
        <row r="28">
          <cell r="D28">
            <v>23.7</v>
          </cell>
          <cell r="E28">
            <v>205.86</v>
          </cell>
        </row>
        <row r="29">
          <cell r="D29">
            <v>23.8</v>
          </cell>
          <cell r="E29">
            <v>208.89</v>
          </cell>
        </row>
        <row r="30">
          <cell r="D30">
            <v>23.9</v>
          </cell>
          <cell r="E30">
            <v>211.92</v>
          </cell>
        </row>
        <row r="31">
          <cell r="D31">
            <v>24</v>
          </cell>
          <cell r="E31">
            <v>214.95</v>
          </cell>
        </row>
        <row r="32">
          <cell r="D32">
            <v>24.1</v>
          </cell>
          <cell r="E32">
            <v>218.47142857142856</v>
          </cell>
        </row>
        <row r="33">
          <cell r="D33">
            <v>24.2</v>
          </cell>
          <cell r="E33">
            <v>221.99285714285713</v>
          </cell>
        </row>
        <row r="34">
          <cell r="D34">
            <v>24.3</v>
          </cell>
          <cell r="E34">
            <v>225.51428571428571</v>
          </cell>
        </row>
        <row r="35">
          <cell r="D35">
            <v>24.4</v>
          </cell>
          <cell r="E35">
            <v>229.03571428571428</v>
          </cell>
        </row>
        <row r="36">
          <cell r="D36">
            <v>24.5</v>
          </cell>
          <cell r="E36">
            <v>232.55714285714285</v>
          </cell>
        </row>
        <row r="37">
          <cell r="D37">
            <v>24.6</v>
          </cell>
          <cell r="E37">
            <v>236.07857142857142</v>
          </cell>
        </row>
        <row r="38">
          <cell r="D38">
            <v>24.7</v>
          </cell>
          <cell r="E38">
            <v>239.6</v>
          </cell>
        </row>
        <row r="39">
          <cell r="D39">
            <v>24.8</v>
          </cell>
          <cell r="E39">
            <v>243.12142857142857</v>
          </cell>
        </row>
        <row r="40">
          <cell r="D40">
            <v>24.9</v>
          </cell>
          <cell r="E40">
            <v>246.64285714285714</v>
          </cell>
        </row>
        <row r="41">
          <cell r="D41">
            <v>25</v>
          </cell>
          <cell r="E41">
            <v>250.16428571428571</v>
          </cell>
        </row>
        <row r="42">
          <cell r="D42">
            <v>25.1</v>
          </cell>
          <cell r="E42">
            <v>253.68571428571428</v>
          </cell>
        </row>
        <row r="43">
          <cell r="D43">
            <v>25.2</v>
          </cell>
          <cell r="E43">
            <v>257.20714285714286</v>
          </cell>
        </row>
        <row r="44">
          <cell r="D44">
            <v>25.3</v>
          </cell>
          <cell r="E44">
            <v>260.7285714285714</v>
          </cell>
        </row>
        <row r="45">
          <cell r="D45">
            <v>25.4</v>
          </cell>
          <cell r="E45">
            <v>264.25</v>
          </cell>
        </row>
        <row r="46">
          <cell r="D46">
            <v>25.5</v>
          </cell>
          <cell r="E46">
            <v>267.7714285714286</v>
          </cell>
        </row>
        <row r="47">
          <cell r="D47">
            <v>25.6</v>
          </cell>
          <cell r="E47">
            <v>271.2928571428572</v>
          </cell>
        </row>
        <row r="48">
          <cell r="D48">
            <v>25.7</v>
          </cell>
          <cell r="E48">
            <v>274.8142857142858</v>
          </cell>
        </row>
        <row r="49">
          <cell r="D49">
            <v>25.8</v>
          </cell>
          <cell r="E49">
            <v>278.3357142857144</v>
          </cell>
        </row>
        <row r="50">
          <cell r="D50">
            <v>25.9</v>
          </cell>
          <cell r="E50">
            <v>281.857142857143</v>
          </cell>
        </row>
        <row r="51">
          <cell r="D51">
            <v>26</v>
          </cell>
          <cell r="E51">
            <v>285.3785714285716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DATA"/>
      <sheetName val="SUM COST"/>
      <sheetName val="02 apl bsa sum"/>
      <sheetName val="SUMMARY-CAPACITY"/>
      <sheetName val="Cascade"/>
      <sheetName val="02 Profile"/>
      <sheetName val="EUR"/>
      <sheetName val="03 Profile"/>
      <sheetName val="SUMM-CAPACITY-COST"/>
      <sheetName val="Expl_Var"/>
      <sheetName val="Summary-Cost-Teu"/>
      <sheetName val="SAXWAX"/>
      <sheetName val="JEXP"/>
      <sheetName val="SUZ(TEST)"/>
      <sheetName val="BSA-Comp"/>
      <sheetName val="04 Profile"/>
      <sheetName val="CEXSAX"/>
      <sheetName val="SAX"/>
      <sheetName val="PS1Q1"/>
      <sheetName val="PS1"/>
      <sheetName val="PS2 1Q"/>
      <sheetName val="PS2 2-4Q"/>
      <sheetName val="PS3"/>
      <sheetName val="GCX"/>
      <sheetName val="PSV"/>
      <sheetName val="PNW"/>
      <sheetName val="PNX"/>
      <sheetName val="PNXWAX"/>
      <sheetName val="MAX"/>
      <sheetName val="APX"/>
      <sheetName val="APXTASq1"/>
      <sheetName val="APXTAS"/>
      <sheetName val="AEX"/>
      <sheetName val="CEX 1Q"/>
      <sheetName val="CEX 2-4Q"/>
      <sheetName val="JEX"/>
      <sheetName val="EU4"/>
      <sheetName val="MED"/>
      <sheetName val="WAX"/>
      <sheetName val="REX"/>
      <sheetName val="Compare (2)"/>
      <sheetName val="Summary of Change"/>
      <sheetName val="ShaNgb_FdrCost"/>
      <sheetName val="SHS_VOYAGE"/>
      <sheetName val="Bunker"/>
      <sheetName val="APX 13 ship  v2b"/>
      <sheetName val="REX VSP"/>
      <sheetName val="Aker "/>
      <sheetName val="PS1Q1VSP"/>
      <sheetName val="04 Prof"/>
      <sheetName val="Compare-EU-TP"/>
      <sheetName val="Compare-APX-TAS"/>
      <sheetName val="Summary_ Slide"/>
      <sheetName val="AAX-LOOP(A)"/>
      <sheetName val="AAX-LOOP(B)"/>
      <sheetName val="BUNKER 소모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Q6">
            <v>5624102.9157131724</v>
          </cell>
          <cell r="R6" t="str">
            <v>PS1</v>
          </cell>
          <cell r="S6">
            <v>6170081.7013333328</v>
          </cell>
          <cell r="T6">
            <v>1241049.3333333333</v>
          </cell>
          <cell r="U6">
            <v>0</v>
          </cell>
          <cell r="W6" t="str">
            <v>PS1</v>
          </cell>
          <cell r="X6">
            <v>1661175.8426666665</v>
          </cell>
          <cell r="Y6">
            <v>334128.66666666663</v>
          </cell>
          <cell r="Z6">
            <v>0</v>
          </cell>
          <cell r="AB6" t="str">
            <v>PS1</v>
          </cell>
          <cell r="AC6">
            <v>1423865.0079999999</v>
          </cell>
          <cell r="AD6">
            <v>286396</v>
          </cell>
          <cell r="AE6">
            <v>0</v>
          </cell>
          <cell r="AG6" t="str">
            <v>PS1</v>
          </cell>
          <cell r="AH6">
            <v>1423865.0079999999</v>
          </cell>
          <cell r="AI6">
            <v>286396</v>
          </cell>
          <cell r="AJ6">
            <v>0</v>
          </cell>
          <cell r="AL6" t="str">
            <v>PS1</v>
          </cell>
          <cell r="AM6">
            <v>1661175.8426666665</v>
          </cell>
          <cell r="AN6">
            <v>334128.66666666663</v>
          </cell>
          <cell r="AO6">
            <v>0</v>
          </cell>
          <cell r="AQ6" t="str">
            <v>PS1</v>
          </cell>
          <cell r="AR6">
            <v>1950144.103703704</v>
          </cell>
          <cell r="AS6">
            <v>465675.00000000006</v>
          </cell>
          <cell r="AT6">
            <v>0</v>
          </cell>
          <cell r="AV6" t="str">
            <v>PS1</v>
          </cell>
          <cell r="AW6">
            <v>1423865.0079999999</v>
          </cell>
          <cell r="AX6">
            <v>286396</v>
          </cell>
          <cell r="AY6">
            <v>0</v>
          </cell>
          <cell r="BA6" t="str">
            <v>PS1</v>
          </cell>
          <cell r="BB6">
            <v>1423865.0079999999</v>
          </cell>
          <cell r="BC6">
            <v>286396</v>
          </cell>
          <cell r="BD6">
            <v>0</v>
          </cell>
          <cell r="BF6" t="str">
            <v>PS1</v>
          </cell>
          <cell r="BG6">
            <v>1661175.8426666665</v>
          </cell>
          <cell r="BH6">
            <v>334128.66666666663</v>
          </cell>
          <cell r="BI6">
            <v>0</v>
          </cell>
          <cell r="BK6" t="str">
            <v>PS1</v>
          </cell>
          <cell r="BL6">
            <v>1661175.8426666665</v>
          </cell>
          <cell r="BM6">
            <v>334128.66666666663</v>
          </cell>
          <cell r="BN6">
            <v>0</v>
          </cell>
          <cell r="BP6" t="str">
            <v>PS1</v>
          </cell>
          <cell r="BQ6">
            <v>1423865.0079999999</v>
          </cell>
          <cell r="BR6">
            <v>286396</v>
          </cell>
          <cell r="BS6">
            <v>0</v>
          </cell>
          <cell r="BU6" t="str">
            <v>PS1</v>
          </cell>
          <cell r="BV6">
            <v>1423865.0079999999</v>
          </cell>
          <cell r="BW6">
            <v>286396</v>
          </cell>
          <cell r="BX6">
            <v>0</v>
          </cell>
          <cell r="BZ6" t="str">
            <v>PS1</v>
          </cell>
          <cell r="CA6">
            <v>1661175.8426666665</v>
          </cell>
          <cell r="CB6">
            <v>334128.66666666663</v>
          </cell>
          <cell r="CC6">
            <v>0</v>
          </cell>
          <cell r="CE6" t="str">
            <v>PS1</v>
          </cell>
          <cell r="CF6">
            <v>1661175.8426666665</v>
          </cell>
          <cell r="CG6">
            <v>334128.66666666663</v>
          </cell>
          <cell r="CH6">
            <v>0</v>
          </cell>
          <cell r="CJ6" t="str">
            <v>PS1</v>
          </cell>
          <cell r="CK6">
            <v>1423865.0079999999</v>
          </cell>
          <cell r="CL6">
            <v>286396</v>
          </cell>
          <cell r="CM6">
            <v>0</v>
          </cell>
          <cell r="CO6" t="str">
            <v>PS1</v>
          </cell>
          <cell r="CP6">
            <v>1423865.0079999999</v>
          </cell>
          <cell r="CQ6">
            <v>286396</v>
          </cell>
          <cell r="CR6">
            <v>0</v>
          </cell>
          <cell r="CT6" t="str">
            <v>PS1</v>
          </cell>
          <cell r="CU6">
            <v>1661175.8426666665</v>
          </cell>
          <cell r="CV6">
            <v>334128.66666666663</v>
          </cell>
          <cell r="CW6">
            <v>0</v>
          </cell>
        </row>
        <row r="7">
          <cell r="Q7">
            <v>5638484.6249439409</v>
          </cell>
          <cell r="R7" t="str">
            <v>PS1</v>
          </cell>
          <cell r="S7">
            <v>6170081.7013333328</v>
          </cell>
          <cell r="T7">
            <v>1241049.3333333333</v>
          </cell>
          <cell r="U7">
            <v>0</v>
          </cell>
          <cell r="W7" t="str">
            <v>PS1</v>
          </cell>
          <cell r="X7">
            <v>1661175.8426666665</v>
          </cell>
          <cell r="Y7">
            <v>334128.66666666663</v>
          </cell>
          <cell r="Z7">
            <v>0</v>
          </cell>
          <cell r="AB7" t="str">
            <v>PS1</v>
          </cell>
          <cell r="AC7">
            <v>1423865.0079999999</v>
          </cell>
          <cell r="AD7">
            <v>286396</v>
          </cell>
          <cell r="AE7">
            <v>0</v>
          </cell>
          <cell r="AG7" t="str">
            <v>PS1</v>
          </cell>
          <cell r="AH7">
            <v>1423865.0079999999</v>
          </cell>
          <cell r="AI7">
            <v>286396</v>
          </cell>
          <cell r="AJ7">
            <v>0</v>
          </cell>
          <cell r="AL7" t="str">
            <v>PS1</v>
          </cell>
          <cell r="AM7">
            <v>1661175.8426666665</v>
          </cell>
          <cell r="AN7">
            <v>334128.66666666663</v>
          </cell>
          <cell r="AO7">
            <v>0</v>
          </cell>
          <cell r="AQ7" t="str">
            <v>PS1</v>
          </cell>
          <cell r="AR7">
            <v>1950144.103703704</v>
          </cell>
          <cell r="AS7">
            <v>465675.00000000006</v>
          </cell>
          <cell r="AT7">
            <v>0</v>
          </cell>
          <cell r="AV7" t="str">
            <v>PS1</v>
          </cell>
          <cell r="AW7">
            <v>1423865.0079999999</v>
          </cell>
          <cell r="AX7">
            <v>286396</v>
          </cell>
          <cell r="AY7">
            <v>0</v>
          </cell>
          <cell r="BA7" t="str">
            <v>PS1</v>
          </cell>
          <cell r="BB7">
            <v>1423865.0079999999</v>
          </cell>
          <cell r="BC7">
            <v>286396</v>
          </cell>
          <cell r="BD7">
            <v>0</v>
          </cell>
          <cell r="BF7" t="str">
            <v>PS1</v>
          </cell>
          <cell r="BG7">
            <v>1661175.8426666665</v>
          </cell>
          <cell r="BH7">
            <v>334128.66666666663</v>
          </cell>
          <cell r="BI7">
            <v>0</v>
          </cell>
          <cell r="BK7" t="str">
            <v>PS1</v>
          </cell>
          <cell r="BL7">
            <v>1661175.8426666665</v>
          </cell>
          <cell r="BM7">
            <v>334128.66666666663</v>
          </cell>
          <cell r="BN7">
            <v>0</v>
          </cell>
          <cell r="BP7" t="str">
            <v>PS1</v>
          </cell>
          <cell r="BQ7">
            <v>1423865.0079999999</v>
          </cell>
          <cell r="BR7">
            <v>286396</v>
          </cell>
          <cell r="BS7">
            <v>0</v>
          </cell>
          <cell r="BU7" t="str">
            <v>PS1</v>
          </cell>
          <cell r="BV7">
            <v>1423865.0079999999</v>
          </cell>
          <cell r="BW7">
            <v>286396</v>
          </cell>
          <cell r="BX7">
            <v>0</v>
          </cell>
          <cell r="BZ7" t="str">
            <v>PS1</v>
          </cell>
          <cell r="CA7">
            <v>1661175.8426666665</v>
          </cell>
          <cell r="CB7">
            <v>334128.66666666663</v>
          </cell>
          <cell r="CC7">
            <v>0</v>
          </cell>
          <cell r="CE7" t="str">
            <v>PS1</v>
          </cell>
          <cell r="CF7">
            <v>1661175.8426666665</v>
          </cell>
          <cell r="CG7">
            <v>334128.66666666663</v>
          </cell>
          <cell r="CH7">
            <v>0</v>
          </cell>
          <cell r="CJ7" t="str">
            <v>PS1</v>
          </cell>
          <cell r="CK7">
            <v>1423865.0079999999</v>
          </cell>
          <cell r="CL7">
            <v>286396</v>
          </cell>
          <cell r="CM7">
            <v>0</v>
          </cell>
          <cell r="CO7" t="str">
            <v>PS1</v>
          </cell>
          <cell r="CP7">
            <v>1423865.0079999999</v>
          </cell>
          <cell r="CQ7">
            <v>286396</v>
          </cell>
          <cell r="CR7">
            <v>0</v>
          </cell>
          <cell r="CT7" t="str">
            <v>PS1</v>
          </cell>
          <cell r="CU7">
            <v>1661175.8426666665</v>
          </cell>
          <cell r="CV7">
            <v>334128.66666666663</v>
          </cell>
          <cell r="CW7">
            <v>0</v>
          </cell>
        </row>
        <row r="8">
          <cell r="Q8">
            <v>9008310.2885932103</v>
          </cell>
          <cell r="R8" t="str">
            <v>PS1</v>
          </cell>
          <cell r="S8">
            <v>6170081.7013333328</v>
          </cell>
          <cell r="T8">
            <v>1241049.3333333333</v>
          </cell>
          <cell r="U8">
            <v>0</v>
          </cell>
          <cell r="W8" t="str">
            <v>PS1</v>
          </cell>
          <cell r="X8">
            <v>1661175.8426666665</v>
          </cell>
          <cell r="Y8">
            <v>334128.66666666663</v>
          </cell>
          <cell r="Z8">
            <v>0</v>
          </cell>
          <cell r="AB8" t="str">
            <v>PS1</v>
          </cell>
          <cell r="AC8">
            <v>1423865.0079999999</v>
          </cell>
          <cell r="AD8">
            <v>286396</v>
          </cell>
          <cell r="AE8">
            <v>0</v>
          </cell>
          <cell r="AG8" t="str">
            <v>PS1</v>
          </cell>
          <cell r="AH8">
            <v>1423865.0079999999</v>
          </cell>
          <cell r="AI8">
            <v>286396</v>
          </cell>
          <cell r="AJ8">
            <v>0</v>
          </cell>
          <cell r="AL8" t="str">
            <v>PS1</v>
          </cell>
          <cell r="AM8">
            <v>1661175.8426666665</v>
          </cell>
          <cell r="AN8">
            <v>334128.66666666663</v>
          </cell>
          <cell r="AO8">
            <v>0</v>
          </cell>
          <cell r="AQ8" t="str">
            <v>PS1</v>
          </cell>
          <cell r="AR8">
            <v>1950144.103703704</v>
          </cell>
          <cell r="AS8">
            <v>465675.00000000006</v>
          </cell>
          <cell r="AT8">
            <v>0</v>
          </cell>
          <cell r="AV8" t="str">
            <v>PS1</v>
          </cell>
          <cell r="AW8">
            <v>1423865.0079999999</v>
          </cell>
          <cell r="AX8">
            <v>286396</v>
          </cell>
          <cell r="AY8">
            <v>0</v>
          </cell>
          <cell r="BA8" t="str">
            <v>PS1</v>
          </cell>
          <cell r="BB8">
            <v>1423865.0079999999</v>
          </cell>
          <cell r="BC8">
            <v>286396</v>
          </cell>
          <cell r="BD8">
            <v>0</v>
          </cell>
          <cell r="BF8" t="str">
            <v>PS1</v>
          </cell>
          <cell r="BG8">
            <v>1661175.8426666665</v>
          </cell>
          <cell r="BH8">
            <v>334128.66666666663</v>
          </cell>
          <cell r="BI8">
            <v>0</v>
          </cell>
          <cell r="BK8" t="str">
            <v>PS1</v>
          </cell>
          <cell r="BL8">
            <v>1661175.8426666665</v>
          </cell>
          <cell r="BM8">
            <v>334128.66666666663</v>
          </cell>
          <cell r="BN8">
            <v>0</v>
          </cell>
          <cell r="BP8" t="str">
            <v>PS1</v>
          </cell>
          <cell r="BQ8">
            <v>1423865.0079999999</v>
          </cell>
          <cell r="BR8">
            <v>286396</v>
          </cell>
          <cell r="BS8">
            <v>0</v>
          </cell>
          <cell r="BU8" t="str">
            <v>PS1</v>
          </cell>
          <cell r="BV8">
            <v>1423865.0079999999</v>
          </cell>
          <cell r="BW8">
            <v>286396</v>
          </cell>
          <cell r="BX8">
            <v>0</v>
          </cell>
          <cell r="BZ8" t="str">
            <v>PS1</v>
          </cell>
          <cell r="CA8">
            <v>1661175.8426666665</v>
          </cell>
          <cell r="CB8">
            <v>334128.66666666663</v>
          </cell>
          <cell r="CC8">
            <v>0</v>
          </cell>
          <cell r="CE8" t="str">
            <v>PS1</v>
          </cell>
          <cell r="CF8">
            <v>1661175.8426666665</v>
          </cell>
          <cell r="CG8">
            <v>334128.66666666663</v>
          </cell>
          <cell r="CH8">
            <v>0</v>
          </cell>
          <cell r="CJ8" t="str">
            <v>PS1</v>
          </cell>
          <cell r="CK8">
            <v>1423865.0079999999</v>
          </cell>
          <cell r="CL8">
            <v>286396</v>
          </cell>
          <cell r="CM8">
            <v>0</v>
          </cell>
          <cell r="CO8" t="str">
            <v>PS1</v>
          </cell>
          <cell r="CP8">
            <v>1423865.0079999999</v>
          </cell>
          <cell r="CQ8">
            <v>286396</v>
          </cell>
          <cell r="CR8">
            <v>0</v>
          </cell>
          <cell r="CT8" t="str">
            <v>PS1</v>
          </cell>
          <cell r="CU8">
            <v>1661175.8426666665</v>
          </cell>
          <cell r="CV8">
            <v>334128.66666666663</v>
          </cell>
          <cell r="CW8">
            <v>0</v>
          </cell>
        </row>
        <row r="9">
          <cell r="Q9">
            <v>9116788.3147470541</v>
          </cell>
          <cell r="R9" t="str">
            <v>PS1</v>
          </cell>
          <cell r="S9">
            <v>6170081.7013333328</v>
          </cell>
          <cell r="T9">
            <v>1241049.3333333333</v>
          </cell>
          <cell r="U9">
            <v>0</v>
          </cell>
          <cell r="W9" t="str">
            <v>PS1</v>
          </cell>
          <cell r="X9">
            <v>1661175.8426666665</v>
          </cell>
          <cell r="Y9">
            <v>334128.66666666663</v>
          </cell>
          <cell r="Z9">
            <v>0</v>
          </cell>
          <cell r="AB9" t="str">
            <v>PS1</v>
          </cell>
          <cell r="AC9">
            <v>1423865.0079999999</v>
          </cell>
          <cell r="AD9">
            <v>286396</v>
          </cell>
          <cell r="AE9">
            <v>0</v>
          </cell>
          <cell r="AG9" t="str">
            <v>PS1</v>
          </cell>
          <cell r="AH9">
            <v>1423865.0079999999</v>
          </cell>
          <cell r="AI9">
            <v>286396</v>
          </cell>
          <cell r="AJ9">
            <v>0</v>
          </cell>
          <cell r="AL9" t="str">
            <v>PS1</v>
          </cell>
          <cell r="AM9">
            <v>1661175.8426666665</v>
          </cell>
          <cell r="AN9">
            <v>334128.66666666663</v>
          </cell>
          <cell r="AO9">
            <v>0</v>
          </cell>
          <cell r="AQ9" t="str">
            <v>PS1</v>
          </cell>
          <cell r="AR9">
            <v>1950144.103703704</v>
          </cell>
          <cell r="AS9">
            <v>465675.00000000006</v>
          </cell>
          <cell r="AT9">
            <v>0</v>
          </cell>
          <cell r="AV9" t="str">
            <v>PS1</v>
          </cell>
          <cell r="AW9">
            <v>1423865.0079999999</v>
          </cell>
          <cell r="AX9">
            <v>286396</v>
          </cell>
          <cell r="AY9">
            <v>0</v>
          </cell>
          <cell r="BA9" t="str">
            <v>PS1</v>
          </cell>
          <cell r="BB9">
            <v>1423865.0079999999</v>
          </cell>
          <cell r="BC9">
            <v>286396</v>
          </cell>
          <cell r="BD9">
            <v>0</v>
          </cell>
          <cell r="BF9" t="str">
            <v>PS1</v>
          </cell>
          <cell r="BG9">
            <v>1661175.8426666665</v>
          </cell>
          <cell r="BH9">
            <v>334128.66666666663</v>
          </cell>
          <cell r="BI9">
            <v>0</v>
          </cell>
          <cell r="BK9" t="str">
            <v>PS1</v>
          </cell>
          <cell r="BL9">
            <v>1661175.8426666665</v>
          </cell>
          <cell r="BM9">
            <v>334128.66666666663</v>
          </cell>
          <cell r="BN9">
            <v>0</v>
          </cell>
          <cell r="BP9" t="str">
            <v>PS1</v>
          </cell>
          <cell r="BQ9">
            <v>1423865.0079999999</v>
          </cell>
          <cell r="BR9">
            <v>286396</v>
          </cell>
          <cell r="BS9">
            <v>0</v>
          </cell>
          <cell r="BU9" t="str">
            <v>PS1</v>
          </cell>
          <cell r="BV9">
            <v>1423865.0079999999</v>
          </cell>
          <cell r="BW9">
            <v>286396</v>
          </cell>
          <cell r="BX9">
            <v>0</v>
          </cell>
          <cell r="BZ9" t="str">
            <v>PS1</v>
          </cell>
          <cell r="CA9">
            <v>1661175.8426666665</v>
          </cell>
          <cell r="CB9">
            <v>334128.66666666663</v>
          </cell>
          <cell r="CC9">
            <v>0</v>
          </cell>
          <cell r="CE9" t="str">
            <v>PS1</v>
          </cell>
          <cell r="CF9">
            <v>1661175.8426666665</v>
          </cell>
          <cell r="CG9">
            <v>334128.66666666663</v>
          </cell>
          <cell r="CH9">
            <v>0</v>
          </cell>
          <cell r="CJ9" t="str">
            <v>PS1</v>
          </cell>
          <cell r="CK9">
            <v>1423865.0079999999</v>
          </cell>
          <cell r="CL9">
            <v>286396</v>
          </cell>
          <cell r="CM9">
            <v>0</v>
          </cell>
          <cell r="CO9" t="str">
            <v>PS1</v>
          </cell>
          <cell r="CP9">
            <v>1423865.0079999999</v>
          </cell>
          <cell r="CQ9">
            <v>286396</v>
          </cell>
          <cell r="CR9">
            <v>0</v>
          </cell>
          <cell r="CT9" t="str">
            <v>PS1</v>
          </cell>
          <cell r="CU9">
            <v>1661175.8426666665</v>
          </cell>
          <cell r="CV9">
            <v>334128.66666666663</v>
          </cell>
          <cell r="CW9">
            <v>0</v>
          </cell>
        </row>
        <row r="10">
          <cell r="Q10">
            <v>9190207.8847470544</v>
          </cell>
          <cell r="R10" t="str">
            <v>PS1</v>
          </cell>
          <cell r="S10">
            <v>6170081.7013333328</v>
          </cell>
          <cell r="T10">
            <v>1241049.3333333333</v>
          </cell>
          <cell r="U10">
            <v>0</v>
          </cell>
          <cell r="W10" t="str">
            <v>PS1</v>
          </cell>
          <cell r="X10">
            <v>1661175.8426666665</v>
          </cell>
          <cell r="Y10">
            <v>334128.66666666663</v>
          </cell>
          <cell r="Z10">
            <v>0</v>
          </cell>
          <cell r="AB10" t="str">
            <v>PS1</v>
          </cell>
          <cell r="AC10">
            <v>1423865.0079999999</v>
          </cell>
          <cell r="AD10">
            <v>286396</v>
          </cell>
          <cell r="AE10">
            <v>0</v>
          </cell>
          <cell r="AG10" t="str">
            <v>PS1</v>
          </cell>
          <cell r="AH10">
            <v>1423865.0079999999</v>
          </cell>
          <cell r="AI10">
            <v>286396</v>
          </cell>
          <cell r="AJ10">
            <v>0</v>
          </cell>
          <cell r="AL10" t="str">
            <v>PS1</v>
          </cell>
          <cell r="AM10">
            <v>1661175.8426666665</v>
          </cell>
          <cell r="AN10">
            <v>334128.66666666663</v>
          </cell>
          <cell r="AO10">
            <v>0</v>
          </cell>
          <cell r="AQ10" t="str">
            <v>PS1</v>
          </cell>
          <cell r="AR10">
            <v>1950144.103703704</v>
          </cell>
          <cell r="AS10">
            <v>465675.00000000006</v>
          </cell>
          <cell r="AT10">
            <v>0</v>
          </cell>
          <cell r="AV10" t="str">
            <v>PS1</v>
          </cell>
          <cell r="AW10">
            <v>1423865.0079999999</v>
          </cell>
          <cell r="AX10">
            <v>286396</v>
          </cell>
          <cell r="AY10">
            <v>0</v>
          </cell>
          <cell r="BA10" t="str">
            <v>PS1</v>
          </cell>
          <cell r="BB10">
            <v>1423865.0079999999</v>
          </cell>
          <cell r="BC10">
            <v>286396</v>
          </cell>
          <cell r="BD10">
            <v>0</v>
          </cell>
          <cell r="BF10" t="str">
            <v>PS1</v>
          </cell>
          <cell r="BG10">
            <v>1661175.8426666665</v>
          </cell>
          <cell r="BH10">
            <v>334128.66666666663</v>
          </cell>
          <cell r="BI10">
            <v>0</v>
          </cell>
          <cell r="BK10" t="str">
            <v>PS1</v>
          </cell>
          <cell r="BL10">
            <v>1661175.8426666665</v>
          </cell>
          <cell r="BM10">
            <v>334128.66666666663</v>
          </cell>
          <cell r="BN10">
            <v>0</v>
          </cell>
          <cell r="BP10" t="str">
            <v>PS1</v>
          </cell>
          <cell r="BQ10">
            <v>1423865.0079999999</v>
          </cell>
          <cell r="BR10">
            <v>286396</v>
          </cell>
          <cell r="BS10">
            <v>0</v>
          </cell>
          <cell r="BU10" t="str">
            <v>PS1</v>
          </cell>
          <cell r="BV10">
            <v>1423865.0079999999</v>
          </cell>
          <cell r="BW10">
            <v>286396</v>
          </cell>
          <cell r="BX10">
            <v>0</v>
          </cell>
          <cell r="BZ10" t="str">
            <v>PS1</v>
          </cell>
          <cell r="CA10">
            <v>1661175.8426666665</v>
          </cell>
          <cell r="CB10">
            <v>334128.66666666663</v>
          </cell>
          <cell r="CC10">
            <v>0</v>
          </cell>
          <cell r="CE10" t="str">
            <v>PS1</v>
          </cell>
          <cell r="CF10">
            <v>1661175.8426666665</v>
          </cell>
          <cell r="CG10">
            <v>334128.66666666663</v>
          </cell>
          <cell r="CH10">
            <v>0</v>
          </cell>
          <cell r="CJ10" t="str">
            <v>PS1</v>
          </cell>
          <cell r="CK10">
            <v>1423865.0079999999</v>
          </cell>
          <cell r="CL10">
            <v>286396</v>
          </cell>
          <cell r="CM10">
            <v>0</v>
          </cell>
          <cell r="CO10" t="str">
            <v>PS1</v>
          </cell>
          <cell r="CP10">
            <v>1423865.0079999999</v>
          </cell>
          <cell r="CQ10">
            <v>286396</v>
          </cell>
          <cell r="CR10">
            <v>0</v>
          </cell>
          <cell r="CT10" t="str">
            <v>PS1</v>
          </cell>
          <cell r="CU10">
            <v>1661175.8426666665</v>
          </cell>
          <cell r="CV10">
            <v>334128.66666666663</v>
          </cell>
          <cell r="CW10">
            <v>0</v>
          </cell>
        </row>
        <row r="11">
          <cell r="Q11">
            <v>9015106.5639778245</v>
          </cell>
          <cell r="R11" t="str">
            <v>PS1</v>
          </cell>
          <cell r="S11">
            <v>6170081.7013333328</v>
          </cell>
          <cell r="T11">
            <v>1241049.3333333333</v>
          </cell>
          <cell r="U11">
            <v>0</v>
          </cell>
          <cell r="W11" t="str">
            <v>PS1</v>
          </cell>
          <cell r="X11">
            <v>1661175.8426666665</v>
          </cell>
          <cell r="Y11">
            <v>334128.66666666663</v>
          </cell>
          <cell r="Z11">
            <v>0</v>
          </cell>
          <cell r="AB11" t="str">
            <v>PS1</v>
          </cell>
          <cell r="AC11">
            <v>1423865.0079999999</v>
          </cell>
          <cell r="AD11">
            <v>286396</v>
          </cell>
          <cell r="AE11">
            <v>0</v>
          </cell>
          <cell r="AG11" t="str">
            <v>PS1</v>
          </cell>
          <cell r="AH11">
            <v>1423865.0079999999</v>
          </cell>
          <cell r="AI11">
            <v>286396</v>
          </cell>
          <cell r="AJ11">
            <v>0</v>
          </cell>
          <cell r="AL11" t="str">
            <v>PS1</v>
          </cell>
          <cell r="AM11">
            <v>1661175.8426666665</v>
          </cell>
          <cell r="AN11">
            <v>334128.66666666663</v>
          </cell>
          <cell r="AO11">
            <v>0</v>
          </cell>
          <cell r="AQ11" t="str">
            <v>PS1</v>
          </cell>
          <cell r="AR11">
            <v>1950144.103703704</v>
          </cell>
          <cell r="AS11">
            <v>465675.00000000006</v>
          </cell>
          <cell r="AT11">
            <v>0</v>
          </cell>
          <cell r="AV11" t="str">
            <v>PS1</v>
          </cell>
          <cell r="AW11">
            <v>1423865.0079999999</v>
          </cell>
          <cell r="AX11">
            <v>286396</v>
          </cell>
          <cell r="AY11">
            <v>0</v>
          </cell>
          <cell r="BA11" t="str">
            <v>PS1</v>
          </cell>
          <cell r="BB11">
            <v>1423865.0079999999</v>
          </cell>
          <cell r="BC11">
            <v>286396</v>
          </cell>
          <cell r="BD11">
            <v>0</v>
          </cell>
          <cell r="BF11" t="str">
            <v>PS1</v>
          </cell>
          <cell r="BG11">
            <v>1661175.8426666665</v>
          </cell>
          <cell r="BH11">
            <v>334128.66666666663</v>
          </cell>
          <cell r="BI11">
            <v>0</v>
          </cell>
          <cell r="BK11" t="str">
            <v>PS1</v>
          </cell>
          <cell r="BL11">
            <v>1661175.8426666665</v>
          </cell>
          <cell r="BM11">
            <v>334128.66666666663</v>
          </cell>
          <cell r="BN11">
            <v>0</v>
          </cell>
          <cell r="BP11" t="str">
            <v>PS1</v>
          </cell>
          <cell r="BQ11">
            <v>1423865.0079999999</v>
          </cell>
          <cell r="BR11">
            <v>286396</v>
          </cell>
          <cell r="BS11">
            <v>0</v>
          </cell>
          <cell r="BU11" t="str">
            <v>PS1</v>
          </cell>
          <cell r="BV11">
            <v>1423865.0079999999</v>
          </cell>
          <cell r="BW11">
            <v>286396</v>
          </cell>
          <cell r="BX11">
            <v>0</v>
          </cell>
          <cell r="BZ11" t="str">
            <v>PS1</v>
          </cell>
          <cell r="CA11">
            <v>1661175.8426666665</v>
          </cell>
          <cell r="CB11">
            <v>334128.66666666663</v>
          </cell>
          <cell r="CC11">
            <v>0</v>
          </cell>
          <cell r="CE11" t="str">
            <v>PS1</v>
          </cell>
          <cell r="CF11">
            <v>1661175.8426666665</v>
          </cell>
          <cell r="CG11">
            <v>334128.66666666663</v>
          </cell>
          <cell r="CH11">
            <v>0</v>
          </cell>
          <cell r="CJ11" t="str">
            <v>PS1</v>
          </cell>
          <cell r="CK11">
            <v>1423865.0079999999</v>
          </cell>
          <cell r="CL11">
            <v>286396</v>
          </cell>
          <cell r="CM11">
            <v>0</v>
          </cell>
          <cell r="CO11" t="str">
            <v>PS1</v>
          </cell>
          <cell r="CP11">
            <v>1423865.0079999999</v>
          </cell>
          <cell r="CQ11">
            <v>286396</v>
          </cell>
          <cell r="CR11">
            <v>0</v>
          </cell>
          <cell r="CT11" t="str">
            <v>PS1</v>
          </cell>
          <cell r="CU11">
            <v>1661175.8426666665</v>
          </cell>
          <cell r="CV11">
            <v>334128.66666666663</v>
          </cell>
          <cell r="CW11">
            <v>0</v>
          </cell>
        </row>
        <row r="12">
          <cell r="Q12">
            <v>11022440.650900902</v>
          </cell>
          <cell r="R12" t="str">
            <v>PS2</v>
          </cell>
          <cell r="S12">
            <v>4722636.3080000002</v>
          </cell>
          <cell r="T12">
            <v>1648231.9578947367</v>
          </cell>
          <cell r="U12">
            <v>0</v>
          </cell>
          <cell r="W12" t="str">
            <v>PS2</v>
          </cell>
          <cell r="X12">
            <v>1271479.0060000001</v>
          </cell>
          <cell r="Y12">
            <v>443754.75789473683</v>
          </cell>
          <cell r="Z12">
            <v>0</v>
          </cell>
          <cell r="AB12" t="str">
            <v>PS2</v>
          </cell>
          <cell r="AC12">
            <v>1089839.148</v>
          </cell>
          <cell r="AD12">
            <v>380361.22105263156</v>
          </cell>
          <cell r="AE12">
            <v>0</v>
          </cell>
          <cell r="AG12" t="str">
            <v>PS2</v>
          </cell>
          <cell r="AH12">
            <v>1089839.148</v>
          </cell>
          <cell r="AI12">
            <v>380361.22105263156</v>
          </cell>
          <cell r="AJ12">
            <v>0</v>
          </cell>
          <cell r="AL12" t="str">
            <v>PS2</v>
          </cell>
          <cell r="AM12">
            <v>1271479.0060000001</v>
          </cell>
          <cell r="AN12">
            <v>443754.75789473683</v>
          </cell>
          <cell r="AO12">
            <v>0</v>
          </cell>
          <cell r="AQ12" t="str">
            <v>PS2</v>
          </cell>
          <cell r="AR12">
            <v>1271479.0060000001</v>
          </cell>
          <cell r="AS12">
            <v>443754.75789473683</v>
          </cell>
          <cell r="AT12">
            <v>0</v>
          </cell>
          <cell r="AV12" t="str">
            <v>PS2</v>
          </cell>
          <cell r="AW12">
            <v>1089839.148</v>
          </cell>
          <cell r="AX12">
            <v>380361.22105263156</v>
          </cell>
          <cell r="AY12">
            <v>0</v>
          </cell>
          <cell r="BA12" t="str">
            <v>PS2</v>
          </cell>
          <cell r="BB12">
            <v>1089839.148</v>
          </cell>
          <cell r="BC12">
            <v>380361.22105263156</v>
          </cell>
          <cell r="BD12">
            <v>0</v>
          </cell>
          <cell r="BF12" t="str">
            <v>PS2</v>
          </cell>
          <cell r="BG12">
            <v>1271479.0060000001</v>
          </cell>
          <cell r="BH12">
            <v>443754.75789473683</v>
          </cell>
          <cell r="BI12">
            <v>0</v>
          </cell>
          <cell r="BK12" t="str">
            <v>PS2</v>
          </cell>
          <cell r="BL12">
            <v>1271479.0060000001</v>
          </cell>
          <cell r="BM12">
            <v>443754.75789473683</v>
          </cell>
          <cell r="BN12">
            <v>0</v>
          </cell>
          <cell r="BP12" t="str">
            <v>PS2</v>
          </cell>
          <cell r="BQ12">
            <v>1089839.148</v>
          </cell>
          <cell r="BR12">
            <v>380361.22105263156</v>
          </cell>
          <cell r="BS12">
            <v>0</v>
          </cell>
          <cell r="BU12" t="str">
            <v>PS2</v>
          </cell>
          <cell r="BV12">
            <v>1089839.148</v>
          </cell>
          <cell r="BW12">
            <v>380361.22105263156</v>
          </cell>
          <cell r="BX12">
            <v>0</v>
          </cell>
          <cell r="BZ12" t="str">
            <v>PS2</v>
          </cell>
          <cell r="CA12">
            <v>1271479.0060000001</v>
          </cell>
          <cell r="CB12">
            <v>443754.75789473683</v>
          </cell>
          <cell r="CC12">
            <v>0</v>
          </cell>
          <cell r="CE12" t="str">
            <v>PS2</v>
          </cell>
          <cell r="CF12">
            <v>1271479.0060000001</v>
          </cell>
          <cell r="CG12">
            <v>443754.75789473683</v>
          </cell>
          <cell r="CH12">
            <v>0</v>
          </cell>
          <cell r="CJ12" t="str">
            <v>PS2</v>
          </cell>
          <cell r="CK12">
            <v>1089839.148</v>
          </cell>
          <cell r="CL12">
            <v>380361.22105263156</v>
          </cell>
          <cell r="CM12">
            <v>0</v>
          </cell>
          <cell r="CO12" t="str">
            <v>PS2</v>
          </cell>
          <cell r="CP12">
            <v>1089839.148</v>
          </cell>
          <cell r="CQ12">
            <v>380361.22105263156</v>
          </cell>
          <cell r="CR12">
            <v>0</v>
          </cell>
          <cell r="CT12" t="str">
            <v>PS2</v>
          </cell>
          <cell r="CU12">
            <v>1271479.0060000001</v>
          </cell>
          <cell r="CV12">
            <v>443754.75789473683</v>
          </cell>
          <cell r="CW12">
            <v>0</v>
          </cell>
        </row>
        <row r="13">
          <cell r="Q13">
            <v>11223563.999362439</v>
          </cell>
          <cell r="R13" t="str">
            <v>PS2</v>
          </cell>
          <cell r="S13">
            <v>4722636.3080000002</v>
          </cell>
          <cell r="T13">
            <v>1648231.9578947367</v>
          </cell>
          <cell r="U13">
            <v>0</v>
          </cell>
          <cell r="W13" t="str">
            <v>PS2</v>
          </cell>
          <cell r="X13">
            <v>1271479.0060000001</v>
          </cell>
          <cell r="Y13">
            <v>443754.75789473683</v>
          </cell>
          <cell r="Z13">
            <v>0</v>
          </cell>
          <cell r="AB13" t="str">
            <v>PS2</v>
          </cell>
          <cell r="AC13">
            <v>1089839.148</v>
          </cell>
          <cell r="AD13">
            <v>380361.22105263156</v>
          </cell>
          <cell r="AE13">
            <v>0</v>
          </cell>
          <cell r="AG13" t="str">
            <v>PS2</v>
          </cell>
          <cell r="AH13">
            <v>1089839.148</v>
          </cell>
          <cell r="AI13">
            <v>380361.22105263156</v>
          </cell>
          <cell r="AJ13">
            <v>0</v>
          </cell>
          <cell r="AL13" t="str">
            <v>PS2</v>
          </cell>
          <cell r="AM13">
            <v>1271479.0060000001</v>
          </cell>
          <cell r="AN13">
            <v>443754.75789473683</v>
          </cell>
          <cell r="AO13">
            <v>0</v>
          </cell>
          <cell r="AQ13" t="str">
            <v>PS2</v>
          </cell>
          <cell r="AR13">
            <v>1271479.0060000001</v>
          </cell>
          <cell r="AS13">
            <v>443754.75789473683</v>
          </cell>
          <cell r="AT13">
            <v>0</v>
          </cell>
          <cell r="AV13" t="str">
            <v>PS2</v>
          </cell>
          <cell r="AW13">
            <v>1089839.148</v>
          </cell>
          <cell r="AX13">
            <v>380361.22105263156</v>
          </cell>
          <cell r="AY13">
            <v>0</v>
          </cell>
          <cell r="BA13" t="str">
            <v>PS2</v>
          </cell>
          <cell r="BB13">
            <v>1089839.148</v>
          </cell>
          <cell r="BC13">
            <v>380361.22105263156</v>
          </cell>
          <cell r="BD13">
            <v>0</v>
          </cell>
          <cell r="BF13" t="str">
            <v>PS2</v>
          </cell>
          <cell r="BG13">
            <v>1271479.0060000001</v>
          </cell>
          <cell r="BH13">
            <v>443754.75789473683</v>
          </cell>
          <cell r="BI13">
            <v>0</v>
          </cell>
          <cell r="BK13" t="str">
            <v>PS2</v>
          </cell>
          <cell r="BL13">
            <v>1271479.0060000001</v>
          </cell>
          <cell r="BM13">
            <v>443754.75789473683</v>
          </cell>
          <cell r="BN13">
            <v>0</v>
          </cell>
          <cell r="BP13" t="str">
            <v>PS2</v>
          </cell>
          <cell r="BQ13">
            <v>1089839.148</v>
          </cell>
          <cell r="BR13">
            <v>380361.22105263156</v>
          </cell>
          <cell r="BS13">
            <v>0</v>
          </cell>
          <cell r="BU13" t="str">
            <v>PS2</v>
          </cell>
          <cell r="BV13">
            <v>1089839.148</v>
          </cell>
          <cell r="BW13">
            <v>380361.22105263156</v>
          </cell>
          <cell r="BX13">
            <v>0</v>
          </cell>
          <cell r="BZ13" t="str">
            <v>PS2</v>
          </cell>
          <cell r="CA13">
            <v>1271479.0060000001</v>
          </cell>
          <cell r="CB13">
            <v>443754.75789473683</v>
          </cell>
          <cell r="CC13">
            <v>0</v>
          </cell>
          <cell r="CE13" t="str">
            <v>PS2</v>
          </cell>
          <cell r="CF13">
            <v>1271479.0060000001</v>
          </cell>
          <cell r="CG13">
            <v>443754.75789473683</v>
          </cell>
          <cell r="CH13">
            <v>0</v>
          </cell>
          <cell r="CJ13" t="str">
            <v>PS2</v>
          </cell>
          <cell r="CK13">
            <v>1089839.148</v>
          </cell>
          <cell r="CL13">
            <v>380361.22105263156</v>
          </cell>
          <cell r="CM13">
            <v>0</v>
          </cell>
          <cell r="CO13" t="str">
            <v>PS2</v>
          </cell>
          <cell r="CP13">
            <v>1089839.148</v>
          </cell>
          <cell r="CQ13">
            <v>380361.22105263156</v>
          </cell>
          <cell r="CR13">
            <v>0</v>
          </cell>
          <cell r="CT13" t="str">
            <v>PS2</v>
          </cell>
          <cell r="CU13">
            <v>1271479.0060000001</v>
          </cell>
          <cell r="CV13">
            <v>443754.75789473683</v>
          </cell>
          <cell r="CW13">
            <v>0</v>
          </cell>
        </row>
        <row r="14">
          <cell r="Q14">
            <v>11082417.88936244</v>
          </cell>
          <cell r="R14" t="str">
            <v>PS2</v>
          </cell>
          <cell r="S14">
            <v>4722636.3080000002</v>
          </cell>
          <cell r="T14">
            <v>1648231.9578947367</v>
          </cell>
          <cell r="U14">
            <v>0</v>
          </cell>
          <cell r="W14" t="str">
            <v>PS2</v>
          </cell>
          <cell r="X14">
            <v>1271479.0060000001</v>
          </cell>
          <cell r="Y14">
            <v>443754.75789473683</v>
          </cell>
          <cell r="Z14">
            <v>0</v>
          </cell>
          <cell r="AB14" t="str">
            <v>PS2</v>
          </cell>
          <cell r="AC14">
            <v>1089839.148</v>
          </cell>
          <cell r="AD14">
            <v>380361.22105263156</v>
          </cell>
          <cell r="AE14">
            <v>0</v>
          </cell>
          <cell r="AG14" t="str">
            <v>PS2</v>
          </cell>
          <cell r="AH14">
            <v>1089839.148</v>
          </cell>
          <cell r="AI14">
            <v>380361.22105263156</v>
          </cell>
          <cell r="AJ14">
            <v>0</v>
          </cell>
          <cell r="AL14" t="str">
            <v>PS2</v>
          </cell>
          <cell r="AM14">
            <v>1271479.0060000001</v>
          </cell>
          <cell r="AN14">
            <v>443754.75789473683</v>
          </cell>
          <cell r="AO14">
            <v>0</v>
          </cell>
          <cell r="AQ14" t="str">
            <v>PS2</v>
          </cell>
          <cell r="AR14">
            <v>1271479.0060000001</v>
          </cell>
          <cell r="AS14">
            <v>443754.75789473683</v>
          </cell>
          <cell r="AT14">
            <v>0</v>
          </cell>
          <cell r="AV14" t="str">
            <v>PS2</v>
          </cell>
          <cell r="AW14">
            <v>1089839.148</v>
          </cell>
          <cell r="AX14">
            <v>380361.22105263156</v>
          </cell>
          <cell r="AY14">
            <v>0</v>
          </cell>
          <cell r="BA14" t="str">
            <v>PS2</v>
          </cell>
          <cell r="BB14">
            <v>1089839.148</v>
          </cell>
          <cell r="BC14">
            <v>380361.22105263156</v>
          </cell>
          <cell r="BD14">
            <v>0</v>
          </cell>
          <cell r="BF14" t="str">
            <v>PS2</v>
          </cell>
          <cell r="BG14">
            <v>1271479.0060000001</v>
          </cell>
          <cell r="BH14">
            <v>443754.75789473683</v>
          </cell>
          <cell r="BI14">
            <v>0</v>
          </cell>
          <cell r="BK14" t="str">
            <v>PS2</v>
          </cell>
          <cell r="BL14">
            <v>1271479.0060000001</v>
          </cell>
          <cell r="BM14">
            <v>443754.75789473683</v>
          </cell>
          <cell r="BN14">
            <v>0</v>
          </cell>
          <cell r="BP14" t="str">
            <v>PS2</v>
          </cell>
          <cell r="BQ14">
            <v>1089839.148</v>
          </cell>
          <cell r="BR14">
            <v>380361.22105263156</v>
          </cell>
          <cell r="BS14">
            <v>0</v>
          </cell>
          <cell r="BU14" t="str">
            <v>PS2</v>
          </cell>
          <cell r="BV14">
            <v>1089839.148</v>
          </cell>
          <cell r="BW14">
            <v>380361.22105263156</v>
          </cell>
          <cell r="BX14">
            <v>0</v>
          </cell>
          <cell r="BZ14" t="str">
            <v>PS2</v>
          </cell>
          <cell r="CA14">
            <v>1271479.0060000001</v>
          </cell>
          <cell r="CB14">
            <v>443754.75789473683</v>
          </cell>
          <cell r="CC14">
            <v>0</v>
          </cell>
          <cell r="CE14" t="str">
            <v>PS2</v>
          </cell>
          <cell r="CF14">
            <v>1271479.0060000001</v>
          </cell>
          <cell r="CG14">
            <v>443754.75789473683</v>
          </cell>
          <cell r="CH14">
            <v>0</v>
          </cell>
          <cell r="CJ14" t="str">
            <v>PS2</v>
          </cell>
          <cell r="CK14">
            <v>1089839.148</v>
          </cell>
          <cell r="CL14">
            <v>380361.22105263156</v>
          </cell>
          <cell r="CM14">
            <v>0</v>
          </cell>
          <cell r="CO14" t="str">
            <v>PS2</v>
          </cell>
          <cell r="CP14">
            <v>1089839.148</v>
          </cell>
          <cell r="CQ14">
            <v>380361.22105263156</v>
          </cell>
          <cell r="CR14">
            <v>0</v>
          </cell>
          <cell r="CT14" t="str">
            <v>PS2</v>
          </cell>
          <cell r="CU14">
            <v>1271479.0060000001</v>
          </cell>
          <cell r="CV14">
            <v>443754.75789473683</v>
          </cell>
          <cell r="CW14">
            <v>0</v>
          </cell>
        </row>
        <row r="15">
          <cell r="Q15">
            <v>11218661.607054748</v>
          </cell>
          <cell r="R15" t="str">
            <v>PS2</v>
          </cell>
          <cell r="S15">
            <v>4722636.3080000002</v>
          </cell>
          <cell r="T15">
            <v>1648231.9578947367</v>
          </cell>
          <cell r="U15">
            <v>0</v>
          </cell>
          <cell r="W15" t="str">
            <v>PS2</v>
          </cell>
          <cell r="X15">
            <v>1271479.0060000001</v>
          </cell>
          <cell r="Y15">
            <v>443754.75789473683</v>
          </cell>
          <cell r="Z15">
            <v>0</v>
          </cell>
          <cell r="AB15" t="str">
            <v>PS2</v>
          </cell>
          <cell r="AC15">
            <v>1089839.148</v>
          </cell>
          <cell r="AD15">
            <v>380361.22105263156</v>
          </cell>
          <cell r="AE15">
            <v>0</v>
          </cell>
          <cell r="AG15" t="str">
            <v>PS2</v>
          </cell>
          <cell r="AH15">
            <v>1089839.148</v>
          </cell>
          <cell r="AI15">
            <v>380361.22105263156</v>
          </cell>
          <cell r="AJ15">
            <v>0</v>
          </cell>
          <cell r="AL15" t="str">
            <v>PS2</v>
          </cell>
          <cell r="AM15">
            <v>1271479.0060000001</v>
          </cell>
          <cell r="AN15">
            <v>443754.75789473683</v>
          </cell>
          <cell r="AO15">
            <v>0</v>
          </cell>
          <cell r="AQ15" t="str">
            <v>PS2</v>
          </cell>
          <cell r="AR15">
            <v>1271479.0060000001</v>
          </cell>
          <cell r="AS15">
            <v>443754.75789473683</v>
          </cell>
          <cell r="AT15">
            <v>0</v>
          </cell>
          <cell r="AV15" t="str">
            <v>PS2</v>
          </cell>
          <cell r="AW15">
            <v>1089839.148</v>
          </cell>
          <cell r="AX15">
            <v>380361.22105263156</v>
          </cell>
          <cell r="AY15">
            <v>0</v>
          </cell>
          <cell r="BA15" t="str">
            <v>PS2</v>
          </cell>
          <cell r="BB15">
            <v>1089839.148</v>
          </cell>
          <cell r="BC15">
            <v>380361.22105263156</v>
          </cell>
          <cell r="BD15">
            <v>0</v>
          </cell>
          <cell r="BF15" t="str">
            <v>PS2</v>
          </cell>
          <cell r="BG15">
            <v>1271479.0060000001</v>
          </cell>
          <cell r="BH15">
            <v>443754.75789473683</v>
          </cell>
          <cell r="BI15">
            <v>0</v>
          </cell>
          <cell r="BK15" t="str">
            <v>PS2</v>
          </cell>
          <cell r="BL15">
            <v>1271479.0060000001</v>
          </cell>
          <cell r="BM15">
            <v>443754.75789473683</v>
          </cell>
          <cell r="BN15">
            <v>0</v>
          </cell>
          <cell r="BP15" t="str">
            <v>PS2</v>
          </cell>
          <cell r="BQ15">
            <v>1089839.148</v>
          </cell>
          <cell r="BR15">
            <v>380361.22105263156</v>
          </cell>
          <cell r="BS15">
            <v>0</v>
          </cell>
          <cell r="BU15" t="str">
            <v>PS2</v>
          </cell>
          <cell r="BV15">
            <v>1089839.148</v>
          </cell>
          <cell r="BW15">
            <v>380361.22105263156</v>
          </cell>
          <cell r="BX15">
            <v>0</v>
          </cell>
          <cell r="BZ15" t="str">
            <v>PS2</v>
          </cell>
          <cell r="CA15">
            <v>1271479.0060000001</v>
          </cell>
          <cell r="CB15">
            <v>443754.75789473683</v>
          </cell>
          <cell r="CC15">
            <v>0</v>
          </cell>
          <cell r="CE15" t="str">
            <v>PS2</v>
          </cell>
          <cell r="CF15">
            <v>1271479.0060000001</v>
          </cell>
          <cell r="CG15">
            <v>443754.75789473683</v>
          </cell>
          <cell r="CH15">
            <v>0</v>
          </cell>
          <cell r="CJ15" t="str">
            <v>PS2</v>
          </cell>
          <cell r="CK15">
            <v>1089839.148</v>
          </cell>
          <cell r="CL15">
            <v>380361.22105263156</v>
          </cell>
          <cell r="CM15">
            <v>0</v>
          </cell>
          <cell r="CO15" t="str">
            <v>PS2</v>
          </cell>
          <cell r="CP15">
            <v>1089839.148</v>
          </cell>
          <cell r="CQ15">
            <v>380361.22105263156</v>
          </cell>
          <cell r="CR15">
            <v>0</v>
          </cell>
          <cell r="CT15" t="str">
            <v>PS2</v>
          </cell>
          <cell r="CU15">
            <v>1271479.0060000001</v>
          </cell>
          <cell r="CV15">
            <v>443754.75789473683</v>
          </cell>
          <cell r="CW15">
            <v>0</v>
          </cell>
        </row>
        <row r="16">
          <cell r="Q16">
            <v>11269868.626285518</v>
          </cell>
          <cell r="R16" t="str">
            <v>PS2</v>
          </cell>
          <cell r="S16">
            <v>4722636.3080000002</v>
          </cell>
          <cell r="T16">
            <v>1648231.9578947367</v>
          </cell>
          <cell r="U16">
            <v>0</v>
          </cell>
          <cell r="W16" t="str">
            <v>PS2</v>
          </cell>
          <cell r="X16">
            <v>1271479.0060000001</v>
          </cell>
          <cell r="Y16">
            <v>443754.75789473683</v>
          </cell>
          <cell r="Z16">
            <v>0</v>
          </cell>
          <cell r="AB16" t="str">
            <v>PS2</v>
          </cell>
          <cell r="AC16">
            <v>1089839.148</v>
          </cell>
          <cell r="AD16">
            <v>380361.22105263156</v>
          </cell>
          <cell r="AE16">
            <v>0</v>
          </cell>
          <cell r="AG16" t="str">
            <v>PS2</v>
          </cell>
          <cell r="AH16">
            <v>1089839.148</v>
          </cell>
          <cell r="AI16">
            <v>380361.22105263156</v>
          </cell>
          <cell r="AJ16">
            <v>0</v>
          </cell>
          <cell r="AL16" t="str">
            <v>PS2</v>
          </cell>
          <cell r="AM16">
            <v>1271479.0060000001</v>
          </cell>
          <cell r="AN16">
            <v>443754.75789473683</v>
          </cell>
          <cell r="AO16">
            <v>0</v>
          </cell>
          <cell r="AQ16" t="str">
            <v>PS2</v>
          </cell>
          <cell r="AR16">
            <v>1271479.0060000001</v>
          </cell>
          <cell r="AS16">
            <v>443754.75789473683</v>
          </cell>
          <cell r="AT16">
            <v>0</v>
          </cell>
          <cell r="AV16" t="str">
            <v>PS2</v>
          </cell>
          <cell r="AW16">
            <v>1089839.148</v>
          </cell>
          <cell r="AX16">
            <v>380361.22105263156</v>
          </cell>
          <cell r="AY16">
            <v>0</v>
          </cell>
          <cell r="BA16" t="str">
            <v>PS2</v>
          </cell>
          <cell r="BB16">
            <v>1089839.148</v>
          </cell>
          <cell r="BC16">
            <v>380361.22105263156</v>
          </cell>
          <cell r="BD16">
            <v>0</v>
          </cell>
          <cell r="BF16" t="str">
            <v>PS2</v>
          </cell>
          <cell r="BG16">
            <v>1271479.0060000001</v>
          </cell>
          <cell r="BH16">
            <v>443754.75789473683</v>
          </cell>
          <cell r="BI16">
            <v>0</v>
          </cell>
          <cell r="BK16" t="str">
            <v>PS2</v>
          </cell>
          <cell r="BL16">
            <v>1271479.0060000001</v>
          </cell>
          <cell r="BM16">
            <v>443754.75789473683</v>
          </cell>
          <cell r="BN16">
            <v>0</v>
          </cell>
          <cell r="BP16" t="str">
            <v>PS2</v>
          </cell>
          <cell r="BQ16">
            <v>1089839.148</v>
          </cell>
          <cell r="BR16">
            <v>380361.22105263156</v>
          </cell>
          <cell r="BS16">
            <v>0</v>
          </cell>
          <cell r="BU16" t="str">
            <v>PS2</v>
          </cell>
          <cell r="BV16">
            <v>1089839.148</v>
          </cell>
          <cell r="BW16">
            <v>380361.22105263156</v>
          </cell>
          <cell r="BX16">
            <v>0</v>
          </cell>
          <cell r="BZ16" t="str">
            <v>PS2</v>
          </cell>
          <cell r="CA16">
            <v>1271479.0060000001</v>
          </cell>
          <cell r="CB16">
            <v>443754.75789473683</v>
          </cell>
          <cell r="CC16">
            <v>0</v>
          </cell>
          <cell r="CE16" t="str">
            <v>PS2</v>
          </cell>
          <cell r="CF16">
            <v>1271479.0060000001</v>
          </cell>
          <cell r="CG16">
            <v>443754.75789473683</v>
          </cell>
          <cell r="CH16">
            <v>0</v>
          </cell>
          <cell r="CJ16" t="str">
            <v>PS2</v>
          </cell>
          <cell r="CK16">
            <v>1089839.148</v>
          </cell>
          <cell r="CL16">
            <v>380361.22105263156</v>
          </cell>
          <cell r="CM16">
            <v>0</v>
          </cell>
          <cell r="CO16" t="str">
            <v>PS2</v>
          </cell>
          <cell r="CP16">
            <v>1089839.148</v>
          </cell>
          <cell r="CQ16">
            <v>380361.22105263156</v>
          </cell>
          <cell r="CR16">
            <v>0</v>
          </cell>
          <cell r="CT16" t="str">
            <v>PS2</v>
          </cell>
          <cell r="CU16">
            <v>1271479.0060000001</v>
          </cell>
          <cell r="CV16">
            <v>443754.75789473683</v>
          </cell>
          <cell r="CW16">
            <v>0</v>
          </cell>
        </row>
        <row r="17">
          <cell r="Q17">
            <v>8418441.3698752597</v>
          </cell>
          <cell r="R17" t="str">
            <v>GCX</v>
          </cell>
          <cell r="S17">
            <v>4864185.040000001</v>
          </cell>
          <cell r="T17">
            <v>1451372</v>
          </cell>
          <cell r="U17">
            <v>0</v>
          </cell>
          <cell r="W17" t="str">
            <v>GCX</v>
          </cell>
          <cell r="X17">
            <v>1309588.2800000003</v>
          </cell>
          <cell r="Y17">
            <v>390754</v>
          </cell>
          <cell r="Z17">
            <v>0</v>
          </cell>
          <cell r="AB17" t="str">
            <v>GCX</v>
          </cell>
          <cell r="AC17">
            <v>1122504.2400000002</v>
          </cell>
          <cell r="AD17">
            <v>334932</v>
          </cell>
          <cell r="AE17">
            <v>0</v>
          </cell>
          <cell r="AG17" t="str">
            <v>GCX</v>
          </cell>
          <cell r="AH17">
            <v>1122504.2400000002</v>
          </cell>
          <cell r="AI17">
            <v>334932</v>
          </cell>
          <cell r="AJ17">
            <v>0</v>
          </cell>
          <cell r="AL17" t="str">
            <v>GCX</v>
          </cell>
          <cell r="AM17">
            <v>1309588.2800000003</v>
          </cell>
          <cell r="AN17">
            <v>390754</v>
          </cell>
          <cell r="AO17">
            <v>0</v>
          </cell>
          <cell r="AQ17" t="str">
            <v>GCX</v>
          </cell>
          <cell r="AR17">
            <v>1190534.7999999998</v>
          </cell>
          <cell r="AS17">
            <v>431813.19999999995</v>
          </cell>
          <cell r="AT17">
            <v>0</v>
          </cell>
          <cell r="AV17" t="str">
            <v>GCX</v>
          </cell>
          <cell r="AW17">
            <v>1020458.3999999999</v>
          </cell>
          <cell r="AX17">
            <v>370125.59999999992</v>
          </cell>
          <cell r="AY17">
            <v>0</v>
          </cell>
          <cell r="BA17" t="str">
            <v>GCX</v>
          </cell>
          <cell r="BB17">
            <v>1020458.3999999999</v>
          </cell>
          <cell r="BC17">
            <v>370125.59999999992</v>
          </cell>
          <cell r="BD17">
            <v>0</v>
          </cell>
          <cell r="BF17" t="str">
            <v>GCX</v>
          </cell>
          <cell r="BG17">
            <v>1190534.7999999998</v>
          </cell>
          <cell r="BH17">
            <v>431813.19999999995</v>
          </cell>
          <cell r="BI17">
            <v>0</v>
          </cell>
          <cell r="BK17" t="str">
            <v>GCX</v>
          </cell>
          <cell r="BL17">
            <v>1309588.2800000003</v>
          </cell>
          <cell r="BM17">
            <v>390754</v>
          </cell>
          <cell r="BN17">
            <v>0</v>
          </cell>
          <cell r="BP17" t="str">
            <v>GCX</v>
          </cell>
          <cell r="BQ17">
            <v>1122504.2400000002</v>
          </cell>
          <cell r="BR17">
            <v>334932</v>
          </cell>
          <cell r="BS17">
            <v>0</v>
          </cell>
          <cell r="BU17" t="str">
            <v>GCX</v>
          </cell>
          <cell r="BV17">
            <v>1122504.2400000002</v>
          </cell>
          <cell r="BW17">
            <v>334932</v>
          </cell>
          <cell r="BX17">
            <v>0</v>
          </cell>
          <cell r="BZ17" t="str">
            <v>GCX</v>
          </cell>
          <cell r="CA17">
            <v>1309588.2800000003</v>
          </cell>
          <cell r="CB17">
            <v>390754</v>
          </cell>
          <cell r="CC17">
            <v>0</v>
          </cell>
          <cell r="CE17" t="str">
            <v>GCX</v>
          </cell>
          <cell r="CF17">
            <v>1309588.2800000003</v>
          </cell>
          <cell r="CG17">
            <v>390754</v>
          </cell>
          <cell r="CH17">
            <v>0</v>
          </cell>
          <cell r="CJ17" t="str">
            <v>GCX</v>
          </cell>
          <cell r="CK17">
            <v>1122504.2400000002</v>
          </cell>
          <cell r="CL17">
            <v>334932</v>
          </cell>
          <cell r="CM17">
            <v>0</v>
          </cell>
          <cell r="CO17" t="str">
            <v>GCX</v>
          </cell>
          <cell r="CP17">
            <v>1122504.2400000002</v>
          </cell>
          <cell r="CQ17">
            <v>334932</v>
          </cell>
          <cell r="CR17">
            <v>0</v>
          </cell>
          <cell r="CT17" t="str">
            <v>GCX</v>
          </cell>
          <cell r="CU17">
            <v>1309588.2800000003</v>
          </cell>
          <cell r="CV17">
            <v>390754</v>
          </cell>
          <cell r="CW17">
            <v>0</v>
          </cell>
        </row>
        <row r="18">
          <cell r="R18" t="str">
            <v>RELTP</v>
          </cell>
          <cell r="W18" t="str">
            <v>RELTP</v>
          </cell>
          <cell r="AB18" t="str">
            <v>RELTP</v>
          </cell>
          <cell r="AG18" t="str">
            <v>RELTP</v>
          </cell>
          <cell r="AL18" t="str">
            <v>RELTP</v>
          </cell>
          <cell r="AQ18" t="str">
            <v>RELTP</v>
          </cell>
          <cell r="AV18" t="str">
            <v>RELTP</v>
          </cell>
          <cell r="BA18" t="str">
            <v>RELTP</v>
          </cell>
          <cell r="BF18" t="str">
            <v>RELTP</v>
          </cell>
          <cell r="BK18" t="str">
            <v>RELTP</v>
          </cell>
          <cell r="BP18" t="str">
            <v>RELTP</v>
          </cell>
          <cell r="BU18" t="str">
            <v>RELTP</v>
          </cell>
          <cell r="BZ18" t="str">
            <v>RELTP</v>
          </cell>
          <cell r="CE18" t="str">
            <v>RELTP</v>
          </cell>
          <cell r="CJ18" t="str">
            <v>RELTP</v>
          </cell>
          <cell r="CO18" t="str">
            <v>RELTP</v>
          </cell>
          <cell r="CT18" t="str">
            <v>RELTP</v>
          </cell>
        </row>
        <row r="19">
          <cell r="Q19">
            <v>8355831.1591060301</v>
          </cell>
          <cell r="R19" t="str">
            <v>GCX</v>
          </cell>
          <cell r="S19">
            <v>4864185.040000001</v>
          </cell>
          <cell r="T19">
            <v>1451372</v>
          </cell>
          <cell r="U19">
            <v>0</v>
          </cell>
          <cell r="W19" t="str">
            <v>GCX</v>
          </cell>
          <cell r="X19">
            <v>1309588.2800000003</v>
          </cell>
          <cell r="Y19">
            <v>390754</v>
          </cell>
          <cell r="Z19">
            <v>0</v>
          </cell>
          <cell r="AB19" t="str">
            <v>GCX</v>
          </cell>
          <cell r="AC19">
            <v>1122504.2400000002</v>
          </cell>
          <cell r="AD19">
            <v>334932</v>
          </cell>
          <cell r="AE19">
            <v>0</v>
          </cell>
          <cell r="AG19" t="str">
            <v>GCX</v>
          </cell>
          <cell r="AH19">
            <v>1122504.2400000002</v>
          </cell>
          <cell r="AI19">
            <v>334932</v>
          </cell>
          <cell r="AJ19">
            <v>0</v>
          </cell>
          <cell r="AL19" t="str">
            <v>GCX</v>
          </cell>
          <cell r="AM19">
            <v>1309588.2800000003</v>
          </cell>
          <cell r="AN19">
            <v>390754</v>
          </cell>
          <cell r="AO19">
            <v>0</v>
          </cell>
          <cell r="AQ19" t="str">
            <v>GCX</v>
          </cell>
          <cell r="AR19">
            <v>1190534.7999999998</v>
          </cell>
          <cell r="AS19">
            <v>431813.19999999995</v>
          </cell>
          <cell r="AT19">
            <v>0</v>
          </cell>
          <cell r="AV19" t="str">
            <v>GCX</v>
          </cell>
          <cell r="AW19">
            <v>1020458.3999999999</v>
          </cell>
          <cell r="AX19">
            <v>370125.59999999992</v>
          </cell>
          <cell r="AY19">
            <v>0</v>
          </cell>
          <cell r="BA19" t="str">
            <v>GCX</v>
          </cell>
          <cell r="BB19">
            <v>1020458.3999999999</v>
          </cell>
          <cell r="BC19">
            <v>370125.59999999992</v>
          </cell>
          <cell r="BD19">
            <v>0</v>
          </cell>
          <cell r="BF19" t="str">
            <v>GCX</v>
          </cell>
          <cell r="BG19">
            <v>1190534.7999999998</v>
          </cell>
          <cell r="BH19">
            <v>431813.19999999995</v>
          </cell>
          <cell r="BI19">
            <v>0</v>
          </cell>
          <cell r="BK19" t="str">
            <v>GCX</v>
          </cell>
          <cell r="BL19">
            <v>1309588.2800000003</v>
          </cell>
          <cell r="BM19">
            <v>390754</v>
          </cell>
          <cell r="BN19">
            <v>0</v>
          </cell>
          <cell r="BP19" t="str">
            <v>GCX</v>
          </cell>
          <cell r="BQ19">
            <v>1122504.2400000002</v>
          </cell>
          <cell r="BR19">
            <v>334932</v>
          </cell>
          <cell r="BS19">
            <v>0</v>
          </cell>
          <cell r="BU19" t="str">
            <v>GCX</v>
          </cell>
          <cell r="BV19">
            <v>1122504.2400000002</v>
          </cell>
          <cell r="BW19">
            <v>334932</v>
          </cell>
          <cell r="BX19">
            <v>0</v>
          </cell>
          <cell r="BZ19" t="str">
            <v>GCX</v>
          </cell>
          <cell r="CA19">
            <v>1309588.2800000003</v>
          </cell>
          <cell r="CB19">
            <v>390754</v>
          </cell>
          <cell r="CC19">
            <v>0</v>
          </cell>
          <cell r="CE19" t="str">
            <v>GCX</v>
          </cell>
          <cell r="CF19">
            <v>1309588.2800000003</v>
          </cell>
          <cell r="CG19">
            <v>390754</v>
          </cell>
          <cell r="CH19">
            <v>0</v>
          </cell>
          <cell r="CJ19" t="str">
            <v>GCX</v>
          </cell>
          <cell r="CK19">
            <v>1122504.2400000002</v>
          </cell>
          <cell r="CL19">
            <v>334932</v>
          </cell>
          <cell r="CM19">
            <v>0</v>
          </cell>
          <cell r="CO19" t="str">
            <v>GCX</v>
          </cell>
          <cell r="CP19">
            <v>1122504.2400000002</v>
          </cell>
          <cell r="CQ19">
            <v>334932</v>
          </cell>
          <cell r="CR19">
            <v>0</v>
          </cell>
          <cell r="CT19" t="str">
            <v>GCX</v>
          </cell>
          <cell r="CU19">
            <v>1309588.2800000003</v>
          </cell>
          <cell r="CV19">
            <v>390754</v>
          </cell>
          <cell r="CW19">
            <v>0</v>
          </cell>
        </row>
        <row r="20">
          <cell r="Q20">
            <v>15323328.057692308</v>
          </cell>
          <cell r="R20" t="str">
            <v>GCX</v>
          </cell>
          <cell r="S20">
            <v>4864185.040000001</v>
          </cell>
          <cell r="T20">
            <v>1451372</v>
          </cell>
          <cell r="U20">
            <v>0</v>
          </cell>
          <cell r="W20" t="str">
            <v>GCX</v>
          </cell>
          <cell r="X20">
            <v>1309588.2800000003</v>
          </cell>
          <cell r="Y20">
            <v>390754</v>
          </cell>
          <cell r="Z20">
            <v>0</v>
          </cell>
          <cell r="AB20" t="str">
            <v>GCX</v>
          </cell>
          <cell r="AC20">
            <v>1122504.2400000002</v>
          </cell>
          <cell r="AD20">
            <v>334932</v>
          </cell>
          <cell r="AE20">
            <v>0</v>
          </cell>
          <cell r="AG20" t="str">
            <v>GCX</v>
          </cell>
          <cell r="AH20">
            <v>1122504.2400000002</v>
          </cell>
          <cell r="AI20">
            <v>334932</v>
          </cell>
          <cell r="AJ20">
            <v>0</v>
          </cell>
          <cell r="AL20" t="str">
            <v>GCX</v>
          </cell>
          <cell r="AM20">
            <v>1309588.2800000003</v>
          </cell>
          <cell r="AN20">
            <v>390754</v>
          </cell>
          <cell r="AO20">
            <v>0</v>
          </cell>
          <cell r="AQ20" t="str">
            <v>GCX</v>
          </cell>
          <cell r="AR20">
            <v>1309588.2800000003</v>
          </cell>
          <cell r="AS20">
            <v>390754</v>
          </cell>
          <cell r="AT20">
            <v>0</v>
          </cell>
          <cell r="AV20" t="str">
            <v>GCX</v>
          </cell>
          <cell r="AW20">
            <v>1122504.2400000002</v>
          </cell>
          <cell r="AX20">
            <v>334932</v>
          </cell>
          <cell r="AY20">
            <v>0</v>
          </cell>
          <cell r="BA20" t="str">
            <v>GCX</v>
          </cell>
          <cell r="BB20">
            <v>1122504.2400000002</v>
          </cell>
          <cell r="BC20">
            <v>334932</v>
          </cell>
          <cell r="BD20">
            <v>0</v>
          </cell>
          <cell r="BF20" t="str">
            <v>GCX</v>
          </cell>
          <cell r="BG20">
            <v>1309588.2800000003</v>
          </cell>
          <cell r="BH20">
            <v>390754</v>
          </cell>
          <cell r="BI20">
            <v>0</v>
          </cell>
          <cell r="BK20" t="str">
            <v>GCX</v>
          </cell>
          <cell r="BL20">
            <v>1309588.2800000003</v>
          </cell>
          <cell r="BM20">
            <v>390754</v>
          </cell>
          <cell r="BN20">
            <v>0</v>
          </cell>
          <cell r="BP20" t="str">
            <v>GCX</v>
          </cell>
          <cell r="BQ20">
            <v>1122504.2400000002</v>
          </cell>
          <cell r="BR20">
            <v>334932</v>
          </cell>
          <cell r="BS20">
            <v>0</v>
          </cell>
          <cell r="BU20" t="str">
            <v>GCX</v>
          </cell>
          <cell r="BV20">
            <v>1122504.2400000002</v>
          </cell>
          <cell r="BW20">
            <v>334932</v>
          </cell>
          <cell r="BX20">
            <v>0</v>
          </cell>
          <cell r="BZ20" t="str">
            <v>GCX</v>
          </cell>
          <cell r="CA20">
            <v>1309588.2800000003</v>
          </cell>
          <cell r="CB20">
            <v>390754</v>
          </cell>
          <cell r="CC20">
            <v>0</v>
          </cell>
          <cell r="CE20" t="str">
            <v>GCX</v>
          </cell>
          <cell r="CF20">
            <v>1309588.2800000003</v>
          </cell>
          <cell r="CG20">
            <v>390754</v>
          </cell>
          <cell r="CH20">
            <v>0</v>
          </cell>
          <cell r="CJ20" t="str">
            <v>GCX</v>
          </cell>
          <cell r="CK20">
            <v>1122504.2400000002</v>
          </cell>
          <cell r="CL20">
            <v>334932</v>
          </cell>
          <cell r="CM20">
            <v>0</v>
          </cell>
          <cell r="CO20" t="str">
            <v>GCX</v>
          </cell>
          <cell r="CP20">
            <v>1122504.2400000002</v>
          </cell>
          <cell r="CQ20">
            <v>334932</v>
          </cell>
          <cell r="CR20">
            <v>0</v>
          </cell>
          <cell r="CT20" t="str">
            <v>GCX</v>
          </cell>
          <cell r="CU20">
            <v>1309588.2800000003</v>
          </cell>
          <cell r="CV20">
            <v>390754</v>
          </cell>
          <cell r="CW20">
            <v>0</v>
          </cell>
        </row>
        <row r="21">
          <cell r="Q21">
            <v>15869809.667692307</v>
          </cell>
          <cell r="R21" t="str">
            <v>GCX</v>
          </cell>
          <cell r="S21">
            <v>4864185.040000001</v>
          </cell>
          <cell r="T21">
            <v>1451372</v>
          </cell>
          <cell r="U21">
            <v>0</v>
          </cell>
          <cell r="W21" t="str">
            <v>GCX</v>
          </cell>
          <cell r="X21">
            <v>1309588.2800000003</v>
          </cell>
          <cell r="Y21">
            <v>390754</v>
          </cell>
          <cell r="Z21">
            <v>0</v>
          </cell>
          <cell r="AB21" t="str">
            <v>GCX</v>
          </cell>
          <cell r="AC21">
            <v>1122504.2400000002</v>
          </cell>
          <cell r="AD21">
            <v>334932</v>
          </cell>
          <cell r="AE21">
            <v>0</v>
          </cell>
          <cell r="AG21" t="str">
            <v>GCX</v>
          </cell>
          <cell r="AH21">
            <v>1122504.2400000002</v>
          </cell>
          <cell r="AI21">
            <v>334932</v>
          </cell>
          <cell r="AJ21">
            <v>0</v>
          </cell>
          <cell r="AL21" t="str">
            <v>GCX</v>
          </cell>
          <cell r="AM21">
            <v>1309588.2800000003</v>
          </cell>
          <cell r="AN21">
            <v>390754</v>
          </cell>
          <cell r="AO21">
            <v>0</v>
          </cell>
          <cell r="AQ21" t="str">
            <v>GCX</v>
          </cell>
          <cell r="AR21">
            <v>1309588.2800000003</v>
          </cell>
          <cell r="AS21">
            <v>390754</v>
          </cell>
          <cell r="AT21">
            <v>0</v>
          </cell>
          <cell r="AV21" t="str">
            <v>GCX</v>
          </cell>
          <cell r="AW21">
            <v>1122504.2400000002</v>
          </cell>
          <cell r="AX21">
            <v>334932</v>
          </cell>
          <cell r="AY21">
            <v>0</v>
          </cell>
          <cell r="BA21" t="str">
            <v>GCX</v>
          </cell>
          <cell r="BB21">
            <v>1122504.2400000002</v>
          </cell>
          <cell r="BC21">
            <v>334932</v>
          </cell>
          <cell r="BD21">
            <v>0</v>
          </cell>
          <cell r="BF21" t="str">
            <v>GCX</v>
          </cell>
          <cell r="BG21">
            <v>1309588.2800000003</v>
          </cell>
          <cell r="BH21">
            <v>390754</v>
          </cell>
          <cell r="BI21">
            <v>0</v>
          </cell>
          <cell r="BK21" t="str">
            <v>GCX</v>
          </cell>
          <cell r="BL21">
            <v>1309588.2800000003</v>
          </cell>
          <cell r="BM21">
            <v>390754</v>
          </cell>
          <cell r="BN21">
            <v>0</v>
          </cell>
          <cell r="BP21" t="str">
            <v>GCX</v>
          </cell>
          <cell r="BQ21">
            <v>1122504.2400000002</v>
          </cell>
          <cell r="BR21">
            <v>334932</v>
          </cell>
          <cell r="BS21">
            <v>0</v>
          </cell>
          <cell r="BU21" t="str">
            <v>GCX</v>
          </cell>
          <cell r="BV21">
            <v>1122504.2400000002</v>
          </cell>
          <cell r="BW21">
            <v>334932</v>
          </cell>
          <cell r="BX21">
            <v>0</v>
          </cell>
          <cell r="BZ21" t="str">
            <v>GCX</v>
          </cell>
          <cell r="CA21">
            <v>1309588.2800000003</v>
          </cell>
          <cell r="CB21">
            <v>390754</v>
          </cell>
          <cell r="CC21">
            <v>0</v>
          </cell>
          <cell r="CE21" t="str">
            <v>GCX</v>
          </cell>
          <cell r="CF21">
            <v>1309588.2800000003</v>
          </cell>
          <cell r="CG21">
            <v>390754</v>
          </cell>
          <cell r="CH21">
            <v>0</v>
          </cell>
          <cell r="CJ21" t="str">
            <v>GCX</v>
          </cell>
          <cell r="CK21">
            <v>1122504.2400000002</v>
          </cell>
          <cell r="CL21">
            <v>334932</v>
          </cell>
          <cell r="CM21">
            <v>0</v>
          </cell>
          <cell r="CO21" t="str">
            <v>GCX</v>
          </cell>
          <cell r="CP21">
            <v>1122504.2400000002</v>
          </cell>
          <cell r="CQ21">
            <v>334932</v>
          </cell>
          <cell r="CR21">
            <v>0</v>
          </cell>
          <cell r="CT21" t="str">
            <v>GCX</v>
          </cell>
          <cell r="CU21">
            <v>1309588.2800000003</v>
          </cell>
          <cell r="CV21">
            <v>390754</v>
          </cell>
          <cell r="CW21">
            <v>0</v>
          </cell>
        </row>
        <row r="22">
          <cell r="Q22">
            <v>15592387.247692307</v>
          </cell>
          <cell r="R22" t="str">
            <v>GCX</v>
          </cell>
          <cell r="S22">
            <v>4864185.040000001</v>
          </cell>
          <cell r="T22">
            <v>1451372</v>
          </cell>
          <cell r="U22">
            <v>0</v>
          </cell>
          <cell r="W22" t="str">
            <v>GCX</v>
          </cell>
          <cell r="X22">
            <v>1309588.2800000003</v>
          </cell>
          <cell r="Y22">
            <v>390754</v>
          </cell>
          <cell r="Z22">
            <v>0</v>
          </cell>
          <cell r="AB22" t="str">
            <v>GCX</v>
          </cell>
          <cell r="AC22">
            <v>1122504.2400000002</v>
          </cell>
          <cell r="AD22">
            <v>334932</v>
          </cell>
          <cell r="AE22">
            <v>0</v>
          </cell>
          <cell r="AG22" t="str">
            <v>GCX</v>
          </cell>
          <cell r="AH22">
            <v>1122504.2400000002</v>
          </cell>
          <cell r="AI22">
            <v>334932</v>
          </cell>
          <cell r="AJ22">
            <v>0</v>
          </cell>
          <cell r="AL22" t="str">
            <v>GCX</v>
          </cell>
          <cell r="AM22">
            <v>1309588.2800000003</v>
          </cell>
          <cell r="AN22">
            <v>390754</v>
          </cell>
          <cell r="AO22">
            <v>0</v>
          </cell>
          <cell r="AQ22" t="str">
            <v>GCX</v>
          </cell>
          <cell r="AR22">
            <v>1309588.2800000003</v>
          </cell>
          <cell r="AS22">
            <v>390754</v>
          </cell>
          <cell r="AT22">
            <v>0</v>
          </cell>
          <cell r="AV22" t="str">
            <v>GCX</v>
          </cell>
          <cell r="AW22">
            <v>1122504.2400000002</v>
          </cell>
          <cell r="AX22">
            <v>334932</v>
          </cell>
          <cell r="AY22">
            <v>0</v>
          </cell>
          <cell r="BA22" t="str">
            <v>GCX</v>
          </cell>
          <cell r="BB22">
            <v>1122504.2400000002</v>
          </cell>
          <cell r="BC22">
            <v>334932</v>
          </cell>
          <cell r="BD22">
            <v>0</v>
          </cell>
          <cell r="BF22" t="str">
            <v>GCX</v>
          </cell>
          <cell r="BG22">
            <v>1309588.2800000003</v>
          </cell>
          <cell r="BH22">
            <v>390754</v>
          </cell>
          <cell r="BI22">
            <v>0</v>
          </cell>
          <cell r="BK22" t="str">
            <v>GCX</v>
          </cell>
          <cell r="BL22">
            <v>1309588.2800000003</v>
          </cell>
          <cell r="BM22">
            <v>390754</v>
          </cell>
          <cell r="BN22">
            <v>0</v>
          </cell>
          <cell r="BP22" t="str">
            <v>GCX</v>
          </cell>
          <cell r="BQ22">
            <v>1122504.2400000002</v>
          </cell>
          <cell r="BR22">
            <v>334932</v>
          </cell>
          <cell r="BS22">
            <v>0</v>
          </cell>
          <cell r="BU22" t="str">
            <v>GCX</v>
          </cell>
          <cell r="BV22">
            <v>1122504.2400000002</v>
          </cell>
          <cell r="BW22">
            <v>334932</v>
          </cell>
          <cell r="BX22">
            <v>0</v>
          </cell>
          <cell r="BZ22" t="str">
            <v>GCX</v>
          </cell>
          <cell r="CA22">
            <v>1309588.2800000003</v>
          </cell>
          <cell r="CB22">
            <v>390754</v>
          </cell>
          <cell r="CC22">
            <v>0</v>
          </cell>
          <cell r="CE22" t="str">
            <v>GCX</v>
          </cell>
          <cell r="CF22">
            <v>1309588.2800000003</v>
          </cell>
          <cell r="CG22">
            <v>390754</v>
          </cell>
          <cell r="CH22">
            <v>0</v>
          </cell>
          <cell r="CJ22" t="str">
            <v>GCX</v>
          </cell>
          <cell r="CK22">
            <v>1122504.2400000002</v>
          </cell>
          <cell r="CL22">
            <v>334932</v>
          </cell>
          <cell r="CM22">
            <v>0</v>
          </cell>
          <cell r="CO22" t="str">
            <v>GCX</v>
          </cell>
          <cell r="CP22">
            <v>1122504.2400000002</v>
          </cell>
          <cell r="CQ22">
            <v>334932</v>
          </cell>
          <cell r="CR22">
            <v>0</v>
          </cell>
          <cell r="CT22" t="str">
            <v>GCX</v>
          </cell>
          <cell r="CU22">
            <v>1309588.2800000003</v>
          </cell>
          <cell r="CV22">
            <v>390754</v>
          </cell>
          <cell r="CW22">
            <v>0</v>
          </cell>
        </row>
        <row r="23">
          <cell r="Q23">
            <v>9873361.3888862506</v>
          </cell>
          <cell r="R23" t="str">
            <v>SAX</v>
          </cell>
          <cell r="S23">
            <v>5691664.333333334</v>
          </cell>
          <cell r="T23">
            <v>901870.66666666663</v>
          </cell>
          <cell r="U23">
            <v>0</v>
          </cell>
          <cell r="W23" t="str">
            <v>SAX</v>
          </cell>
          <cell r="X23">
            <v>1532371.166666667</v>
          </cell>
          <cell r="Y23">
            <v>242811.33333333331</v>
          </cell>
          <cell r="Z23">
            <v>0</v>
          </cell>
          <cell r="AB23" t="str">
            <v>CEX</v>
          </cell>
          <cell r="AC23">
            <v>1392181.2000000002</v>
          </cell>
          <cell r="AD23">
            <v>430080</v>
          </cell>
          <cell r="AE23">
            <v>799938.00000000012</v>
          </cell>
          <cell r="AG23" t="str">
            <v>CEXSAX</v>
          </cell>
          <cell r="AH23">
            <v>1557488.8875000004</v>
          </cell>
          <cell r="AI23">
            <v>230246.40000000002</v>
          </cell>
          <cell r="AJ23">
            <v>506004</v>
          </cell>
          <cell r="AL23" t="str">
            <v>CEXSAX</v>
          </cell>
          <cell r="AM23">
            <v>1817070.3687500004</v>
          </cell>
          <cell r="AN23">
            <v>268620.80000000005</v>
          </cell>
          <cell r="AO23">
            <v>590338</v>
          </cell>
          <cell r="AQ23" t="str">
            <v>CEX</v>
          </cell>
          <cell r="AR23">
            <v>1438965.5932291667</v>
          </cell>
          <cell r="AS23">
            <v>477074.5</v>
          </cell>
          <cell r="AT23">
            <v>933261.00000000012</v>
          </cell>
          <cell r="AV23" t="str">
            <v>CEX</v>
          </cell>
          <cell r="AW23">
            <v>1232494.8214285714</v>
          </cell>
          <cell r="AX23">
            <v>453108</v>
          </cell>
          <cell r="AY23">
            <v>799938.00000000012</v>
          </cell>
          <cell r="BA23" t="str">
            <v>CEX</v>
          </cell>
          <cell r="BB23">
            <v>865680.88647959183</v>
          </cell>
          <cell r="BC23">
            <v>433410.08606133825</v>
          </cell>
          <cell r="BD23">
            <v>646177.2857142858</v>
          </cell>
          <cell r="BF23" t="str">
            <v>-</v>
          </cell>
          <cell r="BG23" t="str">
            <v>-</v>
          </cell>
          <cell r="BH23" t="str">
            <v>-</v>
          </cell>
          <cell r="BI23" t="str">
            <v>-</v>
          </cell>
          <cell r="BK23" t="str">
            <v>PNXWAX</v>
          </cell>
          <cell r="BL23">
            <v>1750695.7533333334</v>
          </cell>
          <cell r="BM23">
            <v>417198.4444444445</v>
          </cell>
          <cell r="BN23">
            <v>0</v>
          </cell>
          <cell r="BP23" t="str">
            <v>PNXWAX</v>
          </cell>
          <cell r="BQ23">
            <v>1500596.3600000003</v>
          </cell>
          <cell r="BR23">
            <v>357598.66666666669</v>
          </cell>
          <cell r="BS23">
            <v>0</v>
          </cell>
          <cell r="BU23" t="str">
            <v>PNXWAX</v>
          </cell>
          <cell r="BV23">
            <v>1500596.3600000003</v>
          </cell>
          <cell r="BW23">
            <v>357598.66666666669</v>
          </cell>
          <cell r="BX23">
            <v>0</v>
          </cell>
          <cell r="BZ23" t="str">
            <v>PNXWAX</v>
          </cell>
          <cell r="CA23">
            <v>1750695.7533333334</v>
          </cell>
          <cell r="CB23">
            <v>417198.4444444445</v>
          </cell>
          <cell r="CC23">
            <v>0</v>
          </cell>
          <cell r="CE23" t="str">
            <v>SAXWAX</v>
          </cell>
          <cell r="CF23">
            <v>1760970.2395833335</v>
          </cell>
          <cell r="CG23">
            <v>224136.88888888893</v>
          </cell>
          <cell r="CH23">
            <v>0</v>
          </cell>
          <cell r="CJ23" t="str">
            <v>SAXWAX</v>
          </cell>
          <cell r="CK23">
            <v>1509403.0625</v>
          </cell>
          <cell r="CL23">
            <v>192117.33333333337</v>
          </cell>
          <cell r="CM23">
            <v>0</v>
          </cell>
          <cell r="CO23" t="str">
            <v>SAXWAX</v>
          </cell>
          <cell r="CP23">
            <v>1509403.0625</v>
          </cell>
          <cell r="CQ23">
            <v>192117.33333333337</v>
          </cell>
          <cell r="CR23">
            <v>0</v>
          </cell>
          <cell r="CT23" t="str">
            <v>SAXWAX</v>
          </cell>
          <cell r="CU23">
            <v>1760970.2395833335</v>
          </cell>
          <cell r="CV23">
            <v>224136.88888888893</v>
          </cell>
          <cell r="CW23">
            <v>0</v>
          </cell>
        </row>
        <row r="24">
          <cell r="Q24">
            <v>9825419.2227324024</v>
          </cell>
          <cell r="R24" t="str">
            <v>SAX</v>
          </cell>
          <cell r="S24">
            <v>5691664.333333334</v>
          </cell>
          <cell r="T24">
            <v>901870.66666666663</v>
          </cell>
          <cell r="U24">
            <v>0</v>
          </cell>
          <cell r="W24" t="str">
            <v>SAX</v>
          </cell>
          <cell r="X24">
            <v>1532371.166666667</v>
          </cell>
          <cell r="Y24">
            <v>242811.33333333331</v>
          </cell>
          <cell r="Z24">
            <v>0</v>
          </cell>
          <cell r="AB24" t="str">
            <v>CEX</v>
          </cell>
          <cell r="AC24">
            <v>1392181.2000000002</v>
          </cell>
          <cell r="AD24">
            <v>430080</v>
          </cell>
          <cell r="AE24">
            <v>799938.00000000012</v>
          </cell>
          <cell r="AG24" t="str">
            <v>CEXSAX</v>
          </cell>
          <cell r="AH24">
            <v>1557488.8875000004</v>
          </cell>
          <cell r="AI24">
            <v>230246.40000000002</v>
          </cell>
          <cell r="AJ24">
            <v>506004</v>
          </cell>
          <cell r="AL24" t="str">
            <v>CEXSAX</v>
          </cell>
          <cell r="AM24">
            <v>1817070.3687500004</v>
          </cell>
          <cell r="AN24">
            <v>268620.80000000005</v>
          </cell>
          <cell r="AO24">
            <v>590338</v>
          </cell>
          <cell r="AQ24" t="str">
            <v>CEX</v>
          </cell>
          <cell r="AR24">
            <v>1438965.5932291667</v>
          </cell>
          <cell r="AS24">
            <v>477074.5</v>
          </cell>
          <cell r="AT24">
            <v>933261.00000000012</v>
          </cell>
          <cell r="AV24" t="str">
            <v>CEX</v>
          </cell>
          <cell r="AW24">
            <v>1232494.8214285714</v>
          </cell>
          <cell r="AX24">
            <v>453108</v>
          </cell>
          <cell r="AY24">
            <v>799938.00000000012</v>
          </cell>
          <cell r="BA24" t="str">
            <v>APXTAS</v>
          </cell>
          <cell r="BB24">
            <v>1212091.1999999995</v>
          </cell>
          <cell r="BC24">
            <v>386923.00916609645</v>
          </cell>
          <cell r="BD24">
            <v>283302</v>
          </cell>
          <cell r="BF24" t="str">
            <v>APXTAS</v>
          </cell>
          <cell r="BG24">
            <v>1414106.3999999997</v>
          </cell>
          <cell r="BH24">
            <v>451410.17736044584</v>
          </cell>
          <cell r="BI24">
            <v>330519</v>
          </cell>
          <cell r="BK24" t="str">
            <v>PNXWAX</v>
          </cell>
          <cell r="BL24">
            <v>1750695.7533333334</v>
          </cell>
          <cell r="BM24">
            <v>417198.4444444445</v>
          </cell>
          <cell r="BN24">
            <v>0</v>
          </cell>
          <cell r="BP24" t="str">
            <v>PNXWAX</v>
          </cell>
          <cell r="BQ24">
            <v>1500596.3600000003</v>
          </cell>
          <cell r="BR24">
            <v>357598.66666666669</v>
          </cell>
          <cell r="BS24">
            <v>0</v>
          </cell>
          <cell r="BU24" t="str">
            <v>PNXWAX</v>
          </cell>
          <cell r="BV24">
            <v>1500596.3600000003</v>
          </cell>
          <cell r="BW24">
            <v>357598.66666666669</v>
          </cell>
          <cell r="BX24">
            <v>0</v>
          </cell>
          <cell r="BZ24" t="str">
            <v>PNXWAX</v>
          </cell>
          <cell r="CA24">
            <v>1750695.7533333334</v>
          </cell>
          <cell r="CB24">
            <v>417198.4444444445</v>
          </cell>
          <cell r="CC24">
            <v>0</v>
          </cell>
          <cell r="CE24" t="str">
            <v>SAXWAX</v>
          </cell>
          <cell r="CF24">
            <v>1760970.2395833335</v>
          </cell>
          <cell r="CG24">
            <v>224136.88888888893</v>
          </cell>
          <cell r="CH24">
            <v>0</v>
          </cell>
          <cell r="CJ24" t="str">
            <v>SAXWAX</v>
          </cell>
          <cell r="CK24">
            <v>1509403.0625</v>
          </cell>
          <cell r="CL24">
            <v>192117.33333333337</v>
          </cell>
          <cell r="CM24">
            <v>0</v>
          </cell>
          <cell r="CO24" t="str">
            <v>SAXWAX</v>
          </cell>
          <cell r="CP24">
            <v>1509403.0625</v>
          </cell>
          <cell r="CQ24">
            <v>192117.33333333337</v>
          </cell>
          <cell r="CR24">
            <v>0</v>
          </cell>
          <cell r="CT24" t="str">
            <v>SAXWAX</v>
          </cell>
          <cell r="CU24">
            <v>1760970.2395833335</v>
          </cell>
          <cell r="CV24">
            <v>224136.88888888893</v>
          </cell>
          <cell r="CW24">
            <v>0</v>
          </cell>
        </row>
        <row r="25">
          <cell r="Q25">
            <v>8772750.230328558</v>
          </cell>
          <cell r="R25" t="str">
            <v>SAX</v>
          </cell>
          <cell r="S25">
            <v>5691664.333333334</v>
          </cell>
          <cell r="T25">
            <v>901870.66666666663</v>
          </cell>
          <cell r="U25">
            <v>0</v>
          </cell>
          <cell r="W25" t="str">
            <v>SAX</v>
          </cell>
          <cell r="X25">
            <v>1532371.166666667</v>
          </cell>
          <cell r="Y25">
            <v>242811.33333333331</v>
          </cell>
          <cell r="Z25">
            <v>0</v>
          </cell>
          <cell r="AB25" t="str">
            <v>CEX</v>
          </cell>
          <cell r="AC25">
            <v>1392181.2000000002</v>
          </cell>
          <cell r="AD25">
            <v>430080</v>
          </cell>
          <cell r="AE25">
            <v>799938.00000000012</v>
          </cell>
          <cell r="AG25" t="str">
            <v>CEXSAX</v>
          </cell>
          <cell r="AH25">
            <v>1557488.8875000004</v>
          </cell>
          <cell r="AI25">
            <v>230246.40000000002</v>
          </cell>
          <cell r="AJ25">
            <v>506004</v>
          </cell>
          <cell r="AL25" t="str">
            <v>CEXSAX</v>
          </cell>
          <cell r="AM25">
            <v>1817070.3687500004</v>
          </cell>
          <cell r="AN25">
            <v>268620.80000000005</v>
          </cell>
          <cell r="AO25">
            <v>590338</v>
          </cell>
          <cell r="AQ25" t="str">
            <v>CEX</v>
          </cell>
          <cell r="AR25">
            <v>1438965.5932291667</v>
          </cell>
          <cell r="AS25">
            <v>477074.5</v>
          </cell>
          <cell r="AT25">
            <v>933261.00000000012</v>
          </cell>
          <cell r="AV25" t="str">
            <v>APXTAS</v>
          </cell>
          <cell r="AW25">
            <v>1212091.1999999995</v>
          </cell>
          <cell r="AX25">
            <v>386923.00916609645</v>
          </cell>
          <cell r="AY25">
            <v>283302</v>
          </cell>
          <cell r="BA25" t="str">
            <v>APXTAS</v>
          </cell>
          <cell r="BB25">
            <v>1212091.1999999995</v>
          </cell>
          <cell r="BC25">
            <v>386923.00916609645</v>
          </cell>
          <cell r="BD25">
            <v>283302</v>
          </cell>
          <cell r="BF25" t="str">
            <v>APXTAS</v>
          </cell>
          <cell r="BG25">
            <v>1414106.3999999997</v>
          </cell>
          <cell r="BH25">
            <v>451410.17736044584</v>
          </cell>
          <cell r="BI25">
            <v>330519</v>
          </cell>
          <cell r="BK25" t="str">
            <v>PNXWAX</v>
          </cell>
          <cell r="BL25">
            <v>1750695.7533333334</v>
          </cell>
          <cell r="BM25">
            <v>417198.4444444445</v>
          </cell>
          <cell r="BN25">
            <v>0</v>
          </cell>
          <cell r="BP25" t="str">
            <v>PNXWAX</v>
          </cell>
          <cell r="BQ25">
            <v>1500596.3600000003</v>
          </cell>
          <cell r="BR25">
            <v>357598.66666666669</v>
          </cell>
          <cell r="BS25">
            <v>0</v>
          </cell>
          <cell r="BU25" t="str">
            <v>PNXWAX</v>
          </cell>
          <cell r="BV25">
            <v>1500596.3600000003</v>
          </cell>
          <cell r="BW25">
            <v>357598.66666666669</v>
          </cell>
          <cell r="BX25">
            <v>0</v>
          </cell>
          <cell r="BZ25" t="str">
            <v>PNXWAX</v>
          </cell>
          <cell r="CA25">
            <v>1750695.7533333334</v>
          </cell>
          <cell r="CB25">
            <v>417198.4444444445</v>
          </cell>
          <cell r="CC25">
            <v>0</v>
          </cell>
          <cell r="CE25" t="str">
            <v>SAXWAX</v>
          </cell>
          <cell r="CF25">
            <v>1760970.2395833335</v>
          </cell>
          <cell r="CG25">
            <v>224136.88888888893</v>
          </cell>
          <cell r="CH25">
            <v>0</v>
          </cell>
          <cell r="CJ25" t="str">
            <v>SAXWAX</v>
          </cell>
          <cell r="CK25">
            <v>1509403.0625</v>
          </cell>
          <cell r="CL25">
            <v>192117.33333333337</v>
          </cell>
          <cell r="CM25">
            <v>0</v>
          </cell>
          <cell r="CO25" t="str">
            <v>SAXWAX</v>
          </cell>
          <cell r="CP25">
            <v>1509403.0625</v>
          </cell>
          <cell r="CQ25">
            <v>192117.33333333337</v>
          </cell>
          <cell r="CR25">
            <v>0</v>
          </cell>
          <cell r="CT25" t="str">
            <v>SAXWAX</v>
          </cell>
          <cell r="CU25">
            <v>1760970.2395833335</v>
          </cell>
          <cell r="CV25">
            <v>224136.88888888893</v>
          </cell>
          <cell r="CW25">
            <v>0</v>
          </cell>
        </row>
        <row r="26">
          <cell r="Q26">
            <v>8805076.5154247116</v>
          </cell>
          <cell r="R26" t="str">
            <v>SAX</v>
          </cell>
          <cell r="S26">
            <v>5691664.333333334</v>
          </cell>
          <cell r="T26">
            <v>901870.66666666663</v>
          </cell>
          <cell r="U26">
            <v>0</v>
          </cell>
          <cell r="W26" t="str">
            <v>SAX</v>
          </cell>
          <cell r="X26">
            <v>1532371.166666667</v>
          </cell>
          <cell r="Y26">
            <v>242811.33333333331</v>
          </cell>
          <cell r="Z26">
            <v>0</v>
          </cell>
          <cell r="AB26" t="str">
            <v>CEX</v>
          </cell>
          <cell r="AC26">
            <v>1392181.2000000002</v>
          </cell>
          <cell r="AD26">
            <v>430080</v>
          </cell>
          <cell r="AE26">
            <v>799938.00000000012</v>
          </cell>
          <cell r="AG26" t="str">
            <v>EU4</v>
          </cell>
          <cell r="AH26">
            <v>1376163.7919999999</v>
          </cell>
          <cell r="AI26">
            <v>518980.49999999994</v>
          </cell>
          <cell r="AJ26">
            <v>937118.99999999988</v>
          </cell>
          <cell r="AL26" t="str">
            <v>EU4</v>
          </cell>
          <cell r="AM26">
            <v>1605524.4239999999</v>
          </cell>
          <cell r="AN26">
            <v>605477.24999999988</v>
          </cell>
          <cell r="AO26">
            <v>1093305.4999999998</v>
          </cell>
          <cell r="AQ26" t="str">
            <v>APXTAS</v>
          </cell>
          <cell r="AR26">
            <v>1414106.3999999997</v>
          </cell>
          <cell r="AS26">
            <v>451410.17736044584</v>
          </cell>
          <cell r="AT26">
            <v>330519</v>
          </cell>
          <cell r="AV26" t="str">
            <v>APXTAS</v>
          </cell>
          <cell r="AW26">
            <v>1212091.1999999995</v>
          </cell>
          <cell r="AX26">
            <v>386923.00916609645</v>
          </cell>
          <cell r="AY26">
            <v>283302</v>
          </cell>
          <cell r="BA26" t="str">
            <v>APXTAS</v>
          </cell>
          <cell r="BB26">
            <v>1212091.1999999995</v>
          </cell>
          <cell r="BC26">
            <v>386923.00916609645</v>
          </cell>
          <cell r="BD26">
            <v>283302</v>
          </cell>
          <cell r="BF26" t="str">
            <v>APXTAS</v>
          </cell>
          <cell r="BG26">
            <v>1414106.3999999997</v>
          </cell>
          <cell r="BH26">
            <v>451410.17736044584</v>
          </cell>
          <cell r="BI26">
            <v>330519</v>
          </cell>
          <cell r="BK26" t="str">
            <v>PNXWAX</v>
          </cell>
          <cell r="BL26">
            <v>1750695.7533333334</v>
          </cell>
          <cell r="BM26">
            <v>417198.4444444445</v>
          </cell>
          <cell r="BN26">
            <v>0</v>
          </cell>
          <cell r="BP26" t="str">
            <v>PNXWAX</v>
          </cell>
          <cell r="BQ26">
            <v>1500596.3600000003</v>
          </cell>
          <cell r="BR26">
            <v>357598.66666666669</v>
          </cell>
          <cell r="BS26">
            <v>0</v>
          </cell>
          <cell r="BU26" t="str">
            <v>PNXWAX</v>
          </cell>
          <cell r="BV26">
            <v>1500596.3600000003</v>
          </cell>
          <cell r="BW26">
            <v>357598.66666666669</v>
          </cell>
          <cell r="BX26">
            <v>0</v>
          </cell>
          <cell r="BZ26" t="str">
            <v>PNXWAX</v>
          </cell>
          <cell r="CA26">
            <v>1750695.7533333334</v>
          </cell>
          <cell r="CB26">
            <v>417198.4444444445</v>
          </cell>
          <cell r="CC26">
            <v>0</v>
          </cell>
          <cell r="CE26" t="str">
            <v>SAXWAX</v>
          </cell>
          <cell r="CF26">
            <v>1760970.2395833335</v>
          </cell>
          <cell r="CG26">
            <v>224136.88888888893</v>
          </cell>
          <cell r="CH26">
            <v>0</v>
          </cell>
          <cell r="CJ26" t="str">
            <v>SAXWAX</v>
          </cell>
          <cell r="CK26">
            <v>1509403.0625</v>
          </cell>
          <cell r="CL26">
            <v>192117.33333333337</v>
          </cell>
          <cell r="CM26">
            <v>0</v>
          </cell>
          <cell r="CO26" t="str">
            <v>SAXWAX</v>
          </cell>
          <cell r="CP26">
            <v>1509403.0625</v>
          </cell>
          <cell r="CQ26">
            <v>192117.33333333337</v>
          </cell>
          <cell r="CR26">
            <v>0</v>
          </cell>
          <cell r="CT26" t="str">
            <v>SAXWAX</v>
          </cell>
          <cell r="CU26">
            <v>1760970.2395833335</v>
          </cell>
          <cell r="CV26">
            <v>224136.88888888893</v>
          </cell>
          <cell r="CW26">
            <v>0</v>
          </cell>
        </row>
        <row r="27">
          <cell r="Q27">
            <v>5113133.1758163888</v>
          </cell>
          <cell r="R27" t="str">
            <v>SAX</v>
          </cell>
          <cell r="S27">
            <v>5691664.333333334</v>
          </cell>
          <cell r="T27">
            <v>901870.66666666663</v>
          </cell>
          <cell r="U27">
            <v>0</v>
          </cell>
          <cell r="W27" t="str">
            <v>SAX</v>
          </cell>
          <cell r="X27">
            <v>1532371.166666667</v>
          </cell>
          <cell r="Y27">
            <v>242811.33333333331</v>
          </cell>
          <cell r="Z27">
            <v>0</v>
          </cell>
          <cell r="AB27" t="str">
            <v>CEX</v>
          </cell>
          <cell r="AC27">
            <v>1392181.2000000002</v>
          </cell>
          <cell r="AD27">
            <v>430080</v>
          </cell>
          <cell r="AE27">
            <v>799938.00000000012</v>
          </cell>
          <cell r="AG27" t="str">
            <v>EU4</v>
          </cell>
          <cell r="AH27">
            <v>1376163.7919999999</v>
          </cell>
          <cell r="AI27">
            <v>518980.49999999994</v>
          </cell>
          <cell r="AJ27">
            <v>937118.99999999988</v>
          </cell>
          <cell r="AL27" t="str">
            <v>EU4</v>
          </cell>
          <cell r="AM27">
            <v>1605524.4239999999</v>
          </cell>
          <cell r="AN27">
            <v>605477.24999999988</v>
          </cell>
          <cell r="AO27">
            <v>1093305.4999999998</v>
          </cell>
          <cell r="AQ27" t="str">
            <v>WAX</v>
          </cell>
          <cell r="AR27">
            <v>1206013.1996642689</v>
          </cell>
          <cell r="AS27">
            <v>488140.79999999999</v>
          </cell>
          <cell r="AT27">
            <v>0</v>
          </cell>
          <cell r="AV27" t="str">
            <v>WAX</v>
          </cell>
          <cell r="AW27">
            <v>1033725.5997122305</v>
          </cell>
          <cell r="AX27">
            <v>418406.39999999997</v>
          </cell>
          <cell r="AY27">
            <v>0</v>
          </cell>
          <cell r="BA27" t="str">
            <v>WAX</v>
          </cell>
          <cell r="BB27">
            <v>1033725.5997122305</v>
          </cell>
          <cell r="BC27">
            <v>418406.39999999997</v>
          </cell>
          <cell r="BD27">
            <v>0</v>
          </cell>
          <cell r="BF27" t="str">
            <v>WAX</v>
          </cell>
          <cell r="BG27">
            <v>1206013.1996642689</v>
          </cell>
          <cell r="BH27">
            <v>488140.79999999999</v>
          </cell>
          <cell r="BI27">
            <v>0</v>
          </cell>
          <cell r="BK27" t="str">
            <v>APXTAS</v>
          </cell>
          <cell r="BL27">
            <v>1414106.3999999997</v>
          </cell>
          <cell r="BM27">
            <v>451410.17736044584</v>
          </cell>
          <cell r="BN27">
            <v>330519</v>
          </cell>
          <cell r="BP27" t="str">
            <v>APXTAS</v>
          </cell>
          <cell r="BQ27">
            <v>1212091.1999999995</v>
          </cell>
          <cell r="BR27">
            <v>386923.00916609645</v>
          </cell>
          <cell r="BS27">
            <v>283302</v>
          </cell>
          <cell r="BU27" t="str">
            <v>APXTAS</v>
          </cell>
          <cell r="BV27">
            <v>1212091.1999999995</v>
          </cell>
          <cell r="BW27">
            <v>386923.00916609645</v>
          </cell>
          <cell r="BX27">
            <v>283302</v>
          </cell>
          <cell r="BZ27" t="str">
            <v>APXTAS</v>
          </cell>
          <cell r="CA27">
            <v>1414106.3999999997</v>
          </cell>
          <cell r="CB27">
            <v>451410.17736044584</v>
          </cell>
          <cell r="CC27">
            <v>330519</v>
          </cell>
          <cell r="CE27" t="str">
            <v>SAXWAX</v>
          </cell>
          <cell r="CF27">
            <v>1760970.2395833335</v>
          </cell>
          <cell r="CG27">
            <v>224136.88888888893</v>
          </cell>
          <cell r="CH27">
            <v>0</v>
          </cell>
          <cell r="CJ27" t="str">
            <v>SAXWAX</v>
          </cell>
          <cell r="CK27">
            <v>1509403.0625</v>
          </cell>
          <cell r="CL27">
            <v>192117.33333333337</v>
          </cell>
          <cell r="CM27">
            <v>0</v>
          </cell>
          <cell r="CO27" t="str">
            <v>SAXWAX</v>
          </cell>
          <cell r="CP27">
            <v>1509403.0625</v>
          </cell>
          <cell r="CQ27">
            <v>192117.33333333337</v>
          </cell>
          <cell r="CR27">
            <v>0</v>
          </cell>
          <cell r="CT27" t="str">
            <v>SAXWAX</v>
          </cell>
          <cell r="CU27">
            <v>1760970.2395833335</v>
          </cell>
          <cell r="CV27">
            <v>224136.88888888893</v>
          </cell>
          <cell r="CW27">
            <v>0</v>
          </cell>
        </row>
        <row r="28">
          <cell r="Q28">
            <v>5059449.3363175672</v>
          </cell>
          <cell r="R28" t="str">
            <v>SAX</v>
          </cell>
          <cell r="S28">
            <v>5691664.333333334</v>
          </cell>
          <cell r="T28">
            <v>901870.66666666663</v>
          </cell>
          <cell r="U28">
            <v>0</v>
          </cell>
          <cell r="W28" t="str">
            <v>SAX</v>
          </cell>
          <cell r="X28">
            <v>1532371.166666667</v>
          </cell>
          <cell r="Y28">
            <v>242811.33333333331</v>
          </cell>
          <cell r="Z28">
            <v>0</v>
          </cell>
          <cell r="AB28" t="str">
            <v>CEX</v>
          </cell>
          <cell r="AC28">
            <v>1392181.2000000002</v>
          </cell>
          <cell r="AD28">
            <v>430080</v>
          </cell>
          <cell r="AE28">
            <v>799938.00000000012</v>
          </cell>
          <cell r="AG28" t="str">
            <v>WAX</v>
          </cell>
          <cell r="AH28">
            <v>1033725.5997122305</v>
          </cell>
          <cell r="AI28">
            <v>418406.39999999997</v>
          </cell>
          <cell r="AJ28">
            <v>0</v>
          </cell>
          <cell r="AL28" t="str">
            <v>WAX</v>
          </cell>
          <cell r="AM28">
            <v>1206013.1996642689</v>
          </cell>
          <cell r="AN28">
            <v>488140.79999999999</v>
          </cell>
          <cell r="AO28">
            <v>0</v>
          </cell>
          <cell r="AQ28" t="str">
            <v>WAX</v>
          </cell>
          <cell r="AR28">
            <v>1206013.1996642689</v>
          </cell>
          <cell r="AS28">
            <v>488140.79999999999</v>
          </cell>
          <cell r="AT28">
            <v>0</v>
          </cell>
          <cell r="AV28" t="str">
            <v>WAX</v>
          </cell>
          <cell r="AW28">
            <v>1033725.5997122305</v>
          </cell>
          <cell r="AX28">
            <v>418406.39999999997</v>
          </cell>
          <cell r="AY28">
            <v>0</v>
          </cell>
          <cell r="BA28" t="str">
            <v>WAX</v>
          </cell>
          <cell r="BB28">
            <v>1033725.5997122305</v>
          </cell>
          <cell r="BC28">
            <v>418406.39999999997</v>
          </cell>
          <cell r="BD28">
            <v>0</v>
          </cell>
          <cell r="BF28" t="str">
            <v>WAX</v>
          </cell>
          <cell r="BG28">
            <v>1206013.1996642689</v>
          </cell>
          <cell r="BH28">
            <v>488140.79999999999</v>
          </cell>
          <cell r="BI28">
            <v>0</v>
          </cell>
          <cell r="BK28" t="str">
            <v>APXTAS</v>
          </cell>
          <cell r="BL28">
            <v>1414106.3999999997</v>
          </cell>
          <cell r="BM28">
            <v>451410.17736044584</v>
          </cell>
          <cell r="BN28">
            <v>330519</v>
          </cell>
          <cell r="BP28" t="str">
            <v>APXTAS</v>
          </cell>
          <cell r="BQ28">
            <v>1212091.1999999995</v>
          </cell>
          <cell r="BR28">
            <v>386923.00916609645</v>
          </cell>
          <cell r="BS28">
            <v>283302</v>
          </cell>
          <cell r="BU28" t="str">
            <v>APXTAS</v>
          </cell>
          <cell r="BV28">
            <v>1212091.1999999995</v>
          </cell>
          <cell r="BW28">
            <v>386923.00916609645</v>
          </cell>
          <cell r="BX28">
            <v>283302</v>
          </cell>
          <cell r="BZ28" t="str">
            <v>APXTAS</v>
          </cell>
          <cell r="CA28">
            <v>1414106.3999999997</v>
          </cell>
          <cell r="CB28">
            <v>451410.17736044584</v>
          </cell>
          <cell r="CC28">
            <v>330519</v>
          </cell>
          <cell r="CE28" t="str">
            <v>SAXWAX</v>
          </cell>
          <cell r="CF28">
            <v>1760970.2395833335</v>
          </cell>
          <cell r="CG28">
            <v>224136.88888888893</v>
          </cell>
          <cell r="CH28">
            <v>0</v>
          </cell>
          <cell r="CJ28" t="str">
            <v>SAXWAX</v>
          </cell>
          <cell r="CK28">
            <v>1509403.0625</v>
          </cell>
          <cell r="CL28">
            <v>192117.33333333337</v>
          </cell>
          <cell r="CM28">
            <v>0</v>
          </cell>
          <cell r="CO28" t="str">
            <v>SAXWAX</v>
          </cell>
          <cell r="CP28">
            <v>1509403.0625</v>
          </cell>
          <cell r="CQ28">
            <v>192117.33333333337</v>
          </cell>
          <cell r="CR28">
            <v>0</v>
          </cell>
          <cell r="CT28" t="str">
            <v>SAXWAX</v>
          </cell>
          <cell r="CU28">
            <v>1760970.2395833335</v>
          </cell>
          <cell r="CV28">
            <v>224136.88888888893</v>
          </cell>
          <cell r="CW28">
            <v>0</v>
          </cell>
        </row>
        <row r="29">
          <cell r="R29" t="str">
            <v>APX</v>
          </cell>
          <cell r="S29">
            <v>3364625.6799999992</v>
          </cell>
          <cell r="T29">
            <v>1489362.3333333333</v>
          </cell>
          <cell r="U29">
            <v>0</v>
          </cell>
          <cell r="W29" t="str">
            <v>APXTAS</v>
          </cell>
          <cell r="X29">
            <v>875603.24599999993</v>
          </cell>
          <cell r="Y29">
            <v>399588.30701754388</v>
          </cell>
          <cell r="Z29">
            <v>254823.33333333337</v>
          </cell>
          <cell r="AB29" t="str">
            <v>APXTAS</v>
          </cell>
          <cell r="AC29">
            <v>750517.06799999997</v>
          </cell>
          <cell r="AD29">
            <v>342504.26315789478</v>
          </cell>
          <cell r="AE29">
            <v>218420</v>
          </cell>
          <cell r="AG29" t="str">
            <v>APXTAS</v>
          </cell>
          <cell r="AH29">
            <v>750517.06799999997</v>
          </cell>
          <cell r="AI29">
            <v>342504.26315789478</v>
          </cell>
          <cell r="AJ29">
            <v>218420</v>
          </cell>
          <cell r="AL29" t="str">
            <v>APXTAS</v>
          </cell>
          <cell r="AM29">
            <v>875603.24599999993</v>
          </cell>
          <cell r="AN29">
            <v>399588.30701754388</v>
          </cell>
          <cell r="AO29">
            <v>254823.33333333337</v>
          </cell>
        </row>
        <row r="30">
          <cell r="R30" t="str">
            <v>APX</v>
          </cell>
          <cell r="S30">
            <v>3364625.6799999992</v>
          </cell>
          <cell r="T30">
            <v>1489362.3333333333</v>
          </cell>
          <cell r="U30">
            <v>0</v>
          </cell>
          <cell r="W30" t="str">
            <v>APXTAS</v>
          </cell>
          <cell r="X30">
            <v>875603.24599999993</v>
          </cell>
          <cell r="Y30">
            <v>399588.30701754388</v>
          </cell>
          <cell r="Z30">
            <v>254823.33333333337</v>
          </cell>
          <cell r="AB30" t="str">
            <v>APXTAS</v>
          </cell>
          <cell r="AC30">
            <v>750517.06799999997</v>
          </cell>
          <cell r="AD30">
            <v>342504.26315789478</v>
          </cell>
          <cell r="AE30">
            <v>218420</v>
          </cell>
          <cell r="AG30" t="str">
            <v>APXTAS</v>
          </cell>
          <cell r="AH30">
            <v>750517.06799999997</v>
          </cell>
          <cell r="AI30">
            <v>342504.26315789478</v>
          </cell>
          <cell r="AJ30">
            <v>218420</v>
          </cell>
          <cell r="AL30" t="str">
            <v>APXTAS</v>
          </cell>
          <cell r="AM30">
            <v>875603.24599999993</v>
          </cell>
          <cell r="AN30">
            <v>399588.30701754388</v>
          </cell>
          <cell r="AO30">
            <v>254823.33333333337</v>
          </cell>
        </row>
        <row r="31">
          <cell r="R31" t="str">
            <v>APX</v>
          </cell>
          <cell r="S31">
            <v>3364625.6799999992</v>
          </cell>
          <cell r="T31">
            <v>1489362.3333333333</v>
          </cell>
          <cell r="U31">
            <v>0</v>
          </cell>
          <cell r="W31" t="str">
            <v>MED</v>
          </cell>
          <cell r="X31">
            <v>868560.87500000012</v>
          </cell>
          <cell r="Y31">
            <v>366747.5</v>
          </cell>
          <cell r="Z31">
            <v>725189.50000000012</v>
          </cell>
          <cell r="AB31" t="str">
            <v>MED</v>
          </cell>
          <cell r="AC31">
            <v>744480.75000000012</v>
          </cell>
          <cell r="AD31">
            <v>314355</v>
          </cell>
          <cell r="AE31">
            <v>621591.00000000012</v>
          </cell>
          <cell r="AG31" t="str">
            <v>MED</v>
          </cell>
          <cell r="AH31">
            <v>744480.75000000012</v>
          </cell>
          <cell r="AI31">
            <v>314355</v>
          </cell>
          <cell r="AJ31">
            <v>621591.00000000012</v>
          </cell>
          <cell r="AL31" t="str">
            <v>MED</v>
          </cell>
          <cell r="AM31">
            <v>868560.87500000012</v>
          </cell>
          <cell r="AN31">
            <v>366747.5</v>
          </cell>
          <cell r="AO31">
            <v>725189.50000000012</v>
          </cell>
        </row>
        <row r="32">
          <cell r="Q32">
            <v>9209745.3388862479</v>
          </cell>
          <cell r="R32" t="str">
            <v>AEX</v>
          </cell>
          <cell r="S32">
            <v>6261147.7500000009</v>
          </cell>
          <cell r="T32">
            <v>1732815.5</v>
          </cell>
          <cell r="U32">
            <v>3805009.0000000005</v>
          </cell>
          <cell r="W32" t="str">
            <v>AEX</v>
          </cell>
          <cell r="X32">
            <v>1685693.6250000002</v>
          </cell>
          <cell r="Y32">
            <v>466527.25</v>
          </cell>
          <cell r="Z32">
            <v>1024425.5000000001</v>
          </cell>
          <cell r="AB32" t="str">
            <v>SAX</v>
          </cell>
          <cell r="AC32">
            <v>1349362.9555555552</v>
          </cell>
          <cell r="AD32">
            <v>217482</v>
          </cell>
          <cell r="AE32">
            <v>0</v>
          </cell>
          <cell r="AG32" t="str">
            <v>CEXSAX</v>
          </cell>
          <cell r="AH32">
            <v>1781018.4749999999</v>
          </cell>
          <cell r="AI32">
            <v>287808.00000000006</v>
          </cell>
          <cell r="AJ32">
            <v>585386</v>
          </cell>
          <cell r="AL32" t="str">
            <v>CEXSAX</v>
          </cell>
          <cell r="AM32">
            <v>2077854.8875</v>
          </cell>
          <cell r="AN32">
            <v>335776.00000000006</v>
          </cell>
          <cell r="AO32">
            <v>682950.33333333326</v>
          </cell>
          <cell r="AQ32" t="str">
            <v>CEX</v>
          </cell>
          <cell r="AR32">
            <v>1663817.9598177078</v>
          </cell>
          <cell r="AS32">
            <v>486302.25</v>
          </cell>
          <cell r="AT32">
            <v>1024425.5000000001</v>
          </cell>
          <cell r="AV32" t="str">
            <v>CEX</v>
          </cell>
          <cell r="AW32">
            <v>1425321.43625</v>
          </cell>
          <cell r="AX32">
            <v>459684</v>
          </cell>
          <cell r="AY32">
            <v>878079.00000000012</v>
          </cell>
          <cell r="BA32" t="str">
            <v>CEX</v>
          </cell>
          <cell r="BB32">
            <v>1425321.43625</v>
          </cell>
          <cell r="BC32">
            <v>459684</v>
          </cell>
          <cell r="BD32">
            <v>878079.00000000012</v>
          </cell>
          <cell r="BF32" t="str">
            <v>CEX</v>
          </cell>
          <cell r="BG32">
            <v>1662875.0089583334</v>
          </cell>
          <cell r="BH32">
            <v>536298</v>
          </cell>
          <cell r="BI32">
            <v>1024425.5000000001</v>
          </cell>
          <cell r="BK32" t="str">
            <v>EU4</v>
          </cell>
          <cell r="BL32">
            <v>1599535.1274000003</v>
          </cell>
          <cell r="BM32">
            <v>474246.5</v>
          </cell>
          <cell r="BN32">
            <v>885507</v>
          </cell>
          <cell r="BP32" t="str">
            <v>EU4</v>
          </cell>
          <cell r="BQ32">
            <v>1371030.1092000001</v>
          </cell>
          <cell r="BR32">
            <v>406497</v>
          </cell>
          <cell r="BS32">
            <v>759006</v>
          </cell>
          <cell r="BU32" t="str">
            <v>EU4</v>
          </cell>
          <cell r="BV32">
            <v>1371030.1092000001</v>
          </cell>
          <cell r="BW32">
            <v>406497</v>
          </cell>
          <cell r="BX32">
            <v>759006</v>
          </cell>
          <cell r="BZ32" t="str">
            <v>EU4</v>
          </cell>
          <cell r="CA32">
            <v>1599535.1274000003</v>
          </cell>
          <cell r="CB32">
            <v>474246.5</v>
          </cell>
          <cell r="CC32">
            <v>885507</v>
          </cell>
          <cell r="CE32" t="str">
            <v>EU4</v>
          </cell>
          <cell r="CF32">
            <v>1599535.1274000003</v>
          </cell>
          <cell r="CG32">
            <v>474246.5</v>
          </cell>
          <cell r="CH32">
            <v>885507</v>
          </cell>
          <cell r="CJ32" t="str">
            <v>EU4</v>
          </cell>
          <cell r="CK32">
            <v>1371030.1092000001</v>
          </cell>
          <cell r="CL32">
            <v>406497</v>
          </cell>
          <cell r="CM32">
            <v>759006</v>
          </cell>
          <cell r="CO32" t="str">
            <v>EU4</v>
          </cell>
          <cell r="CP32">
            <v>1371030.1092000001</v>
          </cell>
          <cell r="CQ32">
            <v>406497</v>
          </cell>
          <cell r="CR32">
            <v>759006</v>
          </cell>
          <cell r="CT32" t="str">
            <v>EU4</v>
          </cell>
          <cell r="CU32">
            <v>1599535.1274000003</v>
          </cell>
          <cell r="CV32">
            <v>474246.5</v>
          </cell>
          <cell r="CW32">
            <v>885507</v>
          </cell>
        </row>
        <row r="33">
          <cell r="Q33">
            <v>8537461.5477324016</v>
          </cell>
          <cell r="R33" t="str">
            <v>AEX</v>
          </cell>
          <cell r="S33">
            <v>6261147.7500000009</v>
          </cell>
          <cell r="T33">
            <v>1732815.5</v>
          </cell>
          <cell r="U33">
            <v>3805009.0000000005</v>
          </cell>
          <cell r="W33" t="str">
            <v>AEX</v>
          </cell>
          <cell r="X33">
            <v>1685693.6250000002</v>
          </cell>
          <cell r="Y33">
            <v>466527.25</v>
          </cell>
          <cell r="Z33">
            <v>1024425.5000000001</v>
          </cell>
          <cell r="AB33" t="str">
            <v>SAX</v>
          </cell>
          <cell r="AC33">
            <v>1349362.9555555552</v>
          </cell>
          <cell r="AD33">
            <v>217482</v>
          </cell>
          <cell r="AE33">
            <v>0</v>
          </cell>
          <cell r="AG33" t="str">
            <v>CEXSAX</v>
          </cell>
          <cell r="AH33">
            <v>1781018.4749999999</v>
          </cell>
          <cell r="AI33">
            <v>287808.00000000006</v>
          </cell>
          <cell r="AJ33">
            <v>585386</v>
          </cell>
          <cell r="AL33" t="str">
            <v>CEXSAX</v>
          </cell>
          <cell r="AM33">
            <v>2077854.8875</v>
          </cell>
          <cell r="AN33">
            <v>335776.00000000006</v>
          </cell>
          <cell r="AO33">
            <v>682950.33333333326</v>
          </cell>
          <cell r="AQ33" t="str">
            <v>SAX</v>
          </cell>
          <cell r="AR33">
            <v>1574256.7814814809</v>
          </cell>
          <cell r="AS33">
            <v>253729</v>
          </cell>
          <cell r="AT33">
            <v>0</v>
          </cell>
          <cell r="AV33" t="str">
            <v>CEX</v>
          </cell>
          <cell r="AW33">
            <v>1425321.43625</v>
          </cell>
          <cell r="AX33">
            <v>459684</v>
          </cell>
          <cell r="AY33">
            <v>878079.00000000012</v>
          </cell>
          <cell r="BA33" t="str">
            <v>CEX</v>
          </cell>
          <cell r="BB33">
            <v>1425321.43625</v>
          </cell>
          <cell r="BC33">
            <v>459684</v>
          </cell>
          <cell r="BD33">
            <v>878079.00000000012</v>
          </cell>
          <cell r="BF33" t="str">
            <v>CEX</v>
          </cell>
          <cell r="BG33">
            <v>1662875.0089583334</v>
          </cell>
          <cell r="BH33">
            <v>536298</v>
          </cell>
          <cell r="BI33">
            <v>1024425.5000000001</v>
          </cell>
          <cell r="BK33" t="str">
            <v>EU4</v>
          </cell>
          <cell r="BL33">
            <v>1599535.1274000003</v>
          </cell>
          <cell r="BM33">
            <v>474246.5</v>
          </cell>
          <cell r="BN33">
            <v>885507</v>
          </cell>
          <cell r="BP33" t="str">
            <v>EU4</v>
          </cell>
          <cell r="BQ33">
            <v>1371030.1092000001</v>
          </cell>
          <cell r="BR33">
            <v>406497</v>
          </cell>
          <cell r="BS33">
            <v>759006</v>
          </cell>
          <cell r="BU33" t="str">
            <v>EU4</v>
          </cell>
          <cell r="BV33">
            <v>1371030.1092000001</v>
          </cell>
          <cell r="BW33">
            <v>406497</v>
          </cell>
          <cell r="BX33">
            <v>759006</v>
          </cell>
          <cell r="BZ33" t="str">
            <v>EU4</v>
          </cell>
          <cell r="CA33">
            <v>1599535.1274000003</v>
          </cell>
          <cell r="CB33">
            <v>474246.5</v>
          </cell>
          <cell r="CC33">
            <v>885507</v>
          </cell>
          <cell r="CE33" t="str">
            <v>EU4</v>
          </cell>
          <cell r="CF33">
            <v>1599535.1274000003</v>
          </cell>
          <cell r="CG33">
            <v>474246.5</v>
          </cell>
          <cell r="CH33">
            <v>885507</v>
          </cell>
          <cell r="CJ33" t="str">
            <v>EU4</v>
          </cell>
          <cell r="CK33">
            <v>1371030.1092000001</v>
          </cell>
          <cell r="CL33">
            <v>406497</v>
          </cell>
          <cell r="CM33">
            <v>759006</v>
          </cell>
          <cell r="CO33" t="str">
            <v>EU4</v>
          </cell>
          <cell r="CP33">
            <v>1371030.1092000001</v>
          </cell>
          <cell r="CQ33">
            <v>406497</v>
          </cell>
          <cell r="CR33">
            <v>759006</v>
          </cell>
          <cell r="CT33" t="str">
            <v>EU4</v>
          </cell>
          <cell r="CU33">
            <v>1599535.1274000003</v>
          </cell>
          <cell r="CV33">
            <v>474246.5</v>
          </cell>
          <cell r="CW33">
            <v>885507</v>
          </cell>
        </row>
        <row r="34">
          <cell r="Q34">
            <v>8697189.8217708655</v>
          </cell>
          <cell r="R34" t="str">
            <v>AEX</v>
          </cell>
          <cell r="S34">
            <v>6261147.7500000009</v>
          </cell>
          <cell r="T34">
            <v>1732815.5</v>
          </cell>
          <cell r="U34">
            <v>3805009.0000000005</v>
          </cell>
          <cell r="W34" t="str">
            <v>AEX</v>
          </cell>
          <cell r="X34">
            <v>1685693.6250000002</v>
          </cell>
          <cell r="Y34">
            <v>466527.25</v>
          </cell>
          <cell r="Z34">
            <v>1024425.5000000001</v>
          </cell>
          <cell r="AB34" t="str">
            <v>SAX</v>
          </cell>
          <cell r="AC34">
            <v>1349362.9555555552</v>
          </cell>
          <cell r="AD34">
            <v>217482</v>
          </cell>
          <cell r="AE34">
            <v>0</v>
          </cell>
          <cell r="AG34" t="str">
            <v>CEXSAX</v>
          </cell>
          <cell r="AH34">
            <v>1781018.4749999999</v>
          </cell>
          <cell r="AI34">
            <v>287808.00000000006</v>
          </cell>
          <cell r="AJ34">
            <v>585386</v>
          </cell>
          <cell r="AL34" t="str">
            <v>CEXSAX</v>
          </cell>
          <cell r="AM34">
            <v>2077854.8875</v>
          </cell>
          <cell r="AN34">
            <v>335776.00000000006</v>
          </cell>
          <cell r="AO34">
            <v>682950.33333333326</v>
          </cell>
          <cell r="AQ34" t="str">
            <v>CEX</v>
          </cell>
          <cell r="AR34">
            <v>1663817.9598177078</v>
          </cell>
          <cell r="AS34">
            <v>486302.25</v>
          </cell>
          <cell r="AT34">
            <v>1024425.5000000001</v>
          </cell>
          <cell r="AV34" t="str">
            <v>CEX</v>
          </cell>
          <cell r="AW34">
            <v>1425321.43625</v>
          </cell>
          <cell r="AX34">
            <v>459684</v>
          </cell>
          <cell r="AY34">
            <v>878079.00000000012</v>
          </cell>
          <cell r="BA34" t="str">
            <v>CEX</v>
          </cell>
          <cell r="BB34">
            <v>1425321.43625</v>
          </cell>
          <cell r="BC34">
            <v>459684</v>
          </cell>
          <cell r="BD34">
            <v>878079.00000000012</v>
          </cell>
          <cell r="BF34" t="str">
            <v>CEX</v>
          </cell>
          <cell r="BG34">
            <v>1662875.0089583334</v>
          </cell>
          <cell r="BH34">
            <v>536298</v>
          </cell>
          <cell r="BI34">
            <v>1024425.5000000001</v>
          </cell>
          <cell r="BK34" t="str">
            <v>EU4</v>
          </cell>
          <cell r="BL34">
            <v>1599535.1274000003</v>
          </cell>
          <cell r="BM34">
            <v>474246.5</v>
          </cell>
          <cell r="BN34">
            <v>885507</v>
          </cell>
          <cell r="BP34" t="str">
            <v>EU4</v>
          </cell>
          <cell r="BQ34">
            <v>1371030.1092000001</v>
          </cell>
          <cell r="BR34">
            <v>406497</v>
          </cell>
          <cell r="BS34">
            <v>759006</v>
          </cell>
          <cell r="BU34" t="str">
            <v>EU4</v>
          </cell>
          <cell r="BV34">
            <v>1371030.1092000001</v>
          </cell>
          <cell r="BW34">
            <v>406497</v>
          </cell>
          <cell r="BX34">
            <v>759006</v>
          </cell>
          <cell r="BZ34" t="str">
            <v>EU4</v>
          </cell>
          <cell r="CA34">
            <v>1599535.1274000003</v>
          </cell>
          <cell r="CB34">
            <v>474246.5</v>
          </cell>
          <cell r="CC34">
            <v>885507</v>
          </cell>
          <cell r="CE34" t="str">
            <v>EU4</v>
          </cell>
          <cell r="CF34">
            <v>1599535.1274000003</v>
          </cell>
          <cell r="CG34">
            <v>474246.5</v>
          </cell>
          <cell r="CH34">
            <v>885507</v>
          </cell>
          <cell r="CJ34" t="str">
            <v>EU4</v>
          </cell>
          <cell r="CK34">
            <v>1371030.1092000001</v>
          </cell>
          <cell r="CL34">
            <v>406497</v>
          </cell>
          <cell r="CM34">
            <v>759006</v>
          </cell>
          <cell r="CO34" t="str">
            <v>EU4</v>
          </cell>
          <cell r="CP34">
            <v>1371030.1092000001</v>
          </cell>
          <cell r="CQ34">
            <v>406497</v>
          </cell>
          <cell r="CR34">
            <v>759006</v>
          </cell>
          <cell r="CT34" t="str">
            <v>EU4</v>
          </cell>
          <cell r="CU34">
            <v>1599535.1274000003</v>
          </cell>
          <cell r="CV34">
            <v>474246.5</v>
          </cell>
          <cell r="CW34">
            <v>885507</v>
          </cell>
        </row>
        <row r="35">
          <cell r="R35" t="str">
            <v>RELEU</v>
          </cell>
          <cell r="W35" t="str">
            <v>RELEU</v>
          </cell>
          <cell r="AB35" t="str">
            <v>RELEU</v>
          </cell>
          <cell r="AG35" t="str">
            <v>RELEU</v>
          </cell>
          <cell r="AL35" t="str">
            <v>RELEU</v>
          </cell>
          <cell r="AQ35" t="str">
            <v>RELEU</v>
          </cell>
          <cell r="AV35" t="str">
            <v>RELEU</v>
          </cell>
          <cell r="BA35" t="str">
            <v>RELEU</v>
          </cell>
          <cell r="BF35" t="str">
            <v>RELEU</v>
          </cell>
          <cell r="BK35" t="str">
            <v>RELEU</v>
          </cell>
          <cell r="BP35" t="str">
            <v>RELEU</v>
          </cell>
          <cell r="BU35" t="str">
            <v>RELEU</v>
          </cell>
          <cell r="BZ35" t="str">
            <v>RELEU</v>
          </cell>
          <cell r="CE35" t="str">
            <v>RELEU</v>
          </cell>
          <cell r="CJ35" t="str">
            <v>RELEU</v>
          </cell>
          <cell r="CO35" t="str">
            <v>RELEU</v>
          </cell>
          <cell r="CT35" t="str">
            <v>RELEU</v>
          </cell>
        </row>
        <row r="36">
          <cell r="Q36">
            <v>8924029.6448477879</v>
          </cell>
          <cell r="R36" t="str">
            <v>JEX</v>
          </cell>
          <cell r="S36">
            <v>5969545.2374999998</v>
          </cell>
          <cell r="T36">
            <v>1728122.4999999998</v>
          </cell>
          <cell r="U36">
            <v>3924115</v>
          </cell>
          <cell r="W36" t="str">
            <v>JEX</v>
          </cell>
          <cell r="X36">
            <v>1607185.2562499999</v>
          </cell>
          <cell r="Y36">
            <v>465263.74999999994</v>
          </cell>
          <cell r="Z36">
            <v>1056492.5</v>
          </cell>
          <cell r="AB36" t="str">
            <v>SAX</v>
          </cell>
          <cell r="AC36">
            <v>1349362.9555555552</v>
          </cell>
          <cell r="AD36">
            <v>217482</v>
          </cell>
          <cell r="AE36">
            <v>0</v>
          </cell>
          <cell r="AG36" t="str">
            <v>CEXSAX</v>
          </cell>
          <cell r="AH36">
            <v>1781018.4749999999</v>
          </cell>
          <cell r="AI36">
            <v>287808.00000000006</v>
          </cell>
          <cell r="AJ36">
            <v>585386</v>
          </cell>
          <cell r="AL36" t="str">
            <v>CEXSAX</v>
          </cell>
          <cell r="AM36">
            <v>2077854.8875</v>
          </cell>
          <cell r="AN36">
            <v>335776.00000000006</v>
          </cell>
          <cell r="AO36">
            <v>682950.33333333326</v>
          </cell>
          <cell r="AQ36" t="str">
            <v>CEX</v>
          </cell>
          <cell r="AR36">
            <v>1663817.9598177078</v>
          </cell>
          <cell r="AS36">
            <v>486302.25</v>
          </cell>
          <cell r="AT36">
            <v>1024425.5000000001</v>
          </cell>
          <cell r="AV36" t="str">
            <v>CEX</v>
          </cell>
          <cell r="AW36">
            <v>1425321.43625</v>
          </cell>
          <cell r="AX36">
            <v>459684</v>
          </cell>
          <cell r="AY36">
            <v>878079.00000000012</v>
          </cell>
          <cell r="BA36" t="str">
            <v>CEX</v>
          </cell>
          <cell r="BB36">
            <v>1425321.43625</v>
          </cell>
          <cell r="BC36">
            <v>459684</v>
          </cell>
          <cell r="BD36">
            <v>878079.00000000012</v>
          </cell>
          <cell r="BF36" t="str">
            <v>CEX</v>
          </cell>
          <cell r="BG36">
            <v>1662875.0089583334</v>
          </cell>
          <cell r="BH36">
            <v>536298</v>
          </cell>
          <cell r="BI36">
            <v>1024425.5000000001</v>
          </cell>
          <cell r="BK36" t="str">
            <v>EU4</v>
          </cell>
          <cell r="BL36">
            <v>1599535.1274000003</v>
          </cell>
          <cell r="BM36">
            <v>474246.5</v>
          </cell>
          <cell r="BN36">
            <v>885507</v>
          </cell>
          <cell r="BP36" t="str">
            <v>EU4</v>
          </cell>
          <cell r="BQ36">
            <v>1371030.1092000001</v>
          </cell>
          <cell r="BR36">
            <v>406497</v>
          </cell>
          <cell r="BS36">
            <v>759006</v>
          </cell>
          <cell r="BU36" t="str">
            <v>EU4</v>
          </cell>
          <cell r="BV36">
            <v>1371030.1092000001</v>
          </cell>
          <cell r="BW36">
            <v>406497</v>
          </cell>
          <cell r="BX36">
            <v>759006</v>
          </cell>
          <cell r="BZ36" t="str">
            <v>EU4</v>
          </cell>
          <cell r="CA36">
            <v>1599535.1274000003</v>
          </cell>
          <cell r="CB36">
            <v>474246.5</v>
          </cell>
          <cell r="CC36">
            <v>885507</v>
          </cell>
          <cell r="CE36" t="str">
            <v>EU4</v>
          </cell>
          <cell r="CF36">
            <v>1599535.1274000003</v>
          </cell>
          <cell r="CG36">
            <v>474246.5</v>
          </cell>
          <cell r="CH36">
            <v>885507</v>
          </cell>
          <cell r="CJ36" t="str">
            <v>EU4</v>
          </cell>
          <cell r="CK36">
            <v>1371030.1092000001</v>
          </cell>
          <cell r="CL36">
            <v>406497</v>
          </cell>
          <cell r="CM36">
            <v>759006</v>
          </cell>
          <cell r="CO36" t="str">
            <v>EU4</v>
          </cell>
          <cell r="CP36">
            <v>1371030.1092000001</v>
          </cell>
          <cell r="CQ36">
            <v>406497</v>
          </cell>
          <cell r="CR36">
            <v>759006</v>
          </cell>
          <cell r="CT36" t="str">
            <v>EU4</v>
          </cell>
          <cell r="CU36">
            <v>1599535.1274000003</v>
          </cell>
          <cell r="CV36">
            <v>474246.5</v>
          </cell>
          <cell r="CW36">
            <v>885507</v>
          </cell>
        </row>
        <row r="37">
          <cell r="Q37">
            <v>8775718.7821829505</v>
          </cell>
          <cell r="R37" t="str">
            <v>JEX</v>
          </cell>
          <cell r="S37">
            <v>6217046.5207500001</v>
          </cell>
          <cell r="T37">
            <v>1728122.4999999998</v>
          </cell>
          <cell r="U37">
            <v>3924115</v>
          </cell>
          <cell r="W37" t="str">
            <v>JEX</v>
          </cell>
          <cell r="X37">
            <v>1673820.217125</v>
          </cell>
          <cell r="Y37">
            <v>465263.74999999994</v>
          </cell>
          <cell r="Z37">
            <v>1056492.5</v>
          </cell>
          <cell r="AB37" t="str">
            <v>JEX</v>
          </cell>
          <cell r="AC37">
            <v>1434703.0432500001</v>
          </cell>
          <cell r="AD37">
            <v>398797.49999999994</v>
          </cell>
          <cell r="AE37">
            <v>905565</v>
          </cell>
          <cell r="AG37" t="str">
            <v>CEXSAX</v>
          </cell>
          <cell r="AH37">
            <v>1836802.1437499998</v>
          </cell>
          <cell r="AI37">
            <v>287808</v>
          </cell>
          <cell r="AJ37">
            <v>585386</v>
          </cell>
          <cell r="AL37" t="str">
            <v>CEXSAX</v>
          </cell>
          <cell r="AM37">
            <v>2142935.8343750001</v>
          </cell>
          <cell r="AN37">
            <v>335776</v>
          </cell>
          <cell r="AO37">
            <v>682950.33333333326</v>
          </cell>
          <cell r="AQ37" t="str">
            <v>CEX</v>
          </cell>
          <cell r="AR37">
            <v>1564343.2437499997</v>
          </cell>
          <cell r="AS37">
            <v>486302.25</v>
          </cell>
          <cell r="AT37">
            <v>1024425.5000000001</v>
          </cell>
          <cell r="AV37" t="str">
            <v>CEX</v>
          </cell>
          <cell r="AW37">
            <v>1340141.7</v>
          </cell>
          <cell r="AX37">
            <v>459684</v>
          </cell>
          <cell r="AY37">
            <v>878079.00000000012</v>
          </cell>
          <cell r="BA37" t="str">
            <v>CEX</v>
          </cell>
          <cell r="BB37">
            <v>1340141.7</v>
          </cell>
          <cell r="BC37">
            <v>459684</v>
          </cell>
          <cell r="BD37">
            <v>878079.00000000012</v>
          </cell>
          <cell r="BF37" t="str">
            <v>CEX</v>
          </cell>
          <cell r="BG37">
            <v>1563498.6499999997</v>
          </cell>
          <cell r="BH37">
            <v>536298</v>
          </cell>
          <cell r="BI37">
            <v>1024425.5000000001</v>
          </cell>
          <cell r="BK37" t="str">
            <v>CEXSAX</v>
          </cell>
          <cell r="BL37">
            <v>2142935.8343750001</v>
          </cell>
          <cell r="BM37">
            <v>335776</v>
          </cell>
          <cell r="BN37">
            <v>682950.33333333326</v>
          </cell>
          <cell r="BP37" t="str">
            <v>CEXSAX</v>
          </cell>
          <cell r="BQ37">
            <v>1836802.1437499998</v>
          </cell>
          <cell r="BR37">
            <v>287808</v>
          </cell>
          <cell r="BS37">
            <v>585386</v>
          </cell>
          <cell r="BU37" t="str">
            <v>CEXSAX</v>
          </cell>
          <cell r="BV37">
            <v>1836802.1437499998</v>
          </cell>
          <cell r="BW37">
            <v>287808</v>
          </cell>
          <cell r="BX37">
            <v>585386</v>
          </cell>
          <cell r="BZ37" t="str">
            <v>CEXSAX</v>
          </cell>
          <cell r="CA37">
            <v>2142935.8343750001</v>
          </cell>
          <cell r="CB37">
            <v>335776</v>
          </cell>
          <cell r="CC37">
            <v>682950.33333333326</v>
          </cell>
          <cell r="CE37" t="str">
            <v>EU4</v>
          </cell>
          <cell r="CF37">
            <v>1697798.4240000003</v>
          </cell>
          <cell r="CG37">
            <v>594464.5</v>
          </cell>
          <cell r="CH37">
            <v>1015297.4999999999</v>
          </cell>
          <cell r="CJ37" t="str">
            <v>EU4</v>
          </cell>
          <cell r="CK37">
            <v>1455255.7920000004</v>
          </cell>
          <cell r="CL37">
            <v>509541</v>
          </cell>
          <cell r="CM37">
            <v>870254.99999999988</v>
          </cell>
          <cell r="CO37" t="str">
            <v>EU4</v>
          </cell>
          <cell r="CP37">
            <v>1455255.7920000004</v>
          </cell>
          <cell r="CQ37">
            <v>509541</v>
          </cell>
          <cell r="CR37">
            <v>870254.99999999988</v>
          </cell>
          <cell r="CT37" t="str">
            <v>EU4</v>
          </cell>
          <cell r="CU37">
            <v>1697798.4240000003</v>
          </cell>
          <cell r="CV37">
            <v>594464.5</v>
          </cell>
          <cell r="CW37">
            <v>1015297.4999999999</v>
          </cell>
        </row>
        <row r="38">
          <cell r="Q38">
            <v>9034281.9749576766</v>
          </cell>
          <cell r="R38" t="str">
            <v>JEX</v>
          </cell>
          <cell r="S38">
            <v>6217046.5207500001</v>
          </cell>
          <cell r="T38">
            <v>1728122.4999999998</v>
          </cell>
          <cell r="U38">
            <v>3924115</v>
          </cell>
          <cell r="W38" t="str">
            <v>JEX</v>
          </cell>
          <cell r="X38">
            <v>1673820.217125</v>
          </cell>
          <cell r="Y38">
            <v>465263.74999999994</v>
          </cell>
          <cell r="Z38">
            <v>1056492.5</v>
          </cell>
          <cell r="AB38" t="str">
            <v>JEX</v>
          </cell>
          <cell r="AC38">
            <v>1434703.0432500001</v>
          </cell>
          <cell r="AD38">
            <v>398797.49999999994</v>
          </cell>
          <cell r="AE38">
            <v>905565</v>
          </cell>
          <cell r="AG38" t="str">
            <v>CEXSAX</v>
          </cell>
          <cell r="AH38">
            <v>1836802.1437499998</v>
          </cell>
          <cell r="AI38">
            <v>287808</v>
          </cell>
          <cell r="AJ38">
            <v>585386</v>
          </cell>
          <cell r="AL38" t="str">
            <v>CEXSAX</v>
          </cell>
          <cell r="AM38">
            <v>2142935.8343750001</v>
          </cell>
          <cell r="AN38">
            <v>335776</v>
          </cell>
          <cell r="AO38">
            <v>682950.33333333326</v>
          </cell>
          <cell r="AQ38" t="str">
            <v>CEX</v>
          </cell>
          <cell r="AR38">
            <v>1564343.2437499997</v>
          </cell>
          <cell r="AS38">
            <v>486302.25</v>
          </cell>
          <cell r="AT38">
            <v>1024425.5000000001</v>
          </cell>
          <cell r="AV38" t="str">
            <v>CEX</v>
          </cell>
          <cell r="AW38">
            <v>1340141.7</v>
          </cell>
          <cell r="AX38">
            <v>459684</v>
          </cell>
          <cell r="AY38">
            <v>878079.00000000012</v>
          </cell>
          <cell r="BA38" t="str">
            <v>CEX</v>
          </cell>
          <cell r="BB38">
            <v>1340141.7</v>
          </cell>
          <cell r="BC38">
            <v>459684</v>
          </cell>
          <cell r="BD38">
            <v>878079.00000000012</v>
          </cell>
          <cell r="BF38" t="str">
            <v>CEX</v>
          </cell>
          <cell r="BG38">
            <v>1563498.6499999997</v>
          </cell>
          <cell r="BH38">
            <v>536298</v>
          </cell>
          <cell r="BI38">
            <v>1024425.5000000001</v>
          </cell>
          <cell r="BK38" t="str">
            <v>CEXSAX</v>
          </cell>
          <cell r="BL38">
            <v>2142935.8343750001</v>
          </cell>
          <cell r="BM38">
            <v>335776</v>
          </cell>
          <cell r="BN38">
            <v>682950.33333333326</v>
          </cell>
          <cell r="BP38" t="str">
            <v>CEXSAX</v>
          </cell>
          <cell r="BQ38">
            <v>1836802.1437499998</v>
          </cell>
          <cell r="BR38">
            <v>287808</v>
          </cell>
          <cell r="BS38">
            <v>585386</v>
          </cell>
          <cell r="BU38" t="str">
            <v>CEXSAX</v>
          </cell>
          <cell r="BV38">
            <v>1836802.1437499998</v>
          </cell>
          <cell r="BW38">
            <v>287808</v>
          </cell>
          <cell r="BX38">
            <v>585386</v>
          </cell>
          <cell r="BZ38" t="str">
            <v>CEXSAX</v>
          </cell>
          <cell r="CA38">
            <v>2142935.8343750001</v>
          </cell>
          <cell r="CB38">
            <v>335776</v>
          </cell>
          <cell r="CC38">
            <v>682950.33333333326</v>
          </cell>
          <cell r="CE38" t="str">
            <v>EU4</v>
          </cell>
          <cell r="CF38">
            <v>1697798.4240000003</v>
          </cell>
          <cell r="CG38">
            <v>594464.5</v>
          </cell>
          <cell r="CH38">
            <v>1015297.4999999999</v>
          </cell>
          <cell r="CJ38" t="str">
            <v>EU4</v>
          </cell>
          <cell r="CK38">
            <v>1455255.7920000004</v>
          </cell>
          <cell r="CL38">
            <v>509541</v>
          </cell>
          <cell r="CM38">
            <v>870254.99999999988</v>
          </cell>
          <cell r="CO38" t="str">
            <v>EU4</v>
          </cell>
          <cell r="CP38">
            <v>1455255.7920000004</v>
          </cell>
          <cell r="CQ38">
            <v>509541</v>
          </cell>
          <cell r="CR38">
            <v>870254.99999999988</v>
          </cell>
          <cell r="CT38" t="str">
            <v>EU4</v>
          </cell>
          <cell r="CU38">
            <v>1697798.4240000003</v>
          </cell>
          <cell r="CV38">
            <v>594464.5</v>
          </cell>
          <cell r="CW38">
            <v>1015297.4999999999</v>
          </cell>
        </row>
        <row r="39">
          <cell r="Q39">
            <v>5767517.6460016342</v>
          </cell>
          <cell r="R39" t="str">
            <v>CEX</v>
          </cell>
          <cell r="S39">
            <v>6032785.2000000011</v>
          </cell>
          <cell r="T39">
            <v>1863680</v>
          </cell>
          <cell r="U39">
            <v>3466398.0000000005</v>
          </cell>
          <cell r="W39" t="str">
            <v>CEX</v>
          </cell>
          <cell r="X39">
            <v>1624211.4000000004</v>
          </cell>
          <cell r="Y39">
            <v>501760</v>
          </cell>
          <cell r="Z39">
            <v>933261.00000000012</v>
          </cell>
          <cell r="AB39" t="str">
            <v>APXTAS</v>
          </cell>
          <cell r="AC39">
            <v>1134326.368</v>
          </cell>
          <cell r="AD39">
            <v>386412.26315789472</v>
          </cell>
          <cell r="AE39">
            <v>283302</v>
          </cell>
          <cell r="AG39" t="str">
            <v>APXTAS</v>
          </cell>
          <cell r="AH39">
            <v>1134326.368</v>
          </cell>
          <cell r="AI39">
            <v>386412.26315789472</v>
          </cell>
          <cell r="AJ39">
            <v>283302</v>
          </cell>
          <cell r="AL39" t="str">
            <v>APXTAS</v>
          </cell>
          <cell r="AM39">
            <v>1323380.7626666666</v>
          </cell>
          <cell r="AN39">
            <v>450814.30701754382</v>
          </cell>
          <cell r="AO39">
            <v>330519</v>
          </cell>
          <cell r="AQ39" t="str">
            <v>APXTAS</v>
          </cell>
          <cell r="AR39">
            <v>1323380.7626666666</v>
          </cell>
          <cell r="AS39">
            <v>450814.30701754382</v>
          </cell>
          <cell r="AT39">
            <v>330519</v>
          </cell>
          <cell r="AV39" t="str">
            <v>APXTAS</v>
          </cell>
          <cell r="AW39">
            <v>1134326.368</v>
          </cell>
          <cell r="AX39">
            <v>386412.26315789472</v>
          </cell>
          <cell r="AY39">
            <v>283302</v>
          </cell>
          <cell r="BA39" t="str">
            <v>APXTAS</v>
          </cell>
          <cell r="BB39">
            <v>1134326.368</v>
          </cell>
          <cell r="BC39">
            <v>386412.26315789472</v>
          </cell>
          <cell r="BD39">
            <v>283302</v>
          </cell>
          <cell r="BF39" t="str">
            <v>APXTAS</v>
          </cell>
          <cell r="BG39">
            <v>1323380.7626666666</v>
          </cell>
          <cell r="BH39">
            <v>450814.30701754382</v>
          </cell>
          <cell r="BI39">
            <v>330519</v>
          </cell>
          <cell r="BK39" t="str">
            <v>APXTAS</v>
          </cell>
          <cell r="BL39">
            <v>1323380.7626666666</v>
          </cell>
          <cell r="BM39">
            <v>450814.30701754382</v>
          </cell>
          <cell r="BN39">
            <v>330519</v>
          </cell>
          <cell r="BP39" t="str">
            <v>APXTAS</v>
          </cell>
          <cell r="BQ39">
            <v>1134326.368</v>
          </cell>
          <cell r="BR39">
            <v>386412.26315789472</v>
          </cell>
          <cell r="BS39">
            <v>283302</v>
          </cell>
          <cell r="BU39" t="str">
            <v>APXTAS</v>
          </cell>
          <cell r="BV39">
            <v>1134326.368</v>
          </cell>
          <cell r="BW39">
            <v>386412.26315789472</v>
          </cell>
          <cell r="BX39">
            <v>283302</v>
          </cell>
          <cell r="BZ39" t="str">
            <v>APXTAS</v>
          </cell>
          <cell r="CA39">
            <v>1323380.7626666666</v>
          </cell>
          <cell r="CB39">
            <v>450814.30701754382</v>
          </cell>
          <cell r="CC39">
            <v>330519</v>
          </cell>
          <cell r="CE39" t="str">
            <v>APXTAS</v>
          </cell>
          <cell r="CF39">
            <v>1323380.7626666666</v>
          </cell>
          <cell r="CG39">
            <v>450814.30701754382</v>
          </cell>
          <cell r="CH39">
            <v>330519</v>
          </cell>
          <cell r="CJ39" t="str">
            <v>APXTAS</v>
          </cell>
          <cell r="CK39">
            <v>1134326.368</v>
          </cell>
          <cell r="CL39">
            <v>386412.26315789472</v>
          </cell>
          <cell r="CM39">
            <v>283302</v>
          </cell>
          <cell r="CO39" t="str">
            <v>APXTAS</v>
          </cell>
          <cell r="CP39">
            <v>1134326.368</v>
          </cell>
          <cell r="CQ39">
            <v>386412.26315789472</v>
          </cell>
          <cell r="CR39">
            <v>283302</v>
          </cell>
          <cell r="CT39" t="str">
            <v>APXTAS</v>
          </cell>
          <cell r="CU39">
            <v>1323380.7626666666</v>
          </cell>
          <cell r="CV39">
            <v>450814.30701754382</v>
          </cell>
          <cell r="CW39">
            <v>330519</v>
          </cell>
        </row>
        <row r="40">
          <cell r="Q40">
            <v>5698755.8700400945</v>
          </cell>
          <cell r="R40" t="str">
            <v>CEX</v>
          </cell>
          <cell r="S40">
            <v>6032785.2000000011</v>
          </cell>
          <cell r="T40">
            <v>1863680</v>
          </cell>
          <cell r="U40">
            <v>3466398.0000000005</v>
          </cell>
          <cell r="W40" t="str">
            <v>APXTAS</v>
          </cell>
          <cell r="X40">
            <v>1323380.7626666666</v>
          </cell>
          <cell r="Y40">
            <v>450814.30701754382</v>
          </cell>
          <cell r="Z40">
            <v>330519</v>
          </cell>
          <cell r="AB40" t="str">
            <v>APXTAS</v>
          </cell>
          <cell r="AC40">
            <v>1134326.368</v>
          </cell>
          <cell r="AD40">
            <v>386412.26315789472</v>
          </cell>
          <cell r="AE40">
            <v>283302</v>
          </cell>
          <cell r="AG40" t="str">
            <v>APXTAS</v>
          </cell>
          <cell r="AH40">
            <v>1134326.368</v>
          </cell>
          <cell r="AI40">
            <v>386412.26315789472</v>
          </cell>
          <cell r="AJ40">
            <v>283302</v>
          </cell>
          <cell r="AL40" t="str">
            <v>APXTAS</v>
          </cell>
          <cell r="AM40">
            <v>1323380.7626666666</v>
          </cell>
          <cell r="AN40">
            <v>450814.30701754382</v>
          </cell>
          <cell r="AO40">
            <v>330519</v>
          </cell>
          <cell r="AQ40" t="str">
            <v>APXTAS</v>
          </cell>
          <cell r="AR40">
            <v>1323380.7626666666</v>
          </cell>
          <cell r="AS40">
            <v>450814.30701754382</v>
          </cell>
          <cell r="AT40">
            <v>330519</v>
          </cell>
          <cell r="AV40" t="str">
            <v>APXTAS</v>
          </cell>
          <cell r="AW40">
            <v>1134326.368</v>
          </cell>
          <cell r="AX40">
            <v>386412.26315789472</v>
          </cell>
          <cell r="AY40">
            <v>283302</v>
          </cell>
          <cell r="BA40" t="str">
            <v>APXTAS</v>
          </cell>
          <cell r="BB40">
            <v>1134326.368</v>
          </cell>
          <cell r="BC40">
            <v>386412.26315789472</v>
          </cell>
          <cell r="BD40">
            <v>283302</v>
          </cell>
          <cell r="BF40" t="str">
            <v>APXTAS</v>
          </cell>
          <cell r="BG40">
            <v>1323380.7626666666</v>
          </cell>
          <cell r="BH40">
            <v>450814.30701754382</v>
          </cell>
          <cell r="BI40">
            <v>330519</v>
          </cell>
          <cell r="BK40" t="str">
            <v>APXTAS</v>
          </cell>
          <cell r="BL40">
            <v>1323380.7626666666</v>
          </cell>
          <cell r="BM40">
            <v>450814.30701754382</v>
          </cell>
          <cell r="BN40">
            <v>330519</v>
          </cell>
          <cell r="BP40" t="str">
            <v>APXTAS</v>
          </cell>
          <cell r="BQ40">
            <v>1134326.368</v>
          </cell>
          <cell r="BR40">
            <v>386412.26315789472</v>
          </cell>
          <cell r="BS40">
            <v>283302</v>
          </cell>
          <cell r="BU40" t="str">
            <v>APXTAS</v>
          </cell>
          <cell r="BV40">
            <v>1134326.368</v>
          </cell>
          <cell r="BW40">
            <v>386412.26315789472</v>
          </cell>
          <cell r="BX40">
            <v>283302</v>
          </cell>
          <cell r="BZ40" t="str">
            <v>APXTAS</v>
          </cell>
          <cell r="CA40">
            <v>1323380.7626666666</v>
          </cell>
          <cell r="CB40">
            <v>450814.30701754382</v>
          </cell>
          <cell r="CC40">
            <v>330519</v>
          </cell>
          <cell r="CE40" t="str">
            <v>APXTAS</v>
          </cell>
          <cell r="CF40">
            <v>1323380.7626666666</v>
          </cell>
          <cell r="CG40">
            <v>450814.30701754382</v>
          </cell>
          <cell r="CH40">
            <v>330519</v>
          </cell>
          <cell r="CJ40" t="str">
            <v>APXTAS</v>
          </cell>
          <cell r="CK40">
            <v>1134326.368</v>
          </cell>
          <cell r="CL40">
            <v>386412.26315789472</v>
          </cell>
          <cell r="CM40">
            <v>283302</v>
          </cell>
          <cell r="CO40" t="str">
            <v>APXTAS</v>
          </cell>
          <cell r="CP40">
            <v>1134326.368</v>
          </cell>
          <cell r="CQ40">
            <v>386412.26315789472</v>
          </cell>
          <cell r="CR40">
            <v>283302</v>
          </cell>
          <cell r="CT40" t="str">
            <v>APXTAS</v>
          </cell>
          <cell r="CU40">
            <v>1323380.7626666666</v>
          </cell>
          <cell r="CV40">
            <v>450814.30701754382</v>
          </cell>
          <cell r="CW40">
            <v>330519</v>
          </cell>
        </row>
        <row r="41">
          <cell r="Q41">
            <v>9483215.9246300757</v>
          </cell>
          <cell r="R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B41" t="str">
            <v>SAX</v>
          </cell>
          <cell r="AC41">
            <v>1426449</v>
          </cell>
          <cell r="AD41">
            <v>227498</v>
          </cell>
          <cell r="AE41">
            <v>0</v>
          </cell>
          <cell r="AG41" t="str">
            <v>CEXSAX</v>
          </cell>
          <cell r="AH41">
            <v>1719193.0499999998</v>
          </cell>
          <cell r="AI41">
            <v>275727</v>
          </cell>
          <cell r="AJ41">
            <v>533292</v>
          </cell>
          <cell r="AL41" t="str">
            <v>CEXSAX</v>
          </cell>
          <cell r="AM41">
            <v>2005725.2249999999</v>
          </cell>
          <cell r="AN41">
            <v>321681.5</v>
          </cell>
          <cell r="AO41">
            <v>622174</v>
          </cell>
          <cell r="AQ41" t="str">
            <v>SAX</v>
          </cell>
          <cell r="AR41">
            <v>1664190.5</v>
          </cell>
          <cell r="AS41">
            <v>265414.33333333331</v>
          </cell>
          <cell r="AT41">
            <v>0</v>
          </cell>
          <cell r="AV41" t="str">
            <v>SAX</v>
          </cell>
          <cell r="AW41">
            <v>1426449</v>
          </cell>
          <cell r="AX41">
            <v>227498</v>
          </cell>
          <cell r="AY41">
            <v>0</v>
          </cell>
          <cell r="BA41" t="str">
            <v>SAX</v>
          </cell>
          <cell r="BB41">
            <v>1426449</v>
          </cell>
          <cell r="BC41">
            <v>227498</v>
          </cell>
          <cell r="BD41">
            <v>0</v>
          </cell>
          <cell r="BF41" t="str">
            <v>SAX</v>
          </cell>
          <cell r="BG41">
            <v>1664190.5</v>
          </cell>
          <cell r="BH41">
            <v>265414.33333333331</v>
          </cell>
          <cell r="BI41">
            <v>0</v>
          </cell>
          <cell r="BK41" t="str">
            <v>CEXSAX</v>
          </cell>
          <cell r="BL41">
            <v>2005725.2249999999</v>
          </cell>
          <cell r="BM41">
            <v>321681.5</v>
          </cell>
          <cell r="BN41">
            <v>622174</v>
          </cell>
          <cell r="BP41" t="str">
            <v>CEXSAX</v>
          </cell>
          <cell r="BQ41">
            <v>1719193.0499999998</v>
          </cell>
          <cell r="BR41">
            <v>275727</v>
          </cell>
          <cell r="BS41">
            <v>533292</v>
          </cell>
          <cell r="BU41" t="str">
            <v>CEXSAX</v>
          </cell>
          <cell r="BV41">
            <v>1719193.0499999998</v>
          </cell>
          <cell r="BW41">
            <v>275727</v>
          </cell>
          <cell r="BX41">
            <v>533292</v>
          </cell>
          <cell r="BZ41" t="str">
            <v>CEXSAX</v>
          </cell>
          <cell r="CA41">
            <v>2005725.2249999999</v>
          </cell>
          <cell r="CB41">
            <v>321681.5</v>
          </cell>
          <cell r="CC41">
            <v>622174</v>
          </cell>
          <cell r="CE41" t="str">
            <v>JEXP</v>
          </cell>
          <cell r="CF41">
            <v>1998310.1249999998</v>
          </cell>
          <cell r="CG41">
            <v>534290.16666666663</v>
          </cell>
          <cell r="CH41">
            <v>728870.33333333349</v>
          </cell>
          <cell r="CJ41" t="str">
            <v>JEXP</v>
          </cell>
          <cell r="CK41">
            <v>1712837.2499999998</v>
          </cell>
          <cell r="CL41">
            <v>457963</v>
          </cell>
          <cell r="CM41">
            <v>624746.00000000012</v>
          </cell>
          <cell r="CO41" t="str">
            <v>JEXP</v>
          </cell>
          <cell r="CP41">
            <v>1712837.2499999998</v>
          </cell>
          <cell r="CQ41">
            <v>457963</v>
          </cell>
          <cell r="CR41">
            <v>624746.00000000012</v>
          </cell>
          <cell r="CT41" t="str">
            <v>JEXP</v>
          </cell>
          <cell r="CU41">
            <v>1998310.1249999998</v>
          </cell>
          <cell r="CV41">
            <v>534290.16666666663</v>
          </cell>
          <cell r="CW41">
            <v>728870.33333333349</v>
          </cell>
        </row>
        <row r="42">
          <cell r="Q42">
            <v>9483215.9246300757</v>
          </cell>
          <cell r="R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B42" t="str">
            <v>SAX</v>
          </cell>
          <cell r="AC42">
            <v>1426449</v>
          </cell>
          <cell r="AD42">
            <v>227498</v>
          </cell>
          <cell r="AE42">
            <v>0</v>
          </cell>
          <cell r="AG42" t="str">
            <v>CEXSAX</v>
          </cell>
          <cell r="AH42">
            <v>1719193.0499999998</v>
          </cell>
          <cell r="AI42">
            <v>275727</v>
          </cell>
          <cell r="AJ42">
            <v>533292</v>
          </cell>
          <cell r="AL42" t="str">
            <v>CEXSAX</v>
          </cell>
          <cell r="AM42">
            <v>2005725.2249999999</v>
          </cell>
          <cell r="AN42">
            <v>321681.5</v>
          </cell>
          <cell r="AO42">
            <v>622174</v>
          </cell>
          <cell r="AQ42" t="str">
            <v>SAX</v>
          </cell>
          <cell r="AR42">
            <v>1664190.5</v>
          </cell>
          <cell r="AS42">
            <v>265414.33333333331</v>
          </cell>
          <cell r="AT42">
            <v>0</v>
          </cell>
          <cell r="AV42" t="str">
            <v>SAX</v>
          </cell>
          <cell r="AW42">
            <v>1426449</v>
          </cell>
          <cell r="AX42">
            <v>227498</v>
          </cell>
          <cell r="AY42">
            <v>0</v>
          </cell>
          <cell r="BA42" t="str">
            <v>SAX</v>
          </cell>
          <cell r="BB42">
            <v>1426449</v>
          </cell>
          <cell r="BC42">
            <v>227498</v>
          </cell>
          <cell r="BD42">
            <v>0</v>
          </cell>
          <cell r="BF42" t="str">
            <v>SAX</v>
          </cell>
          <cell r="BG42">
            <v>1664190.5</v>
          </cell>
          <cell r="BH42">
            <v>265414.33333333331</v>
          </cell>
          <cell r="BI42">
            <v>0</v>
          </cell>
          <cell r="BK42" t="str">
            <v>CEXSAX</v>
          </cell>
          <cell r="BL42">
            <v>2005725.2249999999</v>
          </cell>
          <cell r="BM42">
            <v>321681.5</v>
          </cell>
          <cell r="BN42">
            <v>622174</v>
          </cell>
          <cell r="BP42" t="str">
            <v>CEXSAX</v>
          </cell>
          <cell r="BQ42">
            <v>1719193.0499999998</v>
          </cell>
          <cell r="BR42">
            <v>275727</v>
          </cell>
          <cell r="BS42">
            <v>533292</v>
          </cell>
          <cell r="BU42" t="str">
            <v>CEXSAX</v>
          </cell>
          <cell r="BV42">
            <v>1719193.0499999998</v>
          </cell>
          <cell r="BW42">
            <v>275727</v>
          </cell>
          <cell r="BX42">
            <v>533292</v>
          </cell>
          <cell r="BZ42" t="str">
            <v>CEXSAX</v>
          </cell>
          <cell r="CA42">
            <v>2005725.2249999999</v>
          </cell>
          <cell r="CB42">
            <v>321681.5</v>
          </cell>
          <cell r="CC42">
            <v>622174</v>
          </cell>
          <cell r="CE42" t="str">
            <v>JEXP</v>
          </cell>
          <cell r="CF42">
            <v>1998310.1249999998</v>
          </cell>
          <cell r="CG42">
            <v>534290.16666666663</v>
          </cell>
          <cell r="CH42">
            <v>728870.33333333349</v>
          </cell>
          <cell r="CJ42" t="str">
            <v>JEXP</v>
          </cell>
          <cell r="CK42">
            <v>1712837.2499999998</v>
          </cell>
          <cell r="CL42">
            <v>457963</v>
          </cell>
          <cell r="CM42">
            <v>624746.00000000012</v>
          </cell>
          <cell r="CO42" t="str">
            <v>JEXP</v>
          </cell>
          <cell r="CP42">
            <v>1712837.2499999998</v>
          </cell>
          <cell r="CQ42">
            <v>457963</v>
          </cell>
          <cell r="CR42">
            <v>624746.00000000012</v>
          </cell>
          <cell r="CT42" t="str">
            <v>JEXP</v>
          </cell>
          <cell r="CU42">
            <v>1998310.1249999998</v>
          </cell>
          <cell r="CV42">
            <v>534290.16666666663</v>
          </cell>
          <cell r="CW42">
            <v>728870.33333333349</v>
          </cell>
        </row>
        <row r="43">
          <cell r="Q43">
            <v>9483215.9246300757</v>
          </cell>
          <cell r="R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G43" t="str">
            <v>CEXSAX</v>
          </cell>
          <cell r="AH43">
            <v>1719193.0499999998</v>
          </cell>
          <cell r="AI43">
            <v>275727</v>
          </cell>
          <cell r="AJ43">
            <v>533292</v>
          </cell>
          <cell r="AL43" t="str">
            <v>CEXSAX</v>
          </cell>
          <cell r="AM43">
            <v>2005725.2249999999</v>
          </cell>
          <cell r="AN43">
            <v>321681.5</v>
          </cell>
          <cell r="AO43">
            <v>622174</v>
          </cell>
          <cell r="AQ43" t="str">
            <v>SAX</v>
          </cell>
          <cell r="AR43">
            <v>1664190.5</v>
          </cell>
          <cell r="AS43">
            <v>265414.33333333331</v>
          </cell>
          <cell r="AT43">
            <v>0</v>
          </cell>
          <cell r="AV43" t="str">
            <v>SAX</v>
          </cell>
          <cell r="AW43">
            <v>1426449</v>
          </cell>
          <cell r="AX43">
            <v>227498</v>
          </cell>
          <cell r="AY43">
            <v>0</v>
          </cell>
          <cell r="BA43" t="str">
            <v>SAX</v>
          </cell>
          <cell r="BB43">
            <v>1426449</v>
          </cell>
          <cell r="BC43">
            <v>227498</v>
          </cell>
          <cell r="BD43">
            <v>0</v>
          </cell>
          <cell r="BF43" t="str">
            <v>SAX</v>
          </cell>
          <cell r="BG43">
            <v>1664190.5</v>
          </cell>
          <cell r="BH43">
            <v>265414.33333333331</v>
          </cell>
          <cell r="BI43">
            <v>0</v>
          </cell>
          <cell r="BK43" t="str">
            <v>CEXSAX</v>
          </cell>
          <cell r="BL43">
            <v>2005725.2249999999</v>
          </cell>
          <cell r="BM43">
            <v>321681.5</v>
          </cell>
          <cell r="BN43">
            <v>622174</v>
          </cell>
          <cell r="BP43" t="str">
            <v>CEXSAX</v>
          </cell>
          <cell r="BQ43">
            <v>1719193.0499999998</v>
          </cell>
          <cell r="BR43">
            <v>275727</v>
          </cell>
          <cell r="BS43">
            <v>533292</v>
          </cell>
          <cell r="BU43" t="str">
            <v>CEXSAX</v>
          </cell>
          <cell r="BV43">
            <v>1719193.0499999998</v>
          </cell>
          <cell r="BW43">
            <v>275727</v>
          </cell>
          <cell r="BX43">
            <v>533292</v>
          </cell>
          <cell r="BZ43" t="str">
            <v>CEXSAX</v>
          </cell>
          <cell r="CA43">
            <v>2005725.2249999999</v>
          </cell>
          <cell r="CB43">
            <v>321681.5</v>
          </cell>
          <cell r="CC43">
            <v>622174</v>
          </cell>
          <cell r="CE43" t="str">
            <v>JEXP</v>
          </cell>
          <cell r="CF43">
            <v>1998310.1249999998</v>
          </cell>
          <cell r="CG43">
            <v>534290.16666666663</v>
          </cell>
          <cell r="CH43">
            <v>728870.33333333349</v>
          </cell>
          <cell r="CJ43" t="str">
            <v>JEXP</v>
          </cell>
          <cell r="CK43">
            <v>1712837.2499999998</v>
          </cell>
          <cell r="CL43">
            <v>457963</v>
          </cell>
          <cell r="CM43">
            <v>624746.00000000012</v>
          </cell>
          <cell r="CO43" t="str">
            <v>JEXP</v>
          </cell>
          <cell r="CP43">
            <v>1712837.2499999998</v>
          </cell>
          <cell r="CQ43">
            <v>457963</v>
          </cell>
          <cell r="CR43">
            <v>624746.00000000012</v>
          </cell>
          <cell r="CT43" t="str">
            <v>JEXP</v>
          </cell>
          <cell r="CU43">
            <v>1998310.1249999998</v>
          </cell>
          <cell r="CV43">
            <v>534290.16666666663</v>
          </cell>
          <cell r="CW43">
            <v>728870.33333333349</v>
          </cell>
        </row>
        <row r="44">
          <cell r="Q44">
            <v>9483215.9246300757</v>
          </cell>
          <cell r="R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Q44" t="str">
            <v>SAX</v>
          </cell>
          <cell r="AR44">
            <v>1664190.5</v>
          </cell>
          <cell r="AS44">
            <v>265414.33333333331</v>
          </cell>
          <cell r="AT44">
            <v>0</v>
          </cell>
          <cell r="AV44" t="str">
            <v>SAX</v>
          </cell>
          <cell r="AW44">
            <v>1426449</v>
          </cell>
          <cell r="AX44">
            <v>227498</v>
          </cell>
          <cell r="AY44">
            <v>0</v>
          </cell>
          <cell r="BA44" t="str">
            <v>SAX</v>
          </cell>
          <cell r="BB44">
            <v>1426449</v>
          </cell>
          <cell r="BC44">
            <v>227498</v>
          </cell>
          <cell r="BD44">
            <v>0</v>
          </cell>
          <cell r="BF44" t="str">
            <v>SAX</v>
          </cell>
          <cell r="BG44">
            <v>1664190.5</v>
          </cell>
          <cell r="BH44">
            <v>265414.33333333331</v>
          </cell>
          <cell r="BI44">
            <v>0</v>
          </cell>
          <cell r="BK44" t="str">
            <v>CEXSAX</v>
          </cell>
          <cell r="BL44">
            <v>2005725.2249999999</v>
          </cell>
          <cell r="BM44">
            <v>321681.5</v>
          </cell>
          <cell r="BN44">
            <v>622174</v>
          </cell>
          <cell r="BP44" t="str">
            <v>CEXSAX</v>
          </cell>
          <cell r="BQ44">
            <v>1719193.0499999998</v>
          </cell>
          <cell r="BR44">
            <v>275727</v>
          </cell>
          <cell r="BS44">
            <v>533292</v>
          </cell>
          <cell r="BU44" t="str">
            <v>CEXSAX</v>
          </cell>
          <cell r="BV44">
            <v>1719193.0499999998</v>
          </cell>
          <cell r="BW44">
            <v>275727</v>
          </cell>
          <cell r="BX44">
            <v>533292</v>
          </cell>
          <cell r="BZ44" t="str">
            <v>CEXSAX</v>
          </cell>
          <cell r="CA44">
            <v>2005725.2249999999</v>
          </cell>
          <cell r="CB44">
            <v>321681.5</v>
          </cell>
          <cell r="CC44">
            <v>622174</v>
          </cell>
          <cell r="CE44" t="str">
            <v>JEXP</v>
          </cell>
          <cell r="CF44">
            <v>1998310.1249999998</v>
          </cell>
          <cell r="CG44">
            <v>534290.16666666663</v>
          </cell>
          <cell r="CH44">
            <v>728870.33333333349</v>
          </cell>
          <cell r="CJ44" t="str">
            <v>JEXP</v>
          </cell>
          <cell r="CK44">
            <v>1712837.2499999998</v>
          </cell>
          <cell r="CL44">
            <v>457963</v>
          </cell>
          <cell r="CM44">
            <v>624746.00000000012</v>
          </cell>
          <cell r="CO44" t="str">
            <v>JEXP</v>
          </cell>
          <cell r="CP44">
            <v>1712837.2499999998</v>
          </cell>
          <cell r="CQ44">
            <v>457963</v>
          </cell>
          <cell r="CR44">
            <v>624746.00000000012</v>
          </cell>
          <cell r="CT44" t="str">
            <v>JEXP</v>
          </cell>
          <cell r="CU44">
            <v>1998310.1249999998</v>
          </cell>
          <cell r="CV44">
            <v>534290.16666666663</v>
          </cell>
          <cell r="CW44">
            <v>728870.33333333349</v>
          </cell>
        </row>
        <row r="45">
          <cell r="Q45">
            <v>9483215.9246300757</v>
          </cell>
          <cell r="R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Q45" t="str">
            <v>SAX</v>
          </cell>
          <cell r="AR45">
            <v>1664190.5</v>
          </cell>
          <cell r="AS45">
            <v>265414.33333333331</v>
          </cell>
          <cell r="AT45">
            <v>0</v>
          </cell>
          <cell r="AV45" t="str">
            <v>SAX</v>
          </cell>
          <cell r="AW45">
            <v>1426449</v>
          </cell>
          <cell r="AX45">
            <v>227498</v>
          </cell>
          <cell r="AY45">
            <v>0</v>
          </cell>
          <cell r="BA45" t="str">
            <v>SAX</v>
          </cell>
          <cell r="BB45">
            <v>1426449</v>
          </cell>
          <cell r="BC45">
            <v>227498</v>
          </cell>
          <cell r="BD45">
            <v>0</v>
          </cell>
          <cell r="BF45" t="str">
            <v>SAX</v>
          </cell>
          <cell r="BG45">
            <v>1664190.5</v>
          </cell>
          <cell r="BH45">
            <v>265414.33333333331</v>
          </cell>
          <cell r="BI45">
            <v>0</v>
          </cell>
          <cell r="BK45" t="str">
            <v>CEXSAX</v>
          </cell>
          <cell r="BL45">
            <v>2005725.2249999999</v>
          </cell>
          <cell r="BM45">
            <v>321681.5</v>
          </cell>
          <cell r="BN45">
            <v>622174</v>
          </cell>
          <cell r="BP45" t="str">
            <v>CEXSAX</v>
          </cell>
          <cell r="BQ45">
            <v>1719193.0499999998</v>
          </cell>
          <cell r="BR45">
            <v>275727</v>
          </cell>
          <cell r="BS45">
            <v>533292</v>
          </cell>
          <cell r="BU45" t="str">
            <v>CEXSAX</v>
          </cell>
          <cell r="BV45">
            <v>1719193.0499999998</v>
          </cell>
          <cell r="BW45">
            <v>275727</v>
          </cell>
          <cell r="BX45">
            <v>533292</v>
          </cell>
          <cell r="BZ45" t="str">
            <v>CEXSAX</v>
          </cell>
          <cell r="CA45">
            <v>2005725.2249999999</v>
          </cell>
          <cell r="CB45">
            <v>321681.5</v>
          </cell>
          <cell r="CC45">
            <v>622174</v>
          </cell>
          <cell r="CE45" t="str">
            <v>JEXP</v>
          </cell>
          <cell r="CF45">
            <v>1998310.1249999998</v>
          </cell>
          <cell r="CG45">
            <v>534290.16666666663</v>
          </cell>
          <cell r="CH45">
            <v>728870.33333333349</v>
          </cell>
          <cell r="CJ45" t="str">
            <v>JEXP</v>
          </cell>
          <cell r="CK45">
            <v>1712837.2499999998</v>
          </cell>
          <cell r="CL45">
            <v>457963</v>
          </cell>
          <cell r="CM45">
            <v>624746.00000000012</v>
          </cell>
          <cell r="CO45" t="str">
            <v>JEXP</v>
          </cell>
          <cell r="CP45">
            <v>1712837.2499999998</v>
          </cell>
          <cell r="CQ45">
            <v>457963</v>
          </cell>
          <cell r="CR45">
            <v>624746.00000000012</v>
          </cell>
          <cell r="CT45" t="str">
            <v>JEXP</v>
          </cell>
          <cell r="CU45">
            <v>1998310.1249999998</v>
          </cell>
          <cell r="CV45">
            <v>534290.16666666663</v>
          </cell>
          <cell r="CW45">
            <v>728870.33333333349</v>
          </cell>
        </row>
        <row r="46">
          <cell r="Q46">
            <v>9483215.9246300757</v>
          </cell>
          <cell r="R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G46" t="str">
            <v>-</v>
          </cell>
          <cell r="AH46" t="str">
            <v>-</v>
          </cell>
          <cell r="AI46" t="str">
            <v>-</v>
          </cell>
          <cell r="AJ46" t="str">
            <v>-</v>
          </cell>
          <cell r="AL46" t="str">
            <v>-</v>
          </cell>
          <cell r="AM46" t="str">
            <v>-</v>
          </cell>
          <cell r="AN46" t="str">
            <v>-</v>
          </cell>
          <cell r="AO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V46" t="str">
            <v>SAX</v>
          </cell>
          <cell r="AW46">
            <v>1426449</v>
          </cell>
          <cell r="AX46">
            <v>227498</v>
          </cell>
          <cell r="AY46">
            <v>0</v>
          </cell>
          <cell r="BA46" t="str">
            <v>SAX</v>
          </cell>
          <cell r="BB46">
            <v>1426449</v>
          </cell>
          <cell r="BC46">
            <v>227498</v>
          </cell>
          <cell r="BD46">
            <v>0</v>
          </cell>
          <cell r="BF46" t="str">
            <v>SAX</v>
          </cell>
          <cell r="BG46">
            <v>1664190.5</v>
          </cell>
          <cell r="BH46">
            <v>265414.33333333331</v>
          </cell>
          <cell r="BI46">
            <v>0</v>
          </cell>
          <cell r="BK46" t="str">
            <v>CEXSAX</v>
          </cell>
          <cell r="BL46">
            <v>2005725.2249999999</v>
          </cell>
          <cell r="BM46">
            <v>321681.5</v>
          </cell>
          <cell r="BN46">
            <v>622174</v>
          </cell>
          <cell r="BP46" t="str">
            <v>CEXSAX</v>
          </cell>
          <cell r="BQ46">
            <v>1719193.0499999998</v>
          </cell>
          <cell r="BR46">
            <v>275727</v>
          </cell>
          <cell r="BS46">
            <v>533292</v>
          </cell>
          <cell r="BU46" t="str">
            <v>CEXSAX</v>
          </cell>
          <cell r="BV46">
            <v>1719193.0499999998</v>
          </cell>
          <cell r="BW46">
            <v>275727</v>
          </cell>
          <cell r="BX46">
            <v>533292</v>
          </cell>
          <cell r="BZ46" t="str">
            <v>CEXSAX</v>
          </cell>
          <cell r="CA46">
            <v>2005725.2249999999</v>
          </cell>
          <cell r="CB46">
            <v>321681.5</v>
          </cell>
          <cell r="CC46">
            <v>622174</v>
          </cell>
          <cell r="CE46" t="str">
            <v>JEXP</v>
          </cell>
          <cell r="CF46">
            <v>1998310.1249999998</v>
          </cell>
          <cell r="CG46">
            <v>534290.16666666663</v>
          </cell>
          <cell r="CH46">
            <v>728870.33333333349</v>
          </cell>
          <cell r="CJ46" t="str">
            <v>JEXP</v>
          </cell>
          <cell r="CK46">
            <v>1712837.2499999998</v>
          </cell>
          <cell r="CL46">
            <v>457963</v>
          </cell>
          <cell r="CM46">
            <v>624746.00000000012</v>
          </cell>
          <cell r="CO46" t="str">
            <v>JEXP</v>
          </cell>
          <cell r="CP46">
            <v>1712837.2499999998</v>
          </cell>
          <cell r="CQ46">
            <v>457963</v>
          </cell>
          <cell r="CR46">
            <v>624746.00000000012</v>
          </cell>
          <cell r="CT46" t="str">
            <v>JEXP</v>
          </cell>
          <cell r="CU46">
            <v>1998310.1249999998</v>
          </cell>
          <cell r="CV46">
            <v>534290.16666666663</v>
          </cell>
          <cell r="CW46">
            <v>728870.33333333349</v>
          </cell>
        </row>
        <row r="47">
          <cell r="Q47">
            <v>9483215.9246300757</v>
          </cell>
          <cell r="R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G47" t="str">
            <v>-</v>
          </cell>
          <cell r="AH47" t="str">
            <v>-</v>
          </cell>
          <cell r="AI47" t="str">
            <v>-</v>
          </cell>
          <cell r="AJ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 t="str">
            <v>-</v>
          </cell>
          <cell r="BA47" t="str">
            <v>CEX</v>
          </cell>
          <cell r="BB47">
            <v>1392181.2000000002</v>
          </cell>
          <cell r="BC47">
            <v>430080</v>
          </cell>
          <cell r="BD47">
            <v>799938.00000000012</v>
          </cell>
          <cell r="BF47" t="str">
            <v>CEX</v>
          </cell>
          <cell r="BG47">
            <v>1624211.4000000004</v>
          </cell>
          <cell r="BH47">
            <v>501760</v>
          </cell>
          <cell r="BI47">
            <v>933261.00000000012</v>
          </cell>
          <cell r="BK47" t="str">
            <v>CEXSAX</v>
          </cell>
          <cell r="BL47">
            <v>2005725.2249999999</v>
          </cell>
          <cell r="BM47">
            <v>321681.5</v>
          </cell>
          <cell r="BN47">
            <v>622174</v>
          </cell>
          <cell r="BP47" t="str">
            <v>CEXSAX</v>
          </cell>
          <cell r="BQ47">
            <v>1719193.0499999998</v>
          </cell>
          <cell r="BR47">
            <v>275727</v>
          </cell>
          <cell r="BS47">
            <v>533292</v>
          </cell>
          <cell r="BU47" t="str">
            <v>CEXSAX</v>
          </cell>
          <cell r="BV47">
            <v>1719193.0499999998</v>
          </cell>
          <cell r="BW47">
            <v>275727</v>
          </cell>
          <cell r="BX47">
            <v>533292</v>
          </cell>
          <cell r="BZ47" t="str">
            <v>CEXSAX</v>
          </cell>
          <cell r="CA47">
            <v>2005725.2249999999</v>
          </cell>
          <cell r="CB47">
            <v>321681.5</v>
          </cell>
          <cell r="CC47">
            <v>622174</v>
          </cell>
          <cell r="CE47" t="str">
            <v>JEXP</v>
          </cell>
          <cell r="CF47">
            <v>1998310.1249999998</v>
          </cell>
          <cell r="CG47">
            <v>534290.16666666663</v>
          </cell>
          <cell r="CH47">
            <v>728870.33333333349</v>
          </cell>
          <cell r="CJ47" t="str">
            <v>JEXP</v>
          </cell>
          <cell r="CK47">
            <v>1712837.2499999998</v>
          </cell>
          <cell r="CL47">
            <v>457963</v>
          </cell>
          <cell r="CM47">
            <v>624746.00000000012</v>
          </cell>
          <cell r="CO47" t="str">
            <v>JEXP</v>
          </cell>
          <cell r="CP47">
            <v>1712837.2499999998</v>
          </cell>
          <cell r="CQ47">
            <v>457963</v>
          </cell>
          <cell r="CR47">
            <v>624746.00000000012</v>
          </cell>
          <cell r="CT47" t="str">
            <v>JEXP</v>
          </cell>
          <cell r="CU47">
            <v>1998310.1249999998</v>
          </cell>
          <cell r="CV47">
            <v>534290.16666666663</v>
          </cell>
          <cell r="CW47">
            <v>728870.33333333349</v>
          </cell>
        </row>
        <row r="48">
          <cell r="Q48">
            <v>9483215.9246300757</v>
          </cell>
          <cell r="R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G48" t="str">
            <v>-</v>
          </cell>
          <cell r="AH48" t="str">
            <v>-</v>
          </cell>
          <cell r="AI48" t="str">
            <v>-</v>
          </cell>
          <cell r="AJ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-</v>
          </cell>
          <cell r="BA48" t="str">
            <v>CEX</v>
          </cell>
          <cell r="BB48">
            <v>414339.64285714296</v>
          </cell>
          <cell r="BC48">
            <v>128000</v>
          </cell>
          <cell r="BD48">
            <v>238076.78571428577</v>
          </cell>
          <cell r="BF48" t="str">
            <v>CEX</v>
          </cell>
          <cell r="BG48">
            <v>1624211.4000000004</v>
          </cell>
          <cell r="BH48">
            <v>501760</v>
          </cell>
          <cell r="BI48">
            <v>933261.00000000012</v>
          </cell>
          <cell r="BK48" t="str">
            <v>CEXSAX</v>
          </cell>
          <cell r="BL48">
            <v>2005725.2249999999</v>
          </cell>
          <cell r="BM48">
            <v>321681.5</v>
          </cell>
          <cell r="BN48">
            <v>622174</v>
          </cell>
          <cell r="BP48" t="str">
            <v>CEXSAX</v>
          </cell>
          <cell r="BQ48">
            <v>1719193.0499999998</v>
          </cell>
          <cell r="BR48">
            <v>275727</v>
          </cell>
          <cell r="BS48">
            <v>533292</v>
          </cell>
          <cell r="BU48" t="str">
            <v>CEXSAX</v>
          </cell>
          <cell r="BV48">
            <v>1719193.0499999998</v>
          </cell>
          <cell r="BW48">
            <v>275727</v>
          </cell>
          <cell r="BX48">
            <v>533292</v>
          </cell>
          <cell r="BZ48" t="str">
            <v>CEXSAX</v>
          </cell>
          <cell r="CA48">
            <v>2005725.2249999999</v>
          </cell>
          <cell r="CB48">
            <v>321681.5</v>
          </cell>
          <cell r="CC48">
            <v>622174</v>
          </cell>
          <cell r="CE48" t="str">
            <v>JEXP</v>
          </cell>
          <cell r="CF48">
            <v>1998310.1249999998</v>
          </cell>
          <cell r="CG48">
            <v>534290.16666666663</v>
          </cell>
          <cell r="CH48">
            <v>728870.33333333349</v>
          </cell>
          <cell r="CJ48" t="str">
            <v>JEXP</v>
          </cell>
          <cell r="CK48">
            <v>1712837.2499999998</v>
          </cell>
          <cell r="CL48">
            <v>457963</v>
          </cell>
          <cell r="CM48">
            <v>624746.00000000012</v>
          </cell>
          <cell r="CO48" t="str">
            <v>JEXP</v>
          </cell>
          <cell r="CP48">
            <v>1712837.2499999998</v>
          </cell>
          <cell r="CQ48">
            <v>457963</v>
          </cell>
          <cell r="CR48">
            <v>624746.00000000012</v>
          </cell>
          <cell r="CT48" t="str">
            <v>JEXP</v>
          </cell>
          <cell r="CU48">
            <v>1998310.1249999998</v>
          </cell>
          <cell r="CV48">
            <v>534290.16666666663</v>
          </cell>
          <cell r="CW48">
            <v>728870.33333333349</v>
          </cell>
        </row>
        <row r="49">
          <cell r="R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G49" t="str">
            <v>-</v>
          </cell>
          <cell r="AH49" t="str">
            <v>-</v>
          </cell>
          <cell r="AI49" t="str">
            <v>-</v>
          </cell>
          <cell r="AJ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 t="str">
            <v>-</v>
          </cell>
          <cell r="BA49" t="str">
            <v>-</v>
          </cell>
          <cell r="BB49" t="str">
            <v>-</v>
          </cell>
          <cell r="BC49" t="str">
            <v>-</v>
          </cell>
          <cell r="BD49" t="str">
            <v>-</v>
          </cell>
          <cell r="BF49" t="str">
            <v>-</v>
          </cell>
          <cell r="BG49" t="str">
            <v>-</v>
          </cell>
          <cell r="BH49" t="str">
            <v>-</v>
          </cell>
          <cell r="BI49" t="str">
            <v>-</v>
          </cell>
          <cell r="BK49" t="str">
            <v>CEXSAX</v>
          </cell>
          <cell r="BL49">
            <v>2005725.2249999999</v>
          </cell>
          <cell r="BM49">
            <v>321681.5</v>
          </cell>
          <cell r="BN49">
            <v>622174</v>
          </cell>
          <cell r="BP49" t="str">
            <v>CEXSAX</v>
          </cell>
          <cell r="BQ49">
            <v>1719193.0499999998</v>
          </cell>
          <cell r="BR49">
            <v>275727</v>
          </cell>
          <cell r="BS49">
            <v>533292</v>
          </cell>
          <cell r="BU49" t="str">
            <v>CEXSAX</v>
          </cell>
          <cell r="BV49">
            <v>1719193.0499999998</v>
          </cell>
          <cell r="BW49">
            <v>275727</v>
          </cell>
          <cell r="BX49">
            <v>533292</v>
          </cell>
          <cell r="BZ49" t="str">
            <v>CEXSAX</v>
          </cell>
          <cell r="CA49">
            <v>2005725.2249999999</v>
          </cell>
          <cell r="CB49">
            <v>321681.5</v>
          </cell>
          <cell r="CC49">
            <v>622174</v>
          </cell>
          <cell r="CE49" t="str">
            <v>JEXP</v>
          </cell>
          <cell r="CF49">
            <v>1998310.1249999998</v>
          </cell>
          <cell r="CG49">
            <v>534290.16666666663</v>
          </cell>
          <cell r="CH49">
            <v>728870.33333333349</v>
          </cell>
          <cell r="CJ49" t="str">
            <v>JEXP</v>
          </cell>
          <cell r="CK49">
            <v>1712837.2499999998</v>
          </cell>
          <cell r="CL49">
            <v>457963</v>
          </cell>
          <cell r="CM49">
            <v>624746.00000000012</v>
          </cell>
          <cell r="CO49" t="str">
            <v>JEXP</v>
          </cell>
          <cell r="CP49">
            <v>1712837.2499999998</v>
          </cell>
          <cell r="CQ49">
            <v>457963</v>
          </cell>
          <cell r="CR49">
            <v>624746.00000000012</v>
          </cell>
          <cell r="CT49" t="str">
            <v>JEXP</v>
          </cell>
          <cell r="CU49">
            <v>1998310.1249999998</v>
          </cell>
          <cell r="CV49">
            <v>534290.16666666663</v>
          </cell>
          <cell r="CW49">
            <v>728870.33333333349</v>
          </cell>
        </row>
        <row r="50">
          <cell r="R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BA50" t="str">
            <v>-</v>
          </cell>
          <cell r="BB50" t="str">
            <v>-</v>
          </cell>
          <cell r="BC50" t="str">
            <v>-</v>
          </cell>
          <cell r="BD50" t="str">
            <v>-</v>
          </cell>
          <cell r="BF50" t="str">
            <v>-</v>
          </cell>
          <cell r="BG50" t="str">
            <v>-</v>
          </cell>
          <cell r="BH50" t="str">
            <v>-</v>
          </cell>
          <cell r="BI50" t="str">
            <v>-</v>
          </cell>
          <cell r="BK50" t="str">
            <v>CEXSAX</v>
          </cell>
          <cell r="BL50">
            <v>2005725.2249999999</v>
          </cell>
          <cell r="BM50">
            <v>321681.5</v>
          </cell>
          <cell r="BN50">
            <v>622174</v>
          </cell>
          <cell r="BP50" t="str">
            <v>CEXSAX</v>
          </cell>
          <cell r="BQ50">
            <v>1719193.0499999998</v>
          </cell>
          <cell r="BR50">
            <v>275727</v>
          </cell>
          <cell r="BS50">
            <v>533292</v>
          </cell>
          <cell r="BU50" t="str">
            <v>CEXSAX</v>
          </cell>
          <cell r="BV50">
            <v>1719193.0499999998</v>
          </cell>
          <cell r="BW50">
            <v>275727</v>
          </cell>
          <cell r="BX50">
            <v>533292</v>
          </cell>
          <cell r="BZ50" t="str">
            <v>CEXSAX</v>
          </cell>
          <cell r="CA50">
            <v>2005725.2249999999</v>
          </cell>
          <cell r="CB50">
            <v>321681.5</v>
          </cell>
          <cell r="CC50">
            <v>622174</v>
          </cell>
          <cell r="CE50" t="str">
            <v>JEXP</v>
          </cell>
          <cell r="CF50">
            <v>1998310.1249999998</v>
          </cell>
          <cell r="CG50">
            <v>534290.16666666663</v>
          </cell>
          <cell r="CH50">
            <v>728870.33333333349</v>
          </cell>
          <cell r="CJ50" t="str">
            <v>JEXP</v>
          </cell>
          <cell r="CK50">
            <v>1712837.2499999998</v>
          </cell>
          <cell r="CL50">
            <v>457963</v>
          </cell>
          <cell r="CM50">
            <v>624746.00000000012</v>
          </cell>
          <cell r="CO50" t="str">
            <v>JEXP</v>
          </cell>
          <cell r="CP50">
            <v>1712837.2499999998</v>
          </cell>
          <cell r="CQ50">
            <v>457963</v>
          </cell>
          <cell r="CR50">
            <v>624746.00000000012</v>
          </cell>
          <cell r="CT50" t="str">
            <v>JEXP</v>
          </cell>
          <cell r="CU50">
            <v>1998310.1249999998</v>
          </cell>
          <cell r="CV50">
            <v>534290.16666666663</v>
          </cell>
          <cell r="CW50">
            <v>728870.33333333349</v>
          </cell>
        </row>
        <row r="51">
          <cell r="R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BA51" t="str">
            <v>-</v>
          </cell>
          <cell r="BB51" t="str">
            <v>-</v>
          </cell>
          <cell r="BC51" t="str">
            <v>-</v>
          </cell>
          <cell r="BD51" t="str">
            <v>-</v>
          </cell>
          <cell r="BF51" t="str">
            <v>-</v>
          </cell>
          <cell r="BG51" t="str">
            <v>-</v>
          </cell>
          <cell r="BH51" t="str">
            <v>-</v>
          </cell>
          <cell r="BI51" t="str">
            <v>-</v>
          </cell>
          <cell r="BK51" t="str">
            <v>-</v>
          </cell>
          <cell r="BL51" t="str">
            <v>-</v>
          </cell>
          <cell r="BM51" t="str">
            <v>-</v>
          </cell>
          <cell r="BN51" t="str">
            <v>-</v>
          </cell>
          <cell r="BP51" t="str">
            <v>-</v>
          </cell>
          <cell r="BQ51" t="str">
            <v>-</v>
          </cell>
          <cell r="BR51" t="str">
            <v>-</v>
          </cell>
          <cell r="BS51" t="str">
            <v>-</v>
          </cell>
          <cell r="BU51" t="str">
            <v>-</v>
          </cell>
          <cell r="BV51" t="str">
            <v>-</v>
          </cell>
          <cell r="BW51" t="str">
            <v>-</v>
          </cell>
          <cell r="BX51" t="str">
            <v>-</v>
          </cell>
          <cell r="BZ51" t="str">
            <v>-</v>
          </cell>
          <cell r="CA51" t="str">
            <v>-</v>
          </cell>
          <cell r="CB51" t="str">
            <v>-</v>
          </cell>
          <cell r="CC51" t="str">
            <v>-</v>
          </cell>
          <cell r="CE51" t="str">
            <v>JEXP</v>
          </cell>
          <cell r="CF51">
            <v>1998310.1249999998</v>
          </cell>
          <cell r="CG51">
            <v>534290.16666666663</v>
          </cell>
          <cell r="CH51">
            <v>728870.33333333349</v>
          </cell>
          <cell r="CJ51" t="str">
            <v>JEXP</v>
          </cell>
          <cell r="CK51">
            <v>1712837.2499999998</v>
          </cell>
          <cell r="CL51">
            <v>457963</v>
          </cell>
          <cell r="CM51">
            <v>624746.00000000012</v>
          </cell>
          <cell r="CO51" t="str">
            <v>JEXP</v>
          </cell>
          <cell r="CP51">
            <v>1712837.2499999998</v>
          </cell>
          <cell r="CQ51">
            <v>457963</v>
          </cell>
          <cell r="CR51">
            <v>624746.00000000012</v>
          </cell>
          <cell r="CT51" t="str">
            <v>JEXP</v>
          </cell>
          <cell r="CU51">
            <v>1998310.1249999998</v>
          </cell>
          <cell r="CV51">
            <v>534290.16666666663</v>
          </cell>
          <cell r="CW51">
            <v>728870.33333333349</v>
          </cell>
        </row>
        <row r="52">
          <cell r="R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BA52" t="str">
            <v>-</v>
          </cell>
          <cell r="BB52" t="str">
            <v>-</v>
          </cell>
          <cell r="BC52" t="str">
            <v>-</v>
          </cell>
          <cell r="BD52" t="str">
            <v>-</v>
          </cell>
          <cell r="BF52" t="str">
            <v>-</v>
          </cell>
          <cell r="BG52" t="str">
            <v>-</v>
          </cell>
          <cell r="BH52" t="str">
            <v>-</v>
          </cell>
          <cell r="BI52" t="str">
            <v>-</v>
          </cell>
          <cell r="BK52" t="str">
            <v>-</v>
          </cell>
          <cell r="BL52" t="str">
            <v>-</v>
          </cell>
          <cell r="BM52" t="str">
            <v>-</v>
          </cell>
          <cell r="BN52" t="str">
            <v>-</v>
          </cell>
          <cell r="BP52" t="str">
            <v>-</v>
          </cell>
          <cell r="BQ52" t="str">
            <v>-</v>
          </cell>
          <cell r="BR52" t="str">
            <v>-</v>
          </cell>
          <cell r="BS52" t="str">
            <v>-</v>
          </cell>
          <cell r="BU52" t="str">
            <v>-</v>
          </cell>
          <cell r="BV52" t="str">
            <v>-</v>
          </cell>
          <cell r="BW52" t="str">
            <v>-</v>
          </cell>
          <cell r="BX52" t="str">
            <v>-</v>
          </cell>
          <cell r="BZ52" t="str">
            <v>-</v>
          </cell>
          <cell r="CA52" t="str">
            <v>-</v>
          </cell>
          <cell r="CB52" t="str">
            <v>-</v>
          </cell>
          <cell r="CC52" t="str">
            <v>-</v>
          </cell>
          <cell r="CE52" t="str">
            <v>JEXP</v>
          </cell>
          <cell r="CF52">
            <v>1998310.1249999998</v>
          </cell>
          <cell r="CG52">
            <v>534290.16666666663</v>
          </cell>
          <cell r="CH52">
            <v>728870.33333333349</v>
          </cell>
          <cell r="CJ52" t="str">
            <v>JEXP</v>
          </cell>
          <cell r="CK52">
            <v>1712837.2499999998</v>
          </cell>
          <cell r="CL52">
            <v>457963</v>
          </cell>
          <cell r="CM52">
            <v>624746.00000000012</v>
          </cell>
          <cell r="CO52" t="str">
            <v>JEXP</v>
          </cell>
          <cell r="CP52">
            <v>1712837.2499999998</v>
          </cell>
          <cell r="CQ52">
            <v>457963</v>
          </cell>
          <cell r="CR52">
            <v>624746.00000000012</v>
          </cell>
          <cell r="CT52" t="str">
            <v>JEXP</v>
          </cell>
          <cell r="CU52">
            <v>1998310.1249999998</v>
          </cell>
          <cell r="CV52">
            <v>534290.16666666663</v>
          </cell>
          <cell r="CW52">
            <v>728870.33333333349</v>
          </cell>
        </row>
        <row r="53">
          <cell r="R53" t="str">
            <v>WAX</v>
          </cell>
          <cell r="S53">
            <v>4582260.798684692</v>
          </cell>
          <cell r="T53">
            <v>1733191.2</v>
          </cell>
          <cell r="W53" t="str">
            <v>CEX</v>
          </cell>
          <cell r="X53">
            <v>1154211.4000000004</v>
          </cell>
          <cell r="Y53">
            <v>501760</v>
          </cell>
          <cell r="Z53">
            <v>933261.00000000012</v>
          </cell>
          <cell r="AB53" t="str">
            <v>EU4</v>
          </cell>
          <cell r="AC53">
            <v>1224425.8762499997</v>
          </cell>
          <cell r="AD53">
            <v>418597.5</v>
          </cell>
          <cell r="AE53">
            <v>759006</v>
          </cell>
          <cell r="AG53" t="str">
            <v>EU4</v>
          </cell>
          <cell r="AH53">
            <v>1224425.8762499997</v>
          </cell>
          <cell r="AI53">
            <v>418597.5</v>
          </cell>
          <cell r="AJ53">
            <v>759006</v>
          </cell>
          <cell r="AL53" t="str">
            <v>EU4</v>
          </cell>
          <cell r="AM53">
            <v>1428496.8556249999</v>
          </cell>
          <cell r="AN53">
            <v>488363.75</v>
          </cell>
          <cell r="AO53">
            <v>885507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</row>
        <row r="54">
          <cell r="R54" t="str">
            <v>WAX</v>
          </cell>
          <cell r="S54">
            <v>4582260.798684692</v>
          </cell>
          <cell r="T54">
            <v>1733191.2</v>
          </cell>
          <cell r="W54" t="str">
            <v>CEX</v>
          </cell>
          <cell r="X54">
            <v>1154211.4000000004</v>
          </cell>
          <cell r="Y54">
            <v>501760</v>
          </cell>
          <cell r="Z54">
            <v>933261.00000000012</v>
          </cell>
          <cell r="AB54" t="str">
            <v>EU4</v>
          </cell>
          <cell r="AC54">
            <v>1224425.8762499997</v>
          </cell>
          <cell r="AD54">
            <v>418597.5</v>
          </cell>
          <cell r="AE54">
            <v>759006</v>
          </cell>
          <cell r="AG54" t="str">
            <v>-</v>
          </cell>
          <cell r="AH54" t="str">
            <v>-</v>
          </cell>
          <cell r="AI54" t="str">
            <v>-</v>
          </cell>
          <cell r="AJ54" t="str">
            <v>-</v>
          </cell>
          <cell r="AL54" t="str">
            <v>-</v>
          </cell>
          <cell r="AM54" t="str">
            <v>-</v>
          </cell>
          <cell r="AN54" t="str">
            <v>-</v>
          </cell>
          <cell r="AO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V54" t="str">
            <v>-</v>
          </cell>
          <cell r="AW54" t="str">
            <v>-</v>
          </cell>
          <cell r="AX54" t="str">
            <v>-</v>
          </cell>
          <cell r="AY54" t="str">
            <v>-</v>
          </cell>
          <cell r="BA54" t="str">
            <v>-</v>
          </cell>
          <cell r="BB54" t="str">
            <v>-</v>
          </cell>
          <cell r="BC54" t="str">
            <v>-</v>
          </cell>
          <cell r="BD54" t="str">
            <v>-</v>
          </cell>
          <cell r="BF54" t="str">
            <v>-</v>
          </cell>
          <cell r="BG54" t="str">
            <v>-</v>
          </cell>
          <cell r="BH54" t="str">
            <v>-</v>
          </cell>
          <cell r="BI54" t="str">
            <v>-</v>
          </cell>
          <cell r="BK54" t="str">
            <v>-</v>
          </cell>
          <cell r="BL54" t="str">
            <v>-</v>
          </cell>
          <cell r="BM54" t="str">
            <v>-</v>
          </cell>
          <cell r="BN54" t="str">
            <v>-</v>
          </cell>
          <cell r="BP54" t="str">
            <v>-</v>
          </cell>
          <cell r="BQ54" t="str">
            <v>-</v>
          </cell>
          <cell r="BR54" t="str">
            <v>-</v>
          </cell>
          <cell r="BS54" t="str">
            <v>-</v>
          </cell>
          <cell r="BU54" t="str">
            <v>-</v>
          </cell>
          <cell r="BV54" t="str">
            <v>-</v>
          </cell>
          <cell r="BW54" t="str">
            <v>-</v>
          </cell>
          <cell r="BX54" t="str">
            <v>-</v>
          </cell>
          <cell r="BZ54" t="str">
            <v>-</v>
          </cell>
          <cell r="CA54" t="str">
            <v>-</v>
          </cell>
          <cell r="CB54" t="str">
            <v>-</v>
          </cell>
          <cell r="CC54" t="str">
            <v>-</v>
          </cell>
          <cell r="CO54" t="str">
            <v>-</v>
          </cell>
          <cell r="CP54" t="str">
            <v>-</v>
          </cell>
          <cell r="CQ54" t="str">
            <v>-</v>
          </cell>
          <cell r="CR54" t="str">
            <v>-</v>
          </cell>
          <cell r="CT54" t="str">
            <v>-</v>
          </cell>
          <cell r="CU54" t="str">
            <v>-</v>
          </cell>
          <cell r="CV54" t="str">
            <v>-</v>
          </cell>
          <cell r="CW54" t="str">
            <v>-</v>
          </cell>
        </row>
        <row r="55">
          <cell r="R55" t="str">
            <v>WAX</v>
          </cell>
          <cell r="S55">
            <v>4582260.798684692</v>
          </cell>
          <cell r="T55">
            <v>1733191.2</v>
          </cell>
          <cell r="W55" t="str">
            <v>CEX</v>
          </cell>
          <cell r="X55">
            <v>1154211.4000000004</v>
          </cell>
          <cell r="Y55">
            <v>501760</v>
          </cell>
          <cell r="Z55">
            <v>933261.00000000012</v>
          </cell>
          <cell r="AG55" t="str">
            <v>-</v>
          </cell>
          <cell r="AH55" t="str">
            <v>-</v>
          </cell>
          <cell r="AI55" t="str">
            <v>-</v>
          </cell>
          <cell r="AJ55" t="str">
            <v>-</v>
          </cell>
          <cell r="AL55" t="str">
            <v>-</v>
          </cell>
          <cell r="AM55" t="str">
            <v>-</v>
          </cell>
          <cell r="AN55" t="str">
            <v>-</v>
          </cell>
          <cell r="AO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V55" t="str">
            <v>-</v>
          </cell>
          <cell r="AW55" t="str">
            <v>-</v>
          </cell>
          <cell r="AX55" t="str">
            <v>-</v>
          </cell>
          <cell r="AY55" t="str">
            <v>-</v>
          </cell>
          <cell r="BA55" t="str">
            <v>-</v>
          </cell>
          <cell r="BB55" t="str">
            <v>-</v>
          </cell>
          <cell r="BC55" t="str">
            <v>-</v>
          </cell>
          <cell r="BD55" t="str">
            <v>-</v>
          </cell>
          <cell r="BF55" t="str">
            <v>-</v>
          </cell>
          <cell r="BG55" t="str">
            <v>-</v>
          </cell>
          <cell r="BH55" t="str">
            <v>-</v>
          </cell>
          <cell r="BI55" t="str">
            <v>-</v>
          </cell>
          <cell r="BK55" t="str">
            <v>-</v>
          </cell>
          <cell r="BL55" t="str">
            <v>-</v>
          </cell>
          <cell r="BM55" t="str">
            <v>-</v>
          </cell>
          <cell r="BN55" t="str">
            <v>-</v>
          </cell>
          <cell r="BP55" t="str">
            <v>-</v>
          </cell>
          <cell r="BQ55" t="str">
            <v>-</v>
          </cell>
          <cell r="BR55" t="str">
            <v>-</v>
          </cell>
          <cell r="BS55" t="str">
            <v>-</v>
          </cell>
          <cell r="BU55" t="str">
            <v>-</v>
          </cell>
          <cell r="BV55" t="str">
            <v>-</v>
          </cell>
          <cell r="BW55" t="str">
            <v>-</v>
          </cell>
          <cell r="BX55" t="str">
            <v>-</v>
          </cell>
          <cell r="BZ55" t="str">
            <v>-</v>
          </cell>
          <cell r="CA55" t="str">
            <v>-</v>
          </cell>
          <cell r="CB55" t="str">
            <v>-</v>
          </cell>
          <cell r="CC55" t="str">
            <v>-</v>
          </cell>
          <cell r="CO55" t="str">
            <v>-</v>
          </cell>
          <cell r="CP55" t="str">
            <v>-</v>
          </cell>
          <cell r="CQ55" t="str">
            <v>-</v>
          </cell>
          <cell r="CR55" t="str">
            <v>-</v>
          </cell>
          <cell r="CT55" t="str">
            <v>-</v>
          </cell>
          <cell r="CU55" t="str">
            <v>-</v>
          </cell>
          <cell r="CV55" t="str">
            <v>-</v>
          </cell>
          <cell r="CW55" t="str">
            <v>-</v>
          </cell>
        </row>
        <row r="56">
          <cell r="Q56">
            <v>8099000</v>
          </cell>
          <cell r="R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G56" t="str">
            <v>-</v>
          </cell>
          <cell r="AH56" t="str">
            <v>-</v>
          </cell>
          <cell r="AI56" t="str">
            <v>-</v>
          </cell>
          <cell r="AJ56" t="str">
            <v>-</v>
          </cell>
          <cell r="AL56" t="str">
            <v>-</v>
          </cell>
          <cell r="AM56" t="str">
            <v>-</v>
          </cell>
          <cell r="AN56" t="str">
            <v>-</v>
          </cell>
          <cell r="AO56" t="str">
            <v>-</v>
          </cell>
          <cell r="AQ56" t="str">
            <v>APXTAS</v>
          </cell>
          <cell r="AR56">
            <v>1182721.1200000001</v>
          </cell>
          <cell r="AS56">
            <v>397132.16666666663</v>
          </cell>
          <cell r="AT56">
            <v>254823.33333333337</v>
          </cell>
          <cell r="AV56" t="str">
            <v>-</v>
          </cell>
          <cell r="AW56" t="str">
            <v>-</v>
          </cell>
          <cell r="AX56" t="str">
            <v>-</v>
          </cell>
          <cell r="AY56" t="str">
            <v>-</v>
          </cell>
          <cell r="BA56" t="str">
            <v>-</v>
          </cell>
          <cell r="BB56" t="str">
            <v>-</v>
          </cell>
          <cell r="BC56" t="str">
            <v>-</v>
          </cell>
          <cell r="BD56" t="str">
            <v>-</v>
          </cell>
          <cell r="BF56" t="str">
            <v>-</v>
          </cell>
          <cell r="BG56" t="str">
            <v>-</v>
          </cell>
          <cell r="BH56" t="str">
            <v>-</v>
          </cell>
          <cell r="BI56" t="str">
            <v>-</v>
          </cell>
        </row>
        <row r="57">
          <cell r="Q57">
            <v>8099000</v>
          </cell>
          <cell r="R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G57" t="str">
            <v>-</v>
          </cell>
          <cell r="AH57" t="str">
            <v>-</v>
          </cell>
          <cell r="AI57" t="str">
            <v>-</v>
          </cell>
          <cell r="AJ57" t="str">
            <v>-</v>
          </cell>
          <cell r="AL57" t="str">
            <v>-</v>
          </cell>
          <cell r="AM57" t="str">
            <v>-</v>
          </cell>
          <cell r="AN57" t="str">
            <v>-</v>
          </cell>
          <cell r="AO57" t="str">
            <v>-</v>
          </cell>
          <cell r="AQ57" t="str">
            <v>REX</v>
          </cell>
          <cell r="AR57" t="str">
            <v>-</v>
          </cell>
          <cell r="AS57" t="str">
            <v>-</v>
          </cell>
          <cell r="AT57" t="str">
            <v>-</v>
          </cell>
          <cell r="AV57" t="str">
            <v>REX</v>
          </cell>
          <cell r="AW57" t="str">
            <v>-</v>
          </cell>
          <cell r="AX57" t="str">
            <v>-</v>
          </cell>
          <cell r="AY57" t="str">
            <v>-</v>
          </cell>
          <cell r="BA57" t="str">
            <v>-</v>
          </cell>
          <cell r="BB57" t="str">
            <v>-</v>
          </cell>
          <cell r="BC57" t="str">
            <v>-</v>
          </cell>
          <cell r="BD57" t="str">
            <v>-</v>
          </cell>
          <cell r="BF57" t="str">
            <v>-</v>
          </cell>
          <cell r="BG57" t="str">
            <v>-</v>
          </cell>
          <cell r="BH57" t="str">
            <v>-</v>
          </cell>
          <cell r="BI57" t="str">
            <v>-</v>
          </cell>
          <cell r="BK57" t="str">
            <v>APXTAS</v>
          </cell>
          <cell r="BL57">
            <v>506880.48</v>
          </cell>
          <cell r="BM57">
            <v>170199.5</v>
          </cell>
          <cell r="BN57">
            <v>109210</v>
          </cell>
        </row>
        <row r="58">
          <cell r="Q58">
            <v>8099000</v>
          </cell>
          <cell r="R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G58" t="str">
            <v>-</v>
          </cell>
          <cell r="AH58" t="str">
            <v>-</v>
          </cell>
          <cell r="AI58" t="str">
            <v>-</v>
          </cell>
          <cell r="AJ58" t="str">
            <v>-</v>
          </cell>
          <cell r="AL58" t="str">
            <v>-</v>
          </cell>
          <cell r="AM58" t="str">
            <v>-</v>
          </cell>
          <cell r="AN58" t="str">
            <v>-</v>
          </cell>
          <cell r="AO58" t="str">
            <v>-</v>
          </cell>
          <cell r="AQ58" t="str">
            <v>MED</v>
          </cell>
          <cell r="AR58">
            <v>1181793.375</v>
          </cell>
          <cell r="AS58">
            <v>366747.5</v>
          </cell>
          <cell r="AT58">
            <v>725189.5</v>
          </cell>
          <cell r="AV58" t="str">
            <v>-</v>
          </cell>
          <cell r="AW58" t="str">
            <v>-</v>
          </cell>
          <cell r="AX58" t="str">
            <v>-</v>
          </cell>
          <cell r="AY58" t="str">
            <v>-</v>
          </cell>
          <cell r="BA58" t="str">
            <v>-</v>
          </cell>
          <cell r="BB58" t="str">
            <v>-</v>
          </cell>
          <cell r="BC58" t="str">
            <v>-</v>
          </cell>
          <cell r="BD58" t="str">
            <v>-</v>
          </cell>
          <cell r="BF58" t="str">
            <v>-</v>
          </cell>
          <cell r="BG58" t="str">
            <v>-</v>
          </cell>
          <cell r="BH58" t="str">
            <v>-</v>
          </cell>
          <cell r="BI58" t="str">
            <v>-</v>
          </cell>
          <cell r="BK58" t="str">
            <v>MED</v>
          </cell>
          <cell r="BL58">
            <v>1181793.375</v>
          </cell>
          <cell r="BM58">
            <v>366747.5</v>
          </cell>
          <cell r="BN58">
            <v>725189.5</v>
          </cell>
          <cell r="BP58" t="str">
            <v>MED</v>
          </cell>
          <cell r="BQ58">
            <v>1012965.7499999999</v>
          </cell>
          <cell r="BR58">
            <v>314355</v>
          </cell>
          <cell r="BS58">
            <v>621591</v>
          </cell>
          <cell r="BU58" t="str">
            <v>MED</v>
          </cell>
          <cell r="BV58">
            <v>1012965.7499999999</v>
          </cell>
          <cell r="BW58">
            <v>314355</v>
          </cell>
          <cell r="BX58">
            <v>621591</v>
          </cell>
          <cell r="BZ58" t="str">
            <v>MED</v>
          </cell>
          <cell r="CA58">
            <v>1181793.375</v>
          </cell>
          <cell r="CB58">
            <v>366747.5</v>
          </cell>
          <cell r="CC58">
            <v>725189.5</v>
          </cell>
          <cell r="CE58" t="str">
            <v>MED</v>
          </cell>
          <cell r="CF58">
            <v>1181793.375</v>
          </cell>
          <cell r="CG58">
            <v>366747.5</v>
          </cell>
          <cell r="CH58">
            <v>725189.5</v>
          </cell>
          <cell r="CJ58" t="str">
            <v>MED</v>
          </cell>
          <cell r="CK58">
            <v>1012965.7499999999</v>
          </cell>
          <cell r="CL58">
            <v>314355</v>
          </cell>
          <cell r="CM58">
            <v>621591</v>
          </cell>
          <cell r="CO58" t="str">
            <v>MED</v>
          </cell>
          <cell r="CP58">
            <v>1012965.7499999999</v>
          </cell>
          <cell r="CQ58">
            <v>314355</v>
          </cell>
          <cell r="CR58">
            <v>621591</v>
          </cell>
          <cell r="CT58" t="str">
            <v>MED</v>
          </cell>
          <cell r="CU58">
            <v>1181793.375</v>
          </cell>
          <cell r="CV58">
            <v>366747.5</v>
          </cell>
          <cell r="CW58">
            <v>725189.5</v>
          </cell>
        </row>
        <row r="59">
          <cell r="Q59">
            <v>7280000</v>
          </cell>
          <cell r="R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BA59" t="str">
            <v>-</v>
          </cell>
          <cell r="BB59" t="str">
            <v>-</v>
          </cell>
          <cell r="BC59" t="str">
            <v>-</v>
          </cell>
          <cell r="BD59" t="str">
            <v>-</v>
          </cell>
          <cell r="BF59" t="str">
            <v>-</v>
          </cell>
          <cell r="BG59" t="str">
            <v>-</v>
          </cell>
          <cell r="BH59" t="str">
            <v>-</v>
          </cell>
          <cell r="BI59" t="str">
            <v>-</v>
          </cell>
          <cell r="BL59" t="str">
            <v>-</v>
          </cell>
          <cell r="BM59" t="str">
            <v>-</v>
          </cell>
          <cell r="BN59" t="str">
            <v>-</v>
          </cell>
          <cell r="CF59" t="str">
            <v>-</v>
          </cell>
          <cell r="CG59" t="str">
            <v>-</v>
          </cell>
          <cell r="CH59" t="str">
            <v>-</v>
          </cell>
        </row>
        <row r="60">
          <cell r="Q60">
            <v>7280000</v>
          </cell>
          <cell r="R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BA60" t="str">
            <v>-</v>
          </cell>
          <cell r="BB60" t="str">
            <v>-</v>
          </cell>
          <cell r="BC60" t="str">
            <v>-</v>
          </cell>
          <cell r="BD60" t="str">
            <v>-</v>
          </cell>
          <cell r="BF60" t="str">
            <v>-</v>
          </cell>
          <cell r="BG60" t="str">
            <v>-</v>
          </cell>
          <cell r="BH60" t="str">
            <v>-</v>
          </cell>
          <cell r="BI60" t="str">
            <v>-</v>
          </cell>
          <cell r="BL60" t="str">
            <v>-</v>
          </cell>
          <cell r="BM60" t="str">
            <v>-</v>
          </cell>
          <cell r="BN60" t="str">
            <v>-</v>
          </cell>
          <cell r="CF60" t="str">
            <v>-</v>
          </cell>
          <cell r="CG60" t="str">
            <v>-</v>
          </cell>
          <cell r="CH60" t="str">
            <v>-</v>
          </cell>
        </row>
        <row r="61">
          <cell r="Q61">
            <v>5397848.6705438811</v>
          </cell>
          <cell r="R61" t="str">
            <v>WAX</v>
          </cell>
          <cell r="S61">
            <v>4695963.9985967921</v>
          </cell>
          <cell r="T61">
            <v>1271368.8</v>
          </cell>
          <cell r="W61" t="str">
            <v>WAX</v>
          </cell>
          <cell r="X61">
            <v>1264297.9996222134</v>
          </cell>
          <cell r="Y61">
            <v>342291.60000000003</v>
          </cell>
          <cell r="Z61" t="str">
            <v>-</v>
          </cell>
          <cell r="AB61" t="str">
            <v>WAX</v>
          </cell>
          <cell r="AC61">
            <v>1083683.9996761829</v>
          </cell>
          <cell r="AD61">
            <v>293392.8</v>
          </cell>
          <cell r="AE61" t="str">
            <v>-</v>
          </cell>
          <cell r="AG61" t="str">
            <v>APXTAS</v>
          </cell>
          <cell r="AH61">
            <v>1134326.368</v>
          </cell>
          <cell r="AI61">
            <v>386412.26315789472</v>
          </cell>
          <cell r="AJ61">
            <v>283302</v>
          </cell>
          <cell r="AL61" t="str">
            <v>APXTAS</v>
          </cell>
          <cell r="AM61">
            <v>1323380.7626666666</v>
          </cell>
          <cell r="AN61">
            <v>450814.30701754382</v>
          </cell>
          <cell r="AO61">
            <v>330519</v>
          </cell>
          <cell r="AQ61" t="str">
            <v>APXTAS</v>
          </cell>
          <cell r="AR61">
            <v>1323380.7626666666</v>
          </cell>
          <cell r="AS61">
            <v>450814.30701754382</v>
          </cell>
          <cell r="AT61">
            <v>330519</v>
          </cell>
          <cell r="AV61" t="str">
            <v>APXTAS</v>
          </cell>
          <cell r="AW61">
            <v>1134326.368</v>
          </cell>
          <cell r="AX61">
            <v>386412.26315789472</v>
          </cell>
          <cell r="AY61">
            <v>283302</v>
          </cell>
          <cell r="BA61" t="str">
            <v>APXTAS</v>
          </cell>
          <cell r="BB61">
            <v>1134326.368</v>
          </cell>
          <cell r="BC61">
            <v>386412.26315789472</v>
          </cell>
          <cell r="BD61">
            <v>283302</v>
          </cell>
          <cell r="BF61" t="str">
            <v>APXTAS</v>
          </cell>
          <cell r="BG61">
            <v>1323380.7626666666</v>
          </cell>
          <cell r="BH61">
            <v>450814.30701754382</v>
          </cell>
          <cell r="BI61">
            <v>330519</v>
          </cell>
          <cell r="BK61" t="str">
            <v>APXTAS</v>
          </cell>
          <cell r="BL61">
            <v>1323380.7626666666</v>
          </cell>
          <cell r="BM61">
            <v>450814.30701754382</v>
          </cell>
          <cell r="BN61">
            <v>330519</v>
          </cell>
          <cell r="BP61" t="str">
            <v>APXTAS</v>
          </cell>
          <cell r="BQ61">
            <v>1134326.368</v>
          </cell>
          <cell r="BR61">
            <v>386412.26315789472</v>
          </cell>
          <cell r="BS61">
            <v>283302</v>
          </cell>
          <cell r="BU61" t="str">
            <v>APXTAS</v>
          </cell>
          <cell r="BV61">
            <v>1134326.368</v>
          </cell>
          <cell r="BW61">
            <v>386412.26315789472</v>
          </cell>
          <cell r="BX61">
            <v>283302</v>
          </cell>
          <cell r="BZ61" t="str">
            <v>APXTAS</v>
          </cell>
          <cell r="CA61">
            <v>1323380.7626666666</v>
          </cell>
          <cell r="CB61">
            <v>450814.30701754382</v>
          </cell>
          <cell r="CC61">
            <v>330519</v>
          </cell>
          <cell r="CE61" t="str">
            <v>APXTAS</v>
          </cell>
          <cell r="CF61">
            <v>1323380.7626666666</v>
          </cell>
          <cell r="CG61">
            <v>450814.30701754382</v>
          </cell>
          <cell r="CH61">
            <v>330519</v>
          </cell>
          <cell r="CJ61" t="str">
            <v>APXTAS</v>
          </cell>
          <cell r="CK61">
            <v>1134326.368</v>
          </cell>
          <cell r="CL61">
            <v>386412.26315789472</v>
          </cell>
          <cell r="CM61">
            <v>283302</v>
          </cell>
          <cell r="CO61" t="str">
            <v>APXTAS</v>
          </cell>
          <cell r="CP61">
            <v>1134326.368</v>
          </cell>
          <cell r="CQ61">
            <v>386412.26315789472</v>
          </cell>
          <cell r="CR61">
            <v>283302</v>
          </cell>
          <cell r="CT61" t="str">
            <v>APXTAS</v>
          </cell>
          <cell r="CU61">
            <v>1323380.7626666666</v>
          </cell>
          <cell r="CV61">
            <v>450814.30701754382</v>
          </cell>
          <cell r="CW61">
            <v>330519</v>
          </cell>
        </row>
        <row r="62">
          <cell r="Q62">
            <v>6129270.7780400952</v>
          </cell>
          <cell r="R62" t="str">
            <v>MED</v>
          </cell>
          <cell r="S62">
            <v>4774446.3000000007</v>
          </cell>
          <cell r="T62">
            <v>1225431.9999999998</v>
          </cell>
          <cell r="U62">
            <v>2693132</v>
          </cell>
        </row>
        <row r="63">
          <cell r="Q63">
            <v>4732678.7845657365</v>
          </cell>
          <cell r="R63" t="str">
            <v>MED</v>
          </cell>
          <cell r="S63">
            <v>4774446.3000000007</v>
          </cell>
          <cell r="T63">
            <v>1225431.9999999998</v>
          </cell>
          <cell r="U63">
            <v>2693132</v>
          </cell>
        </row>
        <row r="64">
          <cell r="Q64">
            <v>3608337.5906090261</v>
          </cell>
          <cell r="AR64" t="str">
            <v>-</v>
          </cell>
          <cell r="AS64" t="str">
            <v>-</v>
          </cell>
          <cell r="AT64" t="str">
            <v>-</v>
          </cell>
          <cell r="AV64" t="str">
            <v>-</v>
          </cell>
          <cell r="AW64" t="str">
            <v>-</v>
          </cell>
          <cell r="AX64" t="str">
            <v>-</v>
          </cell>
          <cell r="AY64" t="str">
            <v>-</v>
          </cell>
          <cell r="BA64" t="str">
            <v>-</v>
          </cell>
          <cell r="BB64" t="str">
            <v>-</v>
          </cell>
          <cell r="BC64" t="str">
            <v>-</v>
          </cell>
          <cell r="BD64" t="str">
            <v>-</v>
          </cell>
          <cell r="BF64" t="str">
            <v>-</v>
          </cell>
          <cell r="BG64" t="str">
            <v>-</v>
          </cell>
          <cell r="BH64" t="str">
            <v>-</v>
          </cell>
          <cell r="BI64" t="str">
            <v>-</v>
          </cell>
        </row>
        <row r="65">
          <cell r="Q65">
            <v>7280000</v>
          </cell>
          <cell r="AR65" t="str">
            <v>-</v>
          </cell>
          <cell r="AS65" t="str">
            <v>-</v>
          </cell>
          <cell r="AT65" t="str">
            <v>-</v>
          </cell>
          <cell r="AV65" t="str">
            <v>-</v>
          </cell>
          <cell r="AW65" t="str">
            <v>-</v>
          </cell>
          <cell r="AX65" t="str">
            <v>-</v>
          </cell>
          <cell r="AY65" t="str">
            <v>-</v>
          </cell>
          <cell r="BA65" t="str">
            <v>-</v>
          </cell>
          <cell r="BB65" t="str">
            <v>-</v>
          </cell>
          <cell r="BC65" t="str">
            <v>-</v>
          </cell>
          <cell r="BD65" t="str">
            <v>-</v>
          </cell>
          <cell r="BF65" t="str">
            <v>-</v>
          </cell>
          <cell r="BG65" t="str">
            <v>-</v>
          </cell>
          <cell r="BH65" t="str">
            <v>-</v>
          </cell>
          <cell r="BI65" t="str">
            <v>-</v>
          </cell>
        </row>
        <row r="66">
          <cell r="Q66">
            <v>9785410.6938461531</v>
          </cell>
          <cell r="W66" t="str">
            <v>WAX</v>
          </cell>
          <cell r="X66">
            <v>1233685.5996458784</v>
          </cell>
          <cell r="Y66">
            <v>466628.39999999997</v>
          </cell>
          <cell r="AB66" t="str">
            <v>WAX</v>
          </cell>
          <cell r="AC66">
            <v>1057444.7996964674</v>
          </cell>
          <cell r="AD66">
            <v>399967.19999999995</v>
          </cell>
          <cell r="AG66" t="str">
            <v>WAX</v>
          </cell>
          <cell r="AH66">
            <v>1057444.7996964674</v>
          </cell>
          <cell r="AI66">
            <v>399967.19999999995</v>
          </cell>
          <cell r="AL66" t="str">
            <v>WAX</v>
          </cell>
          <cell r="AM66">
            <v>1233685.5996458784</v>
          </cell>
          <cell r="AN66">
            <v>466628.39999999997</v>
          </cell>
          <cell r="AQ66" t="str">
            <v>WAX</v>
          </cell>
          <cell r="AR66">
            <v>1233685.5996458784</v>
          </cell>
          <cell r="AS66">
            <v>466628.39999999997</v>
          </cell>
          <cell r="AT66">
            <v>0</v>
          </cell>
          <cell r="AV66" t="str">
            <v>WAX</v>
          </cell>
          <cell r="AW66">
            <v>1057444.7996964674</v>
          </cell>
          <cell r="AX66">
            <v>399967.19999999995</v>
          </cell>
          <cell r="AY66">
            <v>0</v>
          </cell>
          <cell r="BA66" t="str">
            <v>WAX</v>
          </cell>
          <cell r="BB66">
            <v>1057444.7996964674</v>
          </cell>
          <cell r="BC66">
            <v>399967.19999999995</v>
          </cell>
          <cell r="BD66">
            <v>0</v>
          </cell>
          <cell r="BF66" t="str">
            <v>WAX</v>
          </cell>
          <cell r="BG66">
            <v>1233685.5996458784</v>
          </cell>
          <cell r="BH66">
            <v>466628.39999999997</v>
          </cell>
          <cell r="BI66">
            <v>0</v>
          </cell>
          <cell r="BK66" t="str">
            <v>PNXWAX</v>
          </cell>
          <cell r="BL66">
            <v>1345636.5066666668</v>
          </cell>
          <cell r="BM66">
            <v>417198.44444444444</v>
          </cell>
          <cell r="BP66" t="str">
            <v>PNXWAX</v>
          </cell>
          <cell r="BQ66">
            <v>1153402.7200000002</v>
          </cell>
          <cell r="BR66">
            <v>357598.66666666669</v>
          </cell>
          <cell r="BU66" t="str">
            <v>PNXWAX</v>
          </cell>
          <cell r="BV66">
            <v>1153402.7200000002</v>
          </cell>
          <cell r="BW66">
            <v>357598.66666666669</v>
          </cell>
          <cell r="BZ66" t="str">
            <v>PNXWAX</v>
          </cell>
          <cell r="CA66">
            <v>1345636.5066666668</v>
          </cell>
          <cell r="CB66">
            <v>417198.44444444444</v>
          </cell>
          <cell r="CE66" t="str">
            <v>SAXWAX</v>
          </cell>
          <cell r="CF66">
            <v>1760970.2395833335</v>
          </cell>
          <cell r="CG66">
            <v>224136.88888888891</v>
          </cell>
          <cell r="CJ66" t="str">
            <v>SAXWAX</v>
          </cell>
          <cell r="CK66">
            <v>1509403.0625000002</v>
          </cell>
          <cell r="CL66">
            <v>192117.33333333334</v>
          </cell>
          <cell r="CO66" t="str">
            <v>SAXWAX</v>
          </cell>
          <cell r="CP66">
            <v>1509403.0625000002</v>
          </cell>
          <cell r="CQ66">
            <v>192117.33333333334</v>
          </cell>
          <cell r="CT66" t="str">
            <v>SAXWAX</v>
          </cell>
          <cell r="CU66">
            <v>1760970.2395833335</v>
          </cell>
          <cell r="CV66">
            <v>224136.88888888891</v>
          </cell>
        </row>
        <row r="67">
          <cell r="Q67">
            <v>9772966.6738461535</v>
          </cell>
          <cell r="W67" t="str">
            <v>WAX</v>
          </cell>
          <cell r="X67">
            <v>1233685.5996458784</v>
          </cell>
          <cell r="Y67">
            <v>466628.39999999997</v>
          </cell>
          <cell r="AB67" t="str">
            <v>WAX</v>
          </cell>
          <cell r="AC67">
            <v>1057444.7996964674</v>
          </cell>
          <cell r="AD67">
            <v>399967.19999999995</v>
          </cell>
          <cell r="AG67" t="str">
            <v>WAX</v>
          </cell>
          <cell r="AH67">
            <v>1057444.7996964674</v>
          </cell>
          <cell r="AI67">
            <v>399967.19999999995</v>
          </cell>
          <cell r="AL67" t="str">
            <v>WAX</v>
          </cell>
          <cell r="AM67">
            <v>1233685.5996458784</v>
          </cell>
          <cell r="AN67">
            <v>466628.39999999997</v>
          </cell>
          <cell r="AQ67" t="str">
            <v>WAX</v>
          </cell>
          <cell r="AR67">
            <v>1233685.5996458784</v>
          </cell>
          <cell r="AS67">
            <v>466628.39999999997</v>
          </cell>
          <cell r="AT67">
            <v>0</v>
          </cell>
          <cell r="AV67" t="str">
            <v>WAX</v>
          </cell>
          <cell r="AW67">
            <v>1057444.7996964674</v>
          </cell>
          <cell r="AX67">
            <v>399967.19999999995</v>
          </cell>
          <cell r="AY67">
            <v>0</v>
          </cell>
          <cell r="BA67" t="str">
            <v>WAX</v>
          </cell>
          <cell r="BB67">
            <v>1057444.7996964674</v>
          </cell>
          <cell r="BC67">
            <v>399967.19999999995</v>
          </cell>
          <cell r="BD67">
            <v>0</v>
          </cell>
          <cell r="BF67" t="str">
            <v>WAX</v>
          </cell>
          <cell r="BG67">
            <v>1233685.5996458784</v>
          </cell>
          <cell r="BH67">
            <v>466628.39999999997</v>
          </cell>
          <cell r="BI67">
            <v>0</v>
          </cell>
          <cell r="BK67" t="str">
            <v>PNXWAX</v>
          </cell>
          <cell r="BL67">
            <v>1345636.5066666668</v>
          </cell>
          <cell r="BM67">
            <v>417198.44444444444</v>
          </cell>
          <cell r="BP67" t="str">
            <v>PNXWAX</v>
          </cell>
          <cell r="BQ67">
            <v>1153402.7200000002</v>
          </cell>
          <cell r="BR67">
            <v>357598.66666666669</v>
          </cell>
          <cell r="BU67" t="str">
            <v>PNXWAX</v>
          </cell>
          <cell r="BV67">
            <v>1153402.7200000002</v>
          </cell>
          <cell r="BW67">
            <v>357598.66666666669</v>
          </cell>
          <cell r="BZ67" t="str">
            <v>PNXWAX</v>
          </cell>
          <cell r="CA67">
            <v>1345636.5066666668</v>
          </cell>
          <cell r="CB67">
            <v>417198.44444444444</v>
          </cell>
          <cell r="CE67" t="str">
            <v>SAXWAX</v>
          </cell>
          <cell r="CF67">
            <v>1760970.2395833335</v>
          </cell>
          <cell r="CG67">
            <v>224136.88888888891</v>
          </cell>
          <cell r="CJ67" t="str">
            <v>SAXWAX</v>
          </cell>
          <cell r="CK67">
            <v>1509403.0625000002</v>
          </cell>
          <cell r="CL67">
            <v>192117.33333333334</v>
          </cell>
          <cell r="CO67" t="str">
            <v>SAXWAX</v>
          </cell>
          <cell r="CP67">
            <v>1509403.0625000002</v>
          </cell>
          <cell r="CQ67">
            <v>192117.33333333334</v>
          </cell>
          <cell r="CT67" t="str">
            <v>SAXWAX</v>
          </cell>
          <cell r="CU67">
            <v>1760970.2395833335</v>
          </cell>
          <cell r="CV67">
            <v>224136.88888888891</v>
          </cell>
        </row>
        <row r="68">
          <cell r="Q68">
            <v>9640280.3538461551</v>
          </cell>
          <cell r="W68" t="str">
            <v>WAX</v>
          </cell>
          <cell r="X68">
            <v>1233685.5996458784</v>
          </cell>
          <cell r="Y68">
            <v>466628.39999999997</v>
          </cell>
          <cell r="AB68" t="str">
            <v>WAX</v>
          </cell>
          <cell r="AC68">
            <v>1057444.7996964674</v>
          </cell>
          <cell r="AD68">
            <v>399967.19999999995</v>
          </cell>
          <cell r="AG68" t="str">
            <v>WAX</v>
          </cell>
          <cell r="AH68">
            <v>1057444.7996964674</v>
          </cell>
          <cell r="AI68">
            <v>399967.19999999995</v>
          </cell>
          <cell r="AL68" t="str">
            <v>WAX</v>
          </cell>
          <cell r="AM68">
            <v>1233685.5996458784</v>
          </cell>
          <cell r="AN68">
            <v>466628.39999999997</v>
          </cell>
          <cell r="AQ68" t="str">
            <v>WAX</v>
          </cell>
          <cell r="AR68">
            <v>1233685.5996458784</v>
          </cell>
          <cell r="AS68">
            <v>466628.39999999997</v>
          </cell>
          <cell r="AT68">
            <v>0</v>
          </cell>
          <cell r="AV68" t="str">
            <v>WAX</v>
          </cell>
          <cell r="AW68">
            <v>1057444.7996964674</v>
          </cell>
          <cell r="AX68">
            <v>399967.19999999995</v>
          </cell>
          <cell r="AY68">
            <v>0</v>
          </cell>
          <cell r="BA68" t="str">
            <v>WAX</v>
          </cell>
          <cell r="BB68">
            <v>1057444.7996964674</v>
          </cell>
          <cell r="BC68">
            <v>399967.19999999995</v>
          </cell>
          <cell r="BD68">
            <v>0</v>
          </cell>
          <cell r="BF68" t="str">
            <v>WAX</v>
          </cell>
          <cell r="BG68">
            <v>1233685.5996458784</v>
          </cell>
          <cell r="BH68">
            <v>466628.39999999997</v>
          </cell>
          <cell r="BI68">
            <v>0</v>
          </cell>
          <cell r="BK68" t="str">
            <v>PNXWAX</v>
          </cell>
          <cell r="BL68">
            <v>1345636.5066666668</v>
          </cell>
          <cell r="BM68">
            <v>417198.44444444444</v>
          </cell>
          <cell r="BP68" t="str">
            <v>PNXWAX</v>
          </cell>
          <cell r="BQ68">
            <v>1153402.7200000002</v>
          </cell>
          <cell r="BR68">
            <v>357598.66666666669</v>
          </cell>
          <cell r="BU68" t="str">
            <v>PNXWAX</v>
          </cell>
          <cell r="BV68">
            <v>1153402.7200000002</v>
          </cell>
          <cell r="BW68">
            <v>357598.66666666669</v>
          </cell>
          <cell r="BZ68" t="str">
            <v>PNXWAX</v>
          </cell>
          <cell r="CA68">
            <v>1345636.5066666668</v>
          </cell>
          <cell r="CB68">
            <v>417198.44444444444</v>
          </cell>
          <cell r="CE68" t="str">
            <v>SAXWAX</v>
          </cell>
          <cell r="CF68">
            <v>1760970.2395833335</v>
          </cell>
          <cell r="CG68">
            <v>224136.88888888891</v>
          </cell>
          <cell r="CJ68" t="str">
            <v>SAXWAX</v>
          </cell>
          <cell r="CK68">
            <v>1509403.0625000002</v>
          </cell>
          <cell r="CL68">
            <v>192117.33333333334</v>
          </cell>
          <cell r="CO68" t="str">
            <v>SAXWAX</v>
          </cell>
          <cell r="CP68">
            <v>1509403.0625000002</v>
          </cell>
          <cell r="CQ68">
            <v>192117.33333333334</v>
          </cell>
          <cell r="CT68" t="str">
            <v>SAXWAX</v>
          </cell>
          <cell r="CU68">
            <v>1760970.2395833335</v>
          </cell>
          <cell r="CV68">
            <v>224136.88888888891</v>
          </cell>
        </row>
        <row r="69">
          <cell r="Q69">
            <v>6969006.8646153854</v>
          </cell>
          <cell r="W69" t="str">
            <v>MED</v>
          </cell>
          <cell r="X69">
            <v>1205822.45</v>
          </cell>
          <cell r="Y69">
            <v>384020</v>
          </cell>
          <cell r="Z69">
            <v>686311.5</v>
          </cell>
          <cell r="AB69" t="str">
            <v>MED</v>
          </cell>
          <cell r="AC69">
            <v>1033562.1</v>
          </cell>
          <cell r="AD69">
            <v>329160</v>
          </cell>
          <cell r="AE69">
            <v>588267</v>
          </cell>
          <cell r="AG69" t="str">
            <v>MED</v>
          </cell>
          <cell r="AH69">
            <v>1033562.1</v>
          </cell>
          <cell r="AI69">
            <v>329160</v>
          </cell>
          <cell r="AJ69">
            <v>588267</v>
          </cell>
          <cell r="AL69" t="str">
            <v>MED</v>
          </cell>
          <cell r="AM69">
            <v>1205822.45</v>
          </cell>
          <cell r="AN69">
            <v>384020</v>
          </cell>
          <cell r="AO69">
            <v>686311.5</v>
          </cell>
          <cell r="AQ69" t="str">
            <v>MED</v>
          </cell>
          <cell r="AR69">
            <v>1205822.45</v>
          </cell>
          <cell r="AS69">
            <v>384020</v>
          </cell>
          <cell r="AT69">
            <v>686311.5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BA69" t="str">
            <v>-</v>
          </cell>
          <cell r="BB69" t="str">
            <v>-</v>
          </cell>
          <cell r="BC69" t="str">
            <v>-</v>
          </cell>
          <cell r="BD69" t="str">
            <v>-</v>
          </cell>
          <cell r="BF69" t="str">
            <v>-</v>
          </cell>
          <cell r="BG69" t="str">
            <v>-</v>
          </cell>
          <cell r="BH69" t="str">
            <v>-</v>
          </cell>
          <cell r="BI69" t="str">
            <v>-</v>
          </cell>
          <cell r="BK69" t="str">
            <v>MED</v>
          </cell>
          <cell r="BL69">
            <v>1205822.45</v>
          </cell>
          <cell r="BM69">
            <v>384020</v>
          </cell>
          <cell r="BN69">
            <v>686311.5</v>
          </cell>
          <cell r="BP69" t="str">
            <v>MED</v>
          </cell>
          <cell r="BQ69">
            <v>1033562.1</v>
          </cell>
          <cell r="BR69">
            <v>329160</v>
          </cell>
          <cell r="BS69">
            <v>588267</v>
          </cell>
          <cell r="BU69" t="str">
            <v>MED</v>
          </cell>
          <cell r="BV69">
            <v>1033562.1</v>
          </cell>
          <cell r="BW69">
            <v>329160</v>
          </cell>
          <cell r="BX69">
            <v>588267</v>
          </cell>
          <cell r="BZ69" t="str">
            <v>MED</v>
          </cell>
          <cell r="CA69">
            <v>1205822.45</v>
          </cell>
          <cell r="CB69">
            <v>384020</v>
          </cell>
          <cell r="CC69">
            <v>686311.5</v>
          </cell>
          <cell r="CE69" t="str">
            <v>MED</v>
          </cell>
          <cell r="CF69">
            <v>1205822.45</v>
          </cell>
          <cell r="CG69">
            <v>384020</v>
          </cell>
          <cell r="CH69">
            <v>686311.5</v>
          </cell>
          <cell r="CJ69" t="str">
            <v>MED</v>
          </cell>
          <cell r="CK69">
            <v>1033562.1</v>
          </cell>
          <cell r="CL69">
            <v>329160</v>
          </cell>
          <cell r="CM69">
            <v>588267</v>
          </cell>
          <cell r="CO69" t="str">
            <v>MED</v>
          </cell>
          <cell r="CP69">
            <v>1033562.1</v>
          </cell>
          <cell r="CQ69">
            <v>329160</v>
          </cell>
          <cell r="CR69">
            <v>588267</v>
          </cell>
          <cell r="CT69" t="str">
            <v>MED</v>
          </cell>
          <cell r="CU69">
            <v>1205822.45</v>
          </cell>
          <cell r="CV69">
            <v>384020</v>
          </cell>
          <cell r="CW69">
            <v>686311.5</v>
          </cell>
        </row>
        <row r="74">
          <cell r="CE74" t="str">
            <v>EU4</v>
          </cell>
          <cell r="CF74">
            <v>1326269.4969999997</v>
          </cell>
          <cell r="CG74">
            <v>543494</v>
          </cell>
          <cell r="CH74">
            <v>898866.5</v>
          </cell>
          <cell r="CJ74" t="str">
            <v>EU4</v>
          </cell>
          <cell r="CK74">
            <v>1136802.4259999997</v>
          </cell>
          <cell r="CL74">
            <v>465852</v>
          </cell>
          <cell r="CM74">
            <v>770457</v>
          </cell>
          <cell r="CO74" t="str">
            <v>EU4</v>
          </cell>
          <cell r="CP74">
            <v>1136802.4259999997</v>
          </cell>
          <cell r="CQ74">
            <v>465852</v>
          </cell>
          <cell r="CR74">
            <v>770457</v>
          </cell>
          <cell r="CT74" t="str">
            <v>EU4</v>
          </cell>
          <cell r="CU74">
            <v>1326269.4969999997</v>
          </cell>
          <cell r="CV74">
            <v>543494</v>
          </cell>
          <cell r="CW74">
            <v>898866.5</v>
          </cell>
        </row>
        <row r="75">
          <cell r="CE75" t="str">
            <v>EU4</v>
          </cell>
          <cell r="CF75">
            <v>1326269.4969999997</v>
          </cell>
          <cell r="CG75">
            <v>543494</v>
          </cell>
          <cell r="CH75">
            <v>898866.5</v>
          </cell>
          <cell r="CJ75" t="str">
            <v>EU4</v>
          </cell>
          <cell r="CK75">
            <v>1136802.4259999997</v>
          </cell>
          <cell r="CL75">
            <v>465852</v>
          </cell>
          <cell r="CM75">
            <v>770457</v>
          </cell>
          <cell r="CO75" t="str">
            <v>EU4</v>
          </cell>
          <cell r="CP75">
            <v>1136802.4259999997</v>
          </cell>
          <cell r="CQ75">
            <v>465852</v>
          </cell>
          <cell r="CR75">
            <v>770457</v>
          </cell>
          <cell r="CT75" t="str">
            <v>EU4</v>
          </cell>
          <cell r="CU75">
            <v>1326269.4969999997</v>
          </cell>
          <cell r="CV75">
            <v>543494</v>
          </cell>
          <cell r="CW75">
            <v>898866.5</v>
          </cell>
        </row>
        <row r="76">
          <cell r="Q76">
            <v>4274872.5769230779</v>
          </cell>
          <cell r="W76" t="str">
            <v>APXTAS</v>
          </cell>
          <cell r="X76">
            <v>1270872.7919999997</v>
          </cell>
          <cell r="Y76">
            <v>442838.97368421045</v>
          </cell>
          <cell r="Z76">
            <v>330519</v>
          </cell>
          <cell r="AB76" t="str">
            <v>APXTAS</v>
          </cell>
          <cell r="AC76">
            <v>1089319.5359999996</v>
          </cell>
          <cell r="AD76">
            <v>379576.26315789466</v>
          </cell>
          <cell r="AE76">
            <v>283302</v>
          </cell>
          <cell r="AG76" t="str">
            <v>APXTAS</v>
          </cell>
          <cell r="AH76">
            <v>1089319.5359999996</v>
          </cell>
          <cell r="AI76">
            <v>379576.26315789466</v>
          </cell>
          <cell r="AJ76">
            <v>283302</v>
          </cell>
          <cell r="AL76" t="str">
            <v>APXTAS</v>
          </cell>
          <cell r="AM76">
            <v>1270872.7919999997</v>
          </cell>
          <cell r="AN76">
            <v>442838.97368421045</v>
          </cell>
          <cell r="AO76">
            <v>330519</v>
          </cell>
          <cell r="AQ76" t="str">
            <v>APXTAS</v>
          </cell>
          <cell r="AR76">
            <v>1270872.7919999997</v>
          </cell>
          <cell r="AS76">
            <v>442838.97368421045</v>
          </cell>
          <cell r="AT76">
            <v>330519</v>
          </cell>
          <cell r="AV76" t="str">
            <v>APXTAS</v>
          </cell>
          <cell r="AW76">
            <v>1089319.5359999996</v>
          </cell>
          <cell r="AX76">
            <v>379576.26315789466</v>
          </cell>
          <cell r="AY76">
            <v>283302</v>
          </cell>
          <cell r="BA76" t="str">
            <v>-</v>
          </cell>
          <cell r="BB76" t="str">
            <v>-</v>
          </cell>
          <cell r="BC76" t="str">
            <v>-</v>
          </cell>
          <cell r="BD76" t="str">
            <v>-</v>
          </cell>
          <cell r="BF76" t="str">
            <v>-</v>
          </cell>
          <cell r="BG76" t="str">
            <v>-</v>
          </cell>
          <cell r="BH76" t="str">
            <v>-</v>
          </cell>
          <cell r="BI76" t="str">
            <v>-</v>
          </cell>
          <cell r="BK76" t="str">
            <v>APXTAS</v>
          </cell>
          <cell r="BL76">
            <v>1270872.7919999997</v>
          </cell>
          <cell r="BM76">
            <v>442838.97368421045</v>
          </cell>
          <cell r="BN76">
            <v>330519</v>
          </cell>
          <cell r="BP76" t="str">
            <v>APXTAS</v>
          </cell>
          <cell r="BQ76">
            <v>1089319.5359999996</v>
          </cell>
          <cell r="BR76">
            <v>379576.26315789466</v>
          </cell>
          <cell r="BS76">
            <v>283302</v>
          </cell>
          <cell r="BU76" t="str">
            <v>APXTAS</v>
          </cell>
          <cell r="BV76">
            <v>1089319.5359999996</v>
          </cell>
          <cell r="BW76">
            <v>379576.26315789466</v>
          </cell>
          <cell r="BX76">
            <v>283302</v>
          </cell>
          <cell r="BZ76" t="str">
            <v>APXTAS</v>
          </cell>
          <cell r="CA76">
            <v>1270872.7919999997</v>
          </cell>
          <cell r="CB76">
            <v>442838.97368421045</v>
          </cell>
          <cell r="CC76">
            <v>330519</v>
          </cell>
          <cell r="CE76" t="str">
            <v>APXTAS</v>
          </cell>
          <cell r="CF76">
            <v>1270872.7919999997</v>
          </cell>
          <cell r="CG76">
            <v>442838.97368421045</v>
          </cell>
          <cell r="CH76">
            <v>330519</v>
          </cell>
          <cell r="CJ76" t="str">
            <v>APXTAS</v>
          </cell>
          <cell r="CK76">
            <v>1089319.5359999996</v>
          </cell>
          <cell r="CL76">
            <v>379576.26315789466</v>
          </cell>
          <cell r="CM76">
            <v>283302</v>
          </cell>
          <cell r="CO76" t="str">
            <v>APXTAS</v>
          </cell>
          <cell r="CP76">
            <v>1089319.5359999996</v>
          </cell>
          <cell r="CQ76">
            <v>379576.26315789466</v>
          </cell>
          <cell r="CR76">
            <v>283302</v>
          </cell>
          <cell r="CT76" t="str">
            <v>APXTAS</v>
          </cell>
          <cell r="CU76">
            <v>1270872.7919999997</v>
          </cell>
          <cell r="CV76">
            <v>442838.97368421045</v>
          </cell>
          <cell r="CW76">
            <v>330519</v>
          </cell>
        </row>
        <row r="77">
          <cell r="Q77">
            <v>6874684.2123076925</v>
          </cell>
        </row>
        <row r="78">
          <cell r="Q78">
            <v>8463000</v>
          </cell>
          <cell r="W78" t="str">
            <v>MAX</v>
          </cell>
          <cell r="X78">
            <v>1060768.3333333335</v>
          </cell>
          <cell r="Y78">
            <v>378389.66666666674</v>
          </cell>
          <cell r="Z78">
            <v>0</v>
          </cell>
          <cell r="AB78" t="str">
            <v>MAX</v>
          </cell>
          <cell r="AC78">
            <v>909230.00000000012</v>
          </cell>
          <cell r="AD78">
            <v>324334.00000000006</v>
          </cell>
          <cell r="AE78">
            <v>0</v>
          </cell>
          <cell r="AG78" t="str">
            <v>MAX</v>
          </cell>
          <cell r="AH78">
            <v>909230.00000000012</v>
          </cell>
          <cell r="AI78">
            <v>324334.00000000006</v>
          </cell>
          <cell r="AJ78">
            <v>0</v>
          </cell>
          <cell r="AL78" t="str">
            <v>MAX</v>
          </cell>
          <cell r="AM78">
            <v>1060768.3333333335</v>
          </cell>
          <cell r="AN78">
            <v>378389.66666666674</v>
          </cell>
          <cell r="AO78">
            <v>0</v>
          </cell>
          <cell r="AQ78" t="str">
            <v>MAX</v>
          </cell>
          <cell r="AR78">
            <v>1060768.3333333335</v>
          </cell>
          <cell r="AS78">
            <v>378389.66666666674</v>
          </cell>
          <cell r="AT78">
            <v>0</v>
          </cell>
          <cell r="AV78" t="str">
            <v>MAX</v>
          </cell>
          <cell r="AW78">
            <v>909230.00000000012</v>
          </cell>
          <cell r="AX78">
            <v>324334.00000000006</v>
          </cell>
          <cell r="AY78">
            <v>0</v>
          </cell>
          <cell r="BA78" t="str">
            <v>MAX</v>
          </cell>
          <cell r="BB78">
            <v>909230.00000000012</v>
          </cell>
          <cell r="BC78">
            <v>324334.00000000006</v>
          </cell>
          <cell r="BD78">
            <v>0</v>
          </cell>
          <cell r="BF78" t="str">
            <v>MAX</v>
          </cell>
          <cell r="BG78">
            <v>1060768.3333333335</v>
          </cell>
          <cell r="BH78">
            <v>378389.66666666674</v>
          </cell>
          <cell r="BI78">
            <v>0</v>
          </cell>
          <cell r="BK78" t="str">
            <v>MAX</v>
          </cell>
          <cell r="BL78">
            <v>1060768.3333333335</v>
          </cell>
          <cell r="BM78">
            <v>378389.66666666674</v>
          </cell>
          <cell r="BN78">
            <v>0</v>
          </cell>
          <cell r="BP78" t="str">
            <v>MAX</v>
          </cell>
          <cell r="BQ78">
            <v>909230.00000000012</v>
          </cell>
          <cell r="BR78">
            <v>324334.00000000006</v>
          </cell>
          <cell r="BS78">
            <v>0</v>
          </cell>
          <cell r="BU78" t="str">
            <v>MAX</v>
          </cell>
          <cell r="BV78">
            <v>909230.00000000012</v>
          </cell>
          <cell r="BW78">
            <v>324334.00000000006</v>
          </cell>
          <cell r="BX78">
            <v>0</v>
          </cell>
          <cell r="BZ78" t="str">
            <v>MAX</v>
          </cell>
          <cell r="CA78">
            <v>1060768.3333333335</v>
          </cell>
          <cell r="CB78">
            <v>378389.66666666674</v>
          </cell>
          <cell r="CC78">
            <v>0</v>
          </cell>
          <cell r="CE78" t="str">
            <v>MAX</v>
          </cell>
          <cell r="CF78">
            <v>1060768.3333333335</v>
          </cell>
          <cell r="CG78">
            <v>378389.66666666674</v>
          </cell>
          <cell r="CH78">
            <v>0</v>
          </cell>
          <cell r="CJ78" t="str">
            <v>MAX</v>
          </cell>
          <cell r="CK78">
            <v>909230.00000000012</v>
          </cell>
          <cell r="CL78">
            <v>324334.00000000006</v>
          </cell>
          <cell r="CM78">
            <v>0</v>
          </cell>
          <cell r="CO78" t="str">
            <v>MAX</v>
          </cell>
          <cell r="CP78">
            <v>909230.00000000012</v>
          </cell>
          <cell r="CQ78">
            <v>324334.00000000006</v>
          </cell>
          <cell r="CR78">
            <v>0</v>
          </cell>
          <cell r="CT78" t="str">
            <v>MAX</v>
          </cell>
          <cell r="CU78">
            <v>1060768.3333333335</v>
          </cell>
          <cell r="CV78">
            <v>378389.66666666674</v>
          </cell>
          <cell r="CW78">
            <v>0</v>
          </cell>
        </row>
        <row r="79">
          <cell r="Q79">
            <v>7452900</v>
          </cell>
          <cell r="W79" t="str">
            <v>MAX</v>
          </cell>
          <cell r="X79">
            <v>1060768.3333333335</v>
          </cell>
          <cell r="Y79">
            <v>378389.66666666674</v>
          </cell>
          <cell r="Z79">
            <v>0</v>
          </cell>
          <cell r="AB79" t="str">
            <v>MAX</v>
          </cell>
          <cell r="AC79">
            <v>909230.00000000012</v>
          </cell>
          <cell r="AD79">
            <v>324334.00000000006</v>
          </cell>
          <cell r="AE79">
            <v>0</v>
          </cell>
          <cell r="AG79" t="str">
            <v>MAX</v>
          </cell>
          <cell r="AH79">
            <v>909230.00000000012</v>
          </cell>
          <cell r="AI79">
            <v>324334.00000000006</v>
          </cell>
          <cell r="AJ79">
            <v>0</v>
          </cell>
          <cell r="AL79" t="str">
            <v>MAX</v>
          </cell>
          <cell r="AM79">
            <v>1060768.3333333335</v>
          </cell>
          <cell r="AN79">
            <v>378389.66666666674</v>
          </cell>
          <cell r="AO79">
            <v>0</v>
          </cell>
          <cell r="AQ79" t="str">
            <v>MAX</v>
          </cell>
          <cell r="AR79">
            <v>1060768.3333333335</v>
          </cell>
          <cell r="AS79">
            <v>378389.66666666674</v>
          </cell>
          <cell r="AT79">
            <v>0</v>
          </cell>
          <cell r="AV79" t="str">
            <v>MAX</v>
          </cell>
          <cell r="AW79">
            <v>909230.00000000012</v>
          </cell>
          <cell r="AX79">
            <v>324334.00000000006</v>
          </cell>
          <cell r="AY79">
            <v>0</v>
          </cell>
          <cell r="BA79" t="str">
            <v>MAX</v>
          </cell>
          <cell r="BB79">
            <v>909230.00000000012</v>
          </cell>
          <cell r="BC79">
            <v>324334.00000000006</v>
          </cell>
          <cell r="BD79">
            <v>0</v>
          </cell>
          <cell r="BF79" t="str">
            <v>MAX</v>
          </cell>
          <cell r="BG79">
            <v>1060768.3333333335</v>
          </cell>
          <cell r="BH79">
            <v>378389.66666666674</v>
          </cell>
          <cell r="BI79">
            <v>0</v>
          </cell>
          <cell r="BK79" t="str">
            <v>MAX</v>
          </cell>
          <cell r="BL79">
            <v>1060768.3333333335</v>
          </cell>
          <cell r="BM79">
            <v>378389.66666666674</v>
          </cell>
          <cell r="BN79">
            <v>0</v>
          </cell>
          <cell r="BP79" t="str">
            <v>MAX</v>
          </cell>
          <cell r="BQ79">
            <v>909230.00000000012</v>
          </cell>
          <cell r="BR79">
            <v>324334.00000000006</v>
          </cell>
          <cell r="BS79">
            <v>0</v>
          </cell>
          <cell r="BU79" t="str">
            <v>MAX</v>
          </cell>
          <cell r="BV79">
            <v>909230.00000000012</v>
          </cell>
          <cell r="BW79">
            <v>324334.00000000006</v>
          </cell>
          <cell r="BX79">
            <v>0</v>
          </cell>
          <cell r="BZ79" t="str">
            <v>MAX</v>
          </cell>
          <cell r="CA79">
            <v>1060768.3333333335</v>
          </cell>
          <cell r="CB79">
            <v>378389.66666666674</v>
          </cell>
          <cell r="CC79">
            <v>0</v>
          </cell>
          <cell r="CE79" t="str">
            <v>MAX</v>
          </cell>
          <cell r="CF79">
            <v>1060768.3333333335</v>
          </cell>
          <cell r="CG79">
            <v>378389.66666666674</v>
          </cell>
          <cell r="CH79">
            <v>0</v>
          </cell>
          <cell r="CJ79" t="str">
            <v>MAX</v>
          </cell>
          <cell r="CK79">
            <v>909230.00000000012</v>
          </cell>
          <cell r="CL79">
            <v>324334.00000000006</v>
          </cell>
          <cell r="CM79">
            <v>0</v>
          </cell>
          <cell r="CO79" t="str">
            <v>MAX</v>
          </cell>
          <cell r="CP79">
            <v>909230.00000000012</v>
          </cell>
          <cell r="CQ79">
            <v>324334.00000000006</v>
          </cell>
          <cell r="CR79">
            <v>0</v>
          </cell>
          <cell r="CT79" t="str">
            <v>MAX</v>
          </cell>
          <cell r="CU79">
            <v>1060768.3333333335</v>
          </cell>
          <cell r="CV79">
            <v>378389.66666666674</v>
          </cell>
          <cell r="CW79">
            <v>0</v>
          </cell>
        </row>
        <row r="80">
          <cell r="Q80">
            <v>0</v>
          </cell>
        </row>
        <row r="81">
          <cell r="Q81">
            <v>484167.62595985585</v>
          </cell>
          <cell r="S81">
            <v>206442.7509116508</v>
          </cell>
          <cell r="T81">
            <v>55855.607189473689</v>
          </cell>
          <cell r="U81">
            <v>35506.432000000001</v>
          </cell>
          <cell r="X81">
            <v>60672.105488393187</v>
          </cell>
          <cell r="Y81">
            <v>17379.150317543859</v>
          </cell>
          <cell r="Z81">
            <v>12557.983666666669</v>
          </cell>
          <cell r="AB81">
            <v>0</v>
          </cell>
          <cell r="AC81">
            <v>54238.129505987818</v>
          </cell>
          <cell r="AD81">
            <v>15457.922821052631</v>
          </cell>
          <cell r="AE81">
            <v>10625.374</v>
          </cell>
          <cell r="AG81">
            <v>0</v>
          </cell>
          <cell r="AH81">
            <v>58005.280073051625</v>
          </cell>
          <cell r="AI81">
            <v>15130.481384210527</v>
          </cell>
          <cell r="AJ81">
            <v>12043.353999999999</v>
          </cell>
          <cell r="AL81">
            <v>0</v>
          </cell>
          <cell r="AM81">
            <v>67672.826751893575</v>
          </cell>
          <cell r="AN81">
            <v>17652.228281578955</v>
          </cell>
          <cell r="AO81">
            <v>14050.579666666667</v>
          </cell>
          <cell r="AQ81">
            <v>0</v>
          </cell>
          <cell r="AR81">
            <v>65160.418810277173</v>
          </cell>
          <cell r="AS81">
            <v>19019.785478237645</v>
          </cell>
          <cell r="AT81">
            <v>11240.829833333333</v>
          </cell>
          <cell r="AV81">
            <v>0</v>
          </cell>
          <cell r="AW81">
            <v>52780.794734371011</v>
          </cell>
          <cell r="AX81">
            <v>15392.57877622693</v>
          </cell>
          <cell r="AY81">
            <v>8568.1620000000003</v>
          </cell>
          <cell r="BA81">
            <v>0</v>
          </cell>
          <cell r="BB81">
            <v>53110.778484850605</v>
          </cell>
          <cell r="BC81">
            <v>15485.199608296469</v>
          </cell>
          <cell r="BD81">
            <v>8652.4780714285716</v>
          </cell>
          <cell r="BF81">
            <v>0</v>
          </cell>
          <cell r="BG81">
            <v>62093.42901476616</v>
          </cell>
          <cell r="BH81">
            <v>17912.847775940994</v>
          </cell>
          <cell r="BI81">
            <v>9996.1890000000003</v>
          </cell>
          <cell r="BK81">
            <v>0</v>
          </cell>
          <cell r="BL81">
            <v>77738.609299350006</v>
          </cell>
          <cell r="BM81">
            <v>19258.906483375868</v>
          </cell>
          <cell r="BN81">
            <v>14633.493666666665</v>
          </cell>
          <cell r="BP81">
            <v>0</v>
          </cell>
          <cell r="BQ81">
            <v>66198.624702299974</v>
          </cell>
          <cell r="BR81">
            <v>16361.748842893598</v>
          </cell>
          <cell r="BS81">
            <v>12449.386</v>
          </cell>
          <cell r="BU81">
            <v>0</v>
          </cell>
          <cell r="BV81">
            <v>66198.624702299974</v>
          </cell>
          <cell r="BW81">
            <v>16361.748842893598</v>
          </cell>
          <cell r="BX81">
            <v>12449.386</v>
          </cell>
          <cell r="BZ81">
            <v>0</v>
          </cell>
          <cell r="CA81">
            <v>77231.728819350014</v>
          </cell>
          <cell r="CB81">
            <v>19088.706983375865</v>
          </cell>
          <cell r="CC81">
            <v>14524.283666666666</v>
          </cell>
          <cell r="CE81">
            <v>0</v>
          </cell>
          <cell r="CF81">
            <v>84897.289065516656</v>
          </cell>
          <cell r="CG81">
            <v>22081.761517543855</v>
          </cell>
          <cell r="CH81">
            <v>18850.377000000008</v>
          </cell>
          <cell r="CJ81">
            <v>0</v>
          </cell>
          <cell r="CK81">
            <v>72769.104913300005</v>
          </cell>
          <cell r="CL81">
            <v>18927.224157894736</v>
          </cell>
          <cell r="CM81">
            <v>16157.466</v>
          </cell>
          <cell r="CO81">
            <v>0</v>
          </cell>
          <cell r="CP81">
            <v>72769.104913300005</v>
          </cell>
          <cell r="CQ81">
            <v>18927.224157894736</v>
          </cell>
          <cell r="CR81">
            <v>16157.466</v>
          </cell>
          <cell r="CT81">
            <v>0</v>
          </cell>
          <cell r="CU81">
            <v>84897.289065516656</v>
          </cell>
          <cell r="CV81">
            <v>22081.761517543855</v>
          </cell>
          <cell r="CW81">
            <v>18850.377000000008</v>
          </cell>
        </row>
        <row r="83">
          <cell r="Q83" t="str">
            <v>PS1</v>
          </cell>
          <cell r="R83">
            <v>6</v>
          </cell>
          <cell r="W83">
            <v>6</v>
          </cell>
          <cell r="AB83">
            <v>6</v>
          </cell>
          <cell r="AG83">
            <v>6</v>
          </cell>
          <cell r="AL83">
            <v>6</v>
          </cell>
          <cell r="AQ83">
            <v>6</v>
          </cell>
          <cell r="AV83">
            <v>6</v>
          </cell>
          <cell r="BA83">
            <v>6</v>
          </cell>
          <cell r="BF83">
            <v>6</v>
          </cell>
          <cell r="BK83">
            <v>6</v>
          </cell>
          <cell r="BP83">
            <v>6</v>
          </cell>
          <cell r="BU83">
            <v>6</v>
          </cell>
          <cell r="BZ83">
            <v>6</v>
          </cell>
          <cell r="CE83">
            <v>6</v>
          </cell>
          <cell r="CJ83">
            <v>6</v>
          </cell>
          <cell r="CO83">
            <v>6</v>
          </cell>
          <cell r="CT83">
            <v>6</v>
          </cell>
        </row>
        <row r="84">
          <cell r="Q84" t="str">
            <v>PS2</v>
          </cell>
          <cell r="R84">
            <v>5</v>
          </cell>
          <cell r="W84">
            <v>5</v>
          </cell>
          <cell r="AB84">
            <v>5</v>
          </cell>
          <cell r="AG84">
            <v>5</v>
          </cell>
          <cell r="AL84">
            <v>5</v>
          </cell>
          <cell r="AQ84">
            <v>5</v>
          </cell>
          <cell r="AV84">
            <v>5</v>
          </cell>
          <cell r="BA84">
            <v>5</v>
          </cell>
          <cell r="BF84">
            <v>5</v>
          </cell>
          <cell r="BK84">
            <v>5</v>
          </cell>
          <cell r="BP84">
            <v>5</v>
          </cell>
          <cell r="BU84">
            <v>5</v>
          </cell>
          <cell r="BZ84">
            <v>5</v>
          </cell>
          <cell r="CE84">
            <v>5</v>
          </cell>
          <cell r="CJ84">
            <v>5</v>
          </cell>
          <cell r="CO84">
            <v>5</v>
          </cell>
          <cell r="CT84">
            <v>5</v>
          </cell>
        </row>
        <row r="85">
          <cell r="Q85" t="str">
            <v>GCX</v>
          </cell>
          <cell r="R85">
            <v>5</v>
          </cell>
          <cell r="W85">
            <v>5</v>
          </cell>
          <cell r="AB85">
            <v>5</v>
          </cell>
          <cell r="AG85">
            <v>5</v>
          </cell>
          <cell r="AL85">
            <v>5</v>
          </cell>
          <cell r="AQ85">
            <v>5</v>
          </cell>
          <cell r="AV85">
            <v>5</v>
          </cell>
          <cell r="BA85">
            <v>5</v>
          </cell>
          <cell r="BF85">
            <v>5</v>
          </cell>
          <cell r="BK85">
            <v>5</v>
          </cell>
          <cell r="BP85">
            <v>5</v>
          </cell>
          <cell r="BU85">
            <v>5</v>
          </cell>
          <cell r="BZ85">
            <v>5</v>
          </cell>
          <cell r="CE85">
            <v>5</v>
          </cell>
          <cell r="CJ85">
            <v>5</v>
          </cell>
          <cell r="CO85">
            <v>5</v>
          </cell>
          <cell r="CT85">
            <v>5</v>
          </cell>
        </row>
        <row r="86">
          <cell r="Q86" t="str">
            <v>SAX</v>
          </cell>
          <cell r="R86">
            <v>6</v>
          </cell>
          <cell r="W86">
            <v>6</v>
          </cell>
          <cell r="AB86">
            <v>6</v>
          </cell>
          <cell r="AG86">
            <v>0</v>
          </cell>
          <cell r="AL86">
            <v>0</v>
          </cell>
          <cell r="AQ86">
            <v>6</v>
          </cell>
          <cell r="AV86">
            <v>6</v>
          </cell>
          <cell r="BA86">
            <v>6</v>
          </cell>
          <cell r="BF86">
            <v>6</v>
          </cell>
          <cell r="BK86">
            <v>0</v>
          </cell>
          <cell r="BP86">
            <v>0</v>
          </cell>
          <cell r="BU86">
            <v>0</v>
          </cell>
          <cell r="BZ86">
            <v>0</v>
          </cell>
          <cell r="CE86">
            <v>0</v>
          </cell>
          <cell r="CJ86">
            <v>0</v>
          </cell>
          <cell r="CO86">
            <v>0</v>
          </cell>
          <cell r="CT86">
            <v>0</v>
          </cell>
        </row>
        <row r="87">
          <cell r="Q87" t="str">
            <v>JEX</v>
          </cell>
          <cell r="R87">
            <v>3</v>
          </cell>
          <cell r="W87">
            <v>3</v>
          </cell>
          <cell r="AB87">
            <v>2</v>
          </cell>
          <cell r="AG87">
            <v>0</v>
          </cell>
          <cell r="AL87">
            <v>0</v>
          </cell>
          <cell r="AQ87">
            <v>0</v>
          </cell>
          <cell r="AV87">
            <v>0</v>
          </cell>
          <cell r="BA87">
            <v>0</v>
          </cell>
          <cell r="BF87">
            <v>0</v>
          </cell>
          <cell r="BK87">
            <v>0</v>
          </cell>
          <cell r="BP87">
            <v>0</v>
          </cell>
          <cell r="BU87">
            <v>0</v>
          </cell>
          <cell r="BZ87">
            <v>0</v>
          </cell>
          <cell r="CE87">
            <v>0</v>
          </cell>
          <cell r="CJ87">
            <v>0</v>
          </cell>
          <cell r="CO87">
            <v>0</v>
          </cell>
          <cell r="CT87">
            <v>0</v>
          </cell>
        </row>
        <row r="88">
          <cell r="Q88" t="str">
            <v>JEXP</v>
          </cell>
          <cell r="R88">
            <v>0</v>
          </cell>
          <cell r="W88">
            <v>0</v>
          </cell>
          <cell r="AB88">
            <v>0</v>
          </cell>
          <cell r="AG88">
            <v>0</v>
          </cell>
          <cell r="AL88">
            <v>0</v>
          </cell>
          <cell r="AQ88">
            <v>0</v>
          </cell>
          <cell r="AV88">
            <v>0</v>
          </cell>
          <cell r="BA88">
            <v>0</v>
          </cell>
          <cell r="BF88">
            <v>0</v>
          </cell>
          <cell r="BK88">
            <v>0</v>
          </cell>
          <cell r="BP88">
            <v>0</v>
          </cell>
          <cell r="BU88">
            <v>0</v>
          </cell>
          <cell r="BZ88">
            <v>0</v>
          </cell>
          <cell r="CE88">
            <v>12</v>
          </cell>
          <cell r="CJ88">
            <v>12</v>
          </cell>
          <cell r="CO88">
            <v>12</v>
          </cell>
          <cell r="CT88">
            <v>12</v>
          </cell>
        </row>
        <row r="89">
          <cell r="Q89" t="str">
            <v>AEX</v>
          </cell>
          <cell r="R89">
            <v>3</v>
          </cell>
          <cell r="W89">
            <v>3</v>
          </cell>
          <cell r="AB89">
            <v>0</v>
          </cell>
          <cell r="AG89">
            <v>0</v>
          </cell>
          <cell r="AL89">
            <v>0</v>
          </cell>
          <cell r="AQ89">
            <v>0</v>
          </cell>
          <cell r="AV89">
            <v>0</v>
          </cell>
          <cell r="BA89">
            <v>0</v>
          </cell>
          <cell r="BF89">
            <v>0</v>
          </cell>
          <cell r="BK89">
            <v>0</v>
          </cell>
          <cell r="BP89">
            <v>0</v>
          </cell>
          <cell r="BU89">
            <v>0</v>
          </cell>
          <cell r="BZ89">
            <v>0</v>
          </cell>
          <cell r="CE89">
            <v>0</v>
          </cell>
          <cell r="CJ89">
            <v>0</v>
          </cell>
          <cell r="CO89">
            <v>0</v>
          </cell>
          <cell r="CT89">
            <v>0</v>
          </cell>
        </row>
        <row r="90">
          <cell r="Q90" t="str">
            <v>CEX</v>
          </cell>
          <cell r="R90">
            <v>2</v>
          </cell>
          <cell r="W90">
            <v>4</v>
          </cell>
          <cell r="AB90">
            <v>6</v>
          </cell>
          <cell r="AG90">
            <v>0</v>
          </cell>
          <cell r="AL90">
            <v>0</v>
          </cell>
          <cell r="AQ90">
            <v>8</v>
          </cell>
          <cell r="AV90">
            <v>8</v>
          </cell>
          <cell r="BA90">
            <v>9</v>
          </cell>
          <cell r="BF90">
            <v>8</v>
          </cell>
          <cell r="BK90">
            <v>0</v>
          </cell>
          <cell r="BP90">
            <v>0</v>
          </cell>
          <cell r="BU90">
            <v>0</v>
          </cell>
          <cell r="BZ90">
            <v>0</v>
          </cell>
          <cell r="CE90">
            <v>0</v>
          </cell>
          <cell r="CJ90">
            <v>0</v>
          </cell>
          <cell r="CO90">
            <v>0</v>
          </cell>
          <cell r="CT90">
            <v>0</v>
          </cell>
        </row>
        <row r="91">
          <cell r="Q91" t="str">
            <v>EU4</v>
          </cell>
          <cell r="R91">
            <v>0</v>
          </cell>
          <cell r="W91">
            <v>0</v>
          </cell>
          <cell r="AB91">
            <v>2</v>
          </cell>
          <cell r="AG91">
            <v>3</v>
          </cell>
          <cell r="AL91">
            <v>3</v>
          </cell>
          <cell r="AQ91">
            <v>0</v>
          </cell>
          <cell r="AV91">
            <v>0</v>
          </cell>
          <cell r="BA91">
            <v>0</v>
          </cell>
          <cell r="BF91">
            <v>0</v>
          </cell>
          <cell r="BK91">
            <v>4</v>
          </cell>
          <cell r="BP91">
            <v>4</v>
          </cell>
          <cell r="BU91">
            <v>4</v>
          </cell>
          <cell r="BZ91">
            <v>4</v>
          </cell>
          <cell r="CE91">
            <v>8</v>
          </cell>
          <cell r="CJ91">
            <v>8</v>
          </cell>
          <cell r="CO91">
            <v>8</v>
          </cell>
          <cell r="CT91">
            <v>8</v>
          </cell>
        </row>
        <row r="92">
          <cell r="Q92" t="str">
            <v>MED</v>
          </cell>
          <cell r="R92">
            <v>2</v>
          </cell>
          <cell r="W92">
            <v>2</v>
          </cell>
          <cell r="AB92">
            <v>2</v>
          </cell>
          <cell r="AG92">
            <v>2</v>
          </cell>
          <cell r="AL92">
            <v>2</v>
          </cell>
          <cell r="AQ92">
            <v>2</v>
          </cell>
          <cell r="AV92">
            <v>0</v>
          </cell>
          <cell r="BA92">
            <v>0</v>
          </cell>
          <cell r="BF92">
            <v>0</v>
          </cell>
          <cell r="BK92">
            <v>2</v>
          </cell>
          <cell r="BP92">
            <v>2</v>
          </cell>
          <cell r="BU92">
            <v>2</v>
          </cell>
          <cell r="BZ92">
            <v>2</v>
          </cell>
          <cell r="CE92">
            <v>2</v>
          </cell>
          <cell r="CJ92">
            <v>2</v>
          </cell>
          <cell r="CO92">
            <v>2</v>
          </cell>
          <cell r="CT92">
            <v>2</v>
          </cell>
        </row>
        <row r="93">
          <cell r="Q93" t="str">
            <v>APXTAS</v>
          </cell>
          <cell r="R93">
            <v>3</v>
          </cell>
          <cell r="W93">
            <v>4</v>
          </cell>
          <cell r="AB93">
            <v>5</v>
          </cell>
          <cell r="AG93">
            <v>6</v>
          </cell>
          <cell r="AL93">
            <v>6</v>
          </cell>
          <cell r="AQ93">
            <v>6</v>
          </cell>
          <cell r="AV93">
            <v>6</v>
          </cell>
          <cell r="BA93">
            <v>6</v>
          </cell>
          <cell r="BF93">
            <v>6</v>
          </cell>
          <cell r="BK93">
            <v>7</v>
          </cell>
          <cell r="BP93">
            <v>6</v>
          </cell>
          <cell r="BU93">
            <v>6</v>
          </cell>
          <cell r="BZ93">
            <v>6</v>
          </cell>
          <cell r="CE93">
            <v>4</v>
          </cell>
          <cell r="CJ93">
            <v>4</v>
          </cell>
          <cell r="CO93">
            <v>4</v>
          </cell>
          <cell r="CT93">
            <v>4</v>
          </cell>
        </row>
        <row r="94">
          <cell r="Q94" t="str">
            <v>WAX</v>
          </cell>
          <cell r="R94">
            <v>4</v>
          </cell>
          <cell r="W94">
            <v>4</v>
          </cell>
          <cell r="AB94">
            <v>4</v>
          </cell>
          <cell r="AG94">
            <v>4</v>
          </cell>
          <cell r="AL94">
            <v>4</v>
          </cell>
          <cell r="AQ94">
            <v>5</v>
          </cell>
          <cell r="AV94">
            <v>5</v>
          </cell>
          <cell r="BA94">
            <v>5</v>
          </cell>
          <cell r="BF94">
            <v>5</v>
          </cell>
          <cell r="BK94">
            <v>0</v>
          </cell>
          <cell r="BP94">
            <v>0</v>
          </cell>
          <cell r="BU94">
            <v>0</v>
          </cell>
          <cell r="BZ94">
            <v>0</v>
          </cell>
          <cell r="CE94">
            <v>0</v>
          </cell>
          <cell r="CJ94">
            <v>0</v>
          </cell>
          <cell r="CO94">
            <v>0</v>
          </cell>
          <cell r="CT94">
            <v>0</v>
          </cell>
        </row>
        <row r="95">
          <cell r="Q95" t="str">
            <v>SAXWAX</v>
          </cell>
          <cell r="R95">
            <v>0</v>
          </cell>
          <cell r="W95">
            <v>0</v>
          </cell>
          <cell r="AB95">
            <v>0</v>
          </cell>
          <cell r="AG95">
            <v>0</v>
          </cell>
          <cell r="AL95">
            <v>0</v>
          </cell>
          <cell r="AQ95">
            <v>0</v>
          </cell>
          <cell r="AV95">
            <v>0</v>
          </cell>
          <cell r="BA95">
            <v>0</v>
          </cell>
          <cell r="BF95">
            <v>0</v>
          </cell>
          <cell r="BK95">
            <v>0</v>
          </cell>
          <cell r="BP95">
            <v>0</v>
          </cell>
          <cell r="BU95">
            <v>0</v>
          </cell>
          <cell r="BZ95">
            <v>0</v>
          </cell>
          <cell r="CE95">
            <v>9</v>
          </cell>
          <cell r="CJ95">
            <v>9</v>
          </cell>
          <cell r="CO95">
            <v>9</v>
          </cell>
          <cell r="CT95">
            <v>9</v>
          </cell>
        </row>
        <row r="96">
          <cell r="Q96" t="str">
            <v>PNXWAX</v>
          </cell>
          <cell r="R96">
            <v>0</v>
          </cell>
          <cell r="W96">
            <v>0</v>
          </cell>
          <cell r="AB96">
            <v>0</v>
          </cell>
          <cell r="AG96">
            <v>0</v>
          </cell>
          <cell r="AL96">
            <v>0</v>
          </cell>
          <cell r="AQ96">
            <v>0</v>
          </cell>
          <cell r="AV96">
            <v>0</v>
          </cell>
          <cell r="BA96">
            <v>0</v>
          </cell>
          <cell r="BF96">
            <v>0</v>
          </cell>
          <cell r="BK96">
            <v>7</v>
          </cell>
          <cell r="BP96">
            <v>7</v>
          </cell>
          <cell r="BU96">
            <v>7</v>
          </cell>
          <cell r="BZ96">
            <v>7</v>
          </cell>
          <cell r="CE96">
            <v>0</v>
          </cell>
          <cell r="CJ96">
            <v>0</v>
          </cell>
          <cell r="CO96">
            <v>0</v>
          </cell>
          <cell r="CT96">
            <v>0</v>
          </cell>
        </row>
        <row r="97">
          <cell r="Q97" t="str">
            <v>PNX</v>
          </cell>
          <cell r="R97">
            <v>0</v>
          </cell>
          <cell r="W97">
            <v>0</v>
          </cell>
          <cell r="AB97">
            <v>0</v>
          </cell>
          <cell r="AG97">
            <v>0</v>
          </cell>
          <cell r="AL97">
            <v>0</v>
          </cell>
          <cell r="AQ97">
            <v>0</v>
          </cell>
          <cell r="AV97">
            <v>0</v>
          </cell>
          <cell r="BA97">
            <v>0</v>
          </cell>
          <cell r="BF97">
            <v>0</v>
          </cell>
          <cell r="BK97">
            <v>0</v>
          </cell>
          <cell r="BP97">
            <v>0</v>
          </cell>
          <cell r="BU97">
            <v>0</v>
          </cell>
          <cell r="BZ97">
            <v>0</v>
          </cell>
          <cell r="CE97">
            <v>0</v>
          </cell>
          <cell r="CJ97">
            <v>0</v>
          </cell>
          <cell r="CO97">
            <v>0</v>
          </cell>
          <cell r="CT97">
            <v>0</v>
          </cell>
        </row>
        <row r="98">
          <cell r="Q98" t="str">
            <v>PSV</v>
          </cell>
          <cell r="AQ98">
            <v>0</v>
          </cell>
          <cell r="AV98">
            <v>0</v>
          </cell>
          <cell r="BA98">
            <v>0</v>
          </cell>
          <cell r="BF98">
            <v>0</v>
          </cell>
        </row>
        <row r="99">
          <cell r="Q99" t="str">
            <v>SUZ</v>
          </cell>
          <cell r="R99">
            <v>0</v>
          </cell>
          <cell r="W99">
            <v>0</v>
          </cell>
          <cell r="AB99">
            <v>0</v>
          </cell>
          <cell r="AG99">
            <v>0</v>
          </cell>
          <cell r="AL99">
            <v>0</v>
          </cell>
          <cell r="AQ99">
            <v>0</v>
          </cell>
          <cell r="AV99">
            <v>0</v>
          </cell>
          <cell r="BA99">
            <v>0</v>
          </cell>
          <cell r="BF99">
            <v>0</v>
          </cell>
          <cell r="BK99">
            <v>0</v>
          </cell>
          <cell r="BP99">
            <v>0</v>
          </cell>
          <cell r="BU99">
            <v>0</v>
          </cell>
          <cell r="BZ99">
            <v>0</v>
          </cell>
          <cell r="CE99">
            <v>0</v>
          </cell>
          <cell r="CJ99">
            <v>0</v>
          </cell>
          <cell r="CO99">
            <v>0</v>
          </cell>
          <cell r="CT99">
            <v>0</v>
          </cell>
        </row>
        <row r="100">
          <cell r="Q100" t="str">
            <v>MAX</v>
          </cell>
          <cell r="R100">
            <v>0</v>
          </cell>
          <cell r="W100">
            <v>2</v>
          </cell>
          <cell r="AB100">
            <v>2</v>
          </cell>
          <cell r="AG100">
            <v>2</v>
          </cell>
          <cell r="AL100">
            <v>2</v>
          </cell>
          <cell r="AQ100">
            <v>2</v>
          </cell>
          <cell r="AV100">
            <v>2</v>
          </cell>
          <cell r="BA100">
            <v>2</v>
          </cell>
          <cell r="BF100">
            <v>2</v>
          </cell>
          <cell r="BK100">
            <v>2</v>
          </cell>
          <cell r="BP100">
            <v>2</v>
          </cell>
          <cell r="BU100">
            <v>2</v>
          </cell>
          <cell r="BZ100">
            <v>2</v>
          </cell>
          <cell r="CE100">
            <v>2</v>
          </cell>
          <cell r="CJ100">
            <v>2</v>
          </cell>
          <cell r="CO100">
            <v>2</v>
          </cell>
          <cell r="CT100">
            <v>2</v>
          </cell>
        </row>
        <row r="101">
          <cell r="Q101" t="str">
            <v>CEXSAX</v>
          </cell>
          <cell r="R101">
            <v>0</v>
          </cell>
          <cell r="W101">
            <v>0</v>
          </cell>
          <cell r="AB101">
            <v>0</v>
          </cell>
          <cell r="AG101">
            <v>12</v>
          </cell>
          <cell r="AL101">
            <v>12</v>
          </cell>
          <cell r="AQ101">
            <v>0</v>
          </cell>
          <cell r="AV101">
            <v>0</v>
          </cell>
          <cell r="BA101">
            <v>0</v>
          </cell>
          <cell r="BF101">
            <v>0</v>
          </cell>
          <cell r="BK101">
            <v>12</v>
          </cell>
          <cell r="BP101">
            <v>12</v>
          </cell>
          <cell r="BU101">
            <v>12</v>
          </cell>
          <cell r="BZ101">
            <v>12</v>
          </cell>
          <cell r="CE101">
            <v>0</v>
          </cell>
          <cell r="CJ101">
            <v>0</v>
          </cell>
          <cell r="CO101">
            <v>0</v>
          </cell>
          <cell r="CT101">
            <v>0</v>
          </cell>
        </row>
        <row r="102">
          <cell r="R102">
            <v>39</v>
          </cell>
          <cell r="W102">
            <v>44</v>
          </cell>
          <cell r="AB102">
            <v>45</v>
          </cell>
          <cell r="AG102">
            <v>45</v>
          </cell>
          <cell r="AL102">
            <v>45</v>
          </cell>
          <cell r="AQ102">
            <v>45</v>
          </cell>
          <cell r="AV102">
            <v>43</v>
          </cell>
          <cell r="BA102">
            <v>44</v>
          </cell>
          <cell r="BF102">
            <v>43</v>
          </cell>
          <cell r="BG102" t="str">
            <v>1 x TC off-hire</v>
          </cell>
          <cell r="BK102">
            <v>50</v>
          </cell>
          <cell r="BP102">
            <v>49</v>
          </cell>
          <cell r="BU102">
            <v>49</v>
          </cell>
          <cell r="BZ102">
            <v>49</v>
          </cell>
          <cell r="CE102">
            <v>53</v>
          </cell>
          <cell r="CJ102">
            <v>53</v>
          </cell>
          <cell r="CO102">
            <v>53</v>
          </cell>
          <cell r="CT102">
            <v>53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">
          <cell r="P3" t="str">
            <v>MOL</v>
          </cell>
        </row>
        <row r="4">
          <cell r="P4" t="str">
            <v>APL</v>
          </cell>
        </row>
        <row r="5">
          <cell r="P5" t="str">
            <v>APL</v>
          </cell>
        </row>
        <row r="7">
          <cell r="P7" t="str">
            <v>HMM</v>
          </cell>
        </row>
        <row r="8">
          <cell r="P8" t="str">
            <v>HMM</v>
          </cell>
        </row>
        <row r="9">
          <cell r="P9" t="str">
            <v>APL</v>
          </cell>
        </row>
        <row r="11">
          <cell r="P11" t="str">
            <v>HMM</v>
          </cell>
        </row>
        <row r="12">
          <cell r="P12" t="str">
            <v>APL</v>
          </cell>
        </row>
        <row r="13">
          <cell r="P13" t="str">
            <v>APL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</sheetNames>
    <sheetDataSet>
      <sheetData sheetId="0" refreshError="1"/>
      <sheetData sheetId="1" refreshError="1">
        <row r="4">
          <cell r="A4" t="str">
            <v>1. ROTATION</v>
          </cell>
          <cell r="C4" t="str">
            <v>BSN-KOB-NGO-YOK-KHT/KAO-HKG-SIN-PKE-JED-PSD-GEN-BCN-FOS-PSD-JED-SIN-HKG-BSN</v>
          </cell>
        </row>
        <row r="5">
          <cell r="B5" t="str">
            <v>특  징</v>
          </cell>
          <cell r="C5" t="str">
            <v>HMM 용선선 6 vessel (2,344T)</v>
          </cell>
        </row>
        <row r="6">
          <cell r="A6" t="str">
            <v>2. FLEET</v>
          </cell>
          <cell r="C6" t="str">
            <v>HMM 용선선 6 vessel (2,344T)</v>
          </cell>
        </row>
        <row r="7">
          <cell r="A7" t="str">
            <v>3. SCHEME</v>
          </cell>
        </row>
        <row r="8">
          <cell r="A8" t="str">
            <v xml:space="preserve">  - S/DIST</v>
          </cell>
          <cell r="D8">
            <v>20232</v>
          </cell>
          <cell r="E8" t="str">
            <v>MILES</v>
          </cell>
        </row>
        <row r="9">
          <cell r="A9" t="str">
            <v xml:space="preserve">  - R/VOY</v>
          </cell>
          <cell r="D9">
            <v>1344</v>
          </cell>
          <cell r="E9" t="str">
            <v>HRS</v>
          </cell>
        </row>
        <row r="10">
          <cell r="A10" t="str">
            <v xml:space="preserve">  - S/SPD</v>
          </cell>
          <cell r="D10">
            <v>20.52</v>
          </cell>
          <cell r="E10" t="str">
            <v>KTS</v>
          </cell>
        </row>
        <row r="11">
          <cell r="A11" t="str">
            <v xml:space="preserve">  - S/TIME</v>
          </cell>
          <cell r="D11">
            <v>985.96491228070181</v>
          </cell>
          <cell r="E11" t="str">
            <v>HRS</v>
          </cell>
        </row>
        <row r="12">
          <cell r="A12" t="str">
            <v xml:space="preserve">  - H/TIME</v>
          </cell>
          <cell r="D12">
            <v>63</v>
          </cell>
          <cell r="E12" t="str">
            <v>HRS</v>
          </cell>
        </row>
        <row r="13">
          <cell r="A13" t="str">
            <v xml:space="preserve">  - SUEZ/TIME</v>
          </cell>
          <cell r="D13">
            <v>36</v>
          </cell>
          <cell r="E13" t="str">
            <v>HRS</v>
          </cell>
        </row>
        <row r="14">
          <cell r="A14" t="str">
            <v xml:space="preserve">  - BF/TIME</v>
          </cell>
          <cell r="D14">
            <v>8.6999999999999993</v>
          </cell>
          <cell r="E14" t="str">
            <v>HRS</v>
          </cell>
        </row>
        <row r="15">
          <cell r="A15" t="str">
            <v xml:space="preserve">  - P/TIME</v>
          </cell>
          <cell r="D15">
            <v>250.3350877192982</v>
          </cell>
          <cell r="E15" t="str">
            <v>HRS</v>
          </cell>
        </row>
        <row r="16">
          <cell r="A16" t="str">
            <v xml:space="preserve">  - GBP</v>
          </cell>
          <cell r="D16">
            <v>31.9</v>
          </cell>
          <cell r="E16" t="str">
            <v>MVS</v>
          </cell>
        </row>
        <row r="17">
          <cell r="A17" t="str">
            <v xml:space="preserve">  - H/MVS</v>
          </cell>
          <cell r="D17">
            <v>7985.689298245612</v>
          </cell>
          <cell r="E17" t="str">
            <v>MVS</v>
          </cell>
        </row>
        <row r="18">
          <cell r="A18" t="str">
            <v xml:space="preserve">  - E/MVS</v>
          </cell>
          <cell r="D18">
            <v>27.6</v>
          </cell>
          <cell r="E18" t="str">
            <v>%</v>
          </cell>
        </row>
        <row r="19">
          <cell r="A19" t="str">
            <v xml:space="preserve">  - 20':40'</v>
          </cell>
          <cell r="D19" t="str">
            <v>1:0.84</v>
          </cell>
          <cell r="E19">
            <v>0.68659999999999999</v>
          </cell>
        </row>
        <row r="20">
          <cell r="A20" t="str">
            <v>4. Loadable CAPA</v>
          </cell>
        </row>
        <row r="21">
          <cell r="B21" t="str">
            <v>Schedule CAPA</v>
          </cell>
          <cell r="D21">
            <v>2278.7566243017968</v>
          </cell>
          <cell r="E21" t="str">
            <v>TEU</v>
          </cell>
        </row>
        <row r="22">
          <cell r="B22" t="str">
            <v>Declare CAPA</v>
          </cell>
          <cell r="C22">
            <v>1.0182954038375724</v>
          </cell>
          <cell r="D22">
            <v>2344</v>
          </cell>
          <cell r="E22" t="str">
            <v>TEU</v>
          </cell>
          <cell r="F22">
            <v>0.98170459616242745</v>
          </cell>
        </row>
        <row r="23">
          <cell r="B23" t="str">
            <v>W/E Imbalance</v>
          </cell>
          <cell r="C23" t="str">
            <v>W/B</v>
          </cell>
          <cell r="D23">
            <v>2320.4473969909413</v>
          </cell>
          <cell r="E23">
            <v>2237.0658516126518</v>
          </cell>
        </row>
        <row r="24">
          <cell r="A24" t="str">
            <v>5. REMARKS</v>
          </cell>
        </row>
        <row r="25">
          <cell r="A25" t="str">
            <v xml:space="preserve">   - SPEED</v>
          </cell>
          <cell r="C25" t="str">
            <v>- '98 상반기 운항 실적</v>
          </cell>
        </row>
        <row r="26">
          <cell r="A26" t="str">
            <v xml:space="preserve">   - GBP</v>
          </cell>
          <cell r="C26" t="str">
            <v>- '98 상반기 운항 실적</v>
          </cell>
        </row>
        <row r="27">
          <cell r="A27" t="str">
            <v xml:space="preserve">   - E/MVS</v>
          </cell>
          <cell r="C27" t="str">
            <v>- '98 상반기 운항 실적</v>
          </cell>
        </row>
        <row r="28">
          <cell r="A28" t="str">
            <v xml:space="preserve">   - 20':40</v>
          </cell>
          <cell r="C28" t="str">
            <v>- '98 상반기 운항 실적</v>
          </cell>
        </row>
        <row r="29">
          <cell r="A29" t="str">
            <v xml:space="preserve">   - BF/TIME</v>
          </cell>
          <cell r="C29" t="str">
            <v>- 현행 KYG(E/W) 불기항으로 인한</v>
          </cell>
        </row>
        <row r="30">
          <cell r="C30" t="str">
            <v xml:space="preserve">  미사용 H/TIME 을 BF 로 전환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B_CHART"/>
      <sheetName val="AL창호(기현-일성)"/>
      <sheetName val="방수(씨텍)"/>
      <sheetName val="인테리어(바우하우스전체)"/>
      <sheetName val="주철2공장 "/>
      <sheetName val="Sheet3"/>
      <sheetName val="Sheet1"/>
      <sheetName val="2002년이후(02.08)"/>
      <sheetName val="Sheet2"/>
      <sheetName val="여건별집계(1)"/>
      <sheetName val="기존측(춘천)"/>
      <sheetName val="기존측(대구)"/>
      <sheetName val="철골작업절차(을)"/>
      <sheetName val="철골작업절차(갑)"/>
      <sheetName val="집계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전체현황"/>
      <sheetName val="Sheet1 (2)"/>
      <sheetName val="1029-3 (4)"/>
      <sheetName val="AJE"/>
      <sheetName val="매출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#REF"/>
      <sheetName val="현금흐름표"/>
      <sheetName val="draft보고"/>
      <sheetName val="중간plan"/>
      <sheetName val="기초한정"/>
      <sheetName val="용선료"/>
      <sheetName val="전기오류"/>
      <sheetName val="기획팀"/>
      <sheetName val="이사회의사록정리"/>
      <sheetName val="제조경비"/>
      <sheetName val="손익계산서"/>
      <sheetName val="부가세대사 (2)"/>
      <sheetName val="통화스왑"/>
      <sheetName val="매출채권"/>
      <sheetName val="EPS (2)"/>
      <sheetName val="시스템용역"/>
      <sheetName val="DATA"/>
      <sheetName val="04 Profile"/>
      <sheetName val="F.TYPE PNW"/>
      <sheetName val="Numbers"/>
      <sheetName val="BUE-VAN"/>
      <sheetName val="Capex"/>
      <sheetName val="Scenarios"/>
      <sheetName val="Assumptions"/>
      <sheetName val="Q1"/>
      <sheetName val="Bonus"/>
      <sheetName val="Payroll"/>
      <sheetName val="Car"/>
      <sheetName val="Rental"/>
      <sheetName val="HT overseas 0207xls.xls"/>
    </sheetNames>
    <sheetDataSet>
      <sheetData sheetId="0" refreshError="1"/>
      <sheetData sheetId="1" refreshError="1">
        <row r="9">
          <cell r="CI9" t="str">
            <v>01.1</v>
          </cell>
          <cell r="CJ9" t="str">
            <v>01.2</v>
          </cell>
          <cell r="CK9" t="str">
            <v>01.3</v>
          </cell>
          <cell r="CL9" t="str">
            <v>01.4</v>
          </cell>
          <cell r="CM9" t="str">
            <v>02.1</v>
          </cell>
          <cell r="CN9" t="str">
            <v>02.2</v>
          </cell>
          <cell r="CO9" t="str">
            <v>02.3</v>
          </cell>
          <cell r="CP9" t="str">
            <v>02.4</v>
          </cell>
          <cell r="CQ9" t="str">
            <v>03.1</v>
          </cell>
          <cell r="CR9" t="str">
            <v>03.2</v>
          </cell>
          <cell r="CS9" t="str">
            <v>03.3</v>
          </cell>
          <cell r="CT9" t="str">
            <v>03.4</v>
          </cell>
          <cell r="CU9" t="str">
            <v>04.1</v>
          </cell>
          <cell r="CV9" t="str">
            <v>04.2</v>
          </cell>
          <cell r="CW9" t="str">
            <v>04.3</v>
          </cell>
          <cell r="CX9" t="str">
            <v>04.4</v>
          </cell>
          <cell r="CY9" t="str">
            <v>05.1</v>
          </cell>
          <cell r="CZ9" t="str">
            <v>05.2</v>
          </cell>
          <cell r="DA9" t="str">
            <v>05.3</v>
          </cell>
          <cell r="DB9" t="str">
            <v>05.4</v>
          </cell>
          <cell r="DC9" t="str">
            <v>06.1</v>
          </cell>
          <cell r="DD9" t="str">
            <v>06.2</v>
          </cell>
          <cell r="DE9" t="str">
            <v>06.3</v>
          </cell>
          <cell r="DF9" t="str">
            <v>06.4</v>
          </cell>
          <cell r="DG9" t="str">
            <v>07.1</v>
          </cell>
          <cell r="DH9" t="str">
            <v>07.2</v>
          </cell>
          <cell r="DI9" t="str">
            <v>07.3</v>
          </cell>
          <cell r="DJ9" t="str">
            <v>07.4</v>
          </cell>
        </row>
        <row r="10">
          <cell r="B10" t="str">
            <v>Panamax Size Containerships_x000D_Prices, 4000 TEU, Newbuilding</v>
          </cell>
        </row>
        <row r="12">
          <cell r="B12" t="str">
            <v>mill. usd</v>
          </cell>
        </row>
        <row r="28">
          <cell r="CI28">
            <v>48.960086579993799</v>
          </cell>
          <cell r="CJ28">
            <v>49.021999999999998</v>
          </cell>
          <cell r="CK28">
            <v>46.431329597449626</v>
          </cell>
          <cell r="CL28">
            <v>45.292292743821072</v>
          </cell>
          <cell r="CM28">
            <v>44.640495063082618</v>
          </cell>
          <cell r="CN28">
            <v>41.5</v>
          </cell>
          <cell r="CO28">
            <v>42.191856963458399</v>
          </cell>
          <cell r="CP28">
            <v>42.156096456039897</v>
          </cell>
          <cell r="CQ28">
            <v>41.627458007584352</v>
          </cell>
          <cell r="CR28">
            <v>43.968282917623448</v>
          </cell>
          <cell r="CS28">
            <v>45.833989981991529</v>
          </cell>
          <cell r="CT28">
            <v>47.437341554822545</v>
          </cell>
          <cell r="CU28">
            <v>48.595086044693119</v>
          </cell>
          <cell r="CV28">
            <v>49.967002901730773</v>
          </cell>
          <cell r="CW28">
            <v>50.679184561940772</v>
          </cell>
          <cell r="CX28">
            <v>50.726541824336046</v>
          </cell>
          <cell r="CY28">
            <v>49.785686648486113</v>
          </cell>
          <cell r="CZ28">
            <v>48.927780646732806</v>
          </cell>
          <cell r="DA28">
            <v>47.846573978579265</v>
          </cell>
          <cell r="DB28">
            <v>46.441737913100233</v>
          </cell>
          <cell r="DC28">
            <v>44.67378695775124</v>
          </cell>
          <cell r="DD28">
            <v>43.243277346515534</v>
          </cell>
          <cell r="DE28">
            <v>42.639966764182986</v>
          </cell>
          <cell r="DF28">
            <v>41.928636590059007</v>
          </cell>
          <cell r="DG28">
            <v>41.883747472530068</v>
          </cell>
          <cell r="DH28">
            <v>42.123776575694997</v>
          </cell>
          <cell r="DI28">
            <v>42.316718900492582</v>
          </cell>
          <cell r="DJ28">
            <v>42.617029448092502</v>
          </cell>
        </row>
        <row r="29">
          <cell r="B29" t="str">
            <v>Base Oct-03</v>
          </cell>
        </row>
        <row r="45">
          <cell r="CI45">
            <v>48.960086579993799</v>
          </cell>
          <cell r="CJ45">
            <v>49.021999999999998</v>
          </cell>
          <cell r="CK45">
            <v>46.431329597449626</v>
          </cell>
          <cell r="CL45">
            <v>45.292292743821072</v>
          </cell>
          <cell r="CM45">
            <v>44.640495063082618</v>
          </cell>
          <cell r="CN45">
            <v>41.5</v>
          </cell>
          <cell r="CO45">
            <v>42.191856963458399</v>
          </cell>
          <cell r="CP45">
            <v>42.156096456039897</v>
          </cell>
          <cell r="CQ45">
            <v>41.627458007584352</v>
          </cell>
          <cell r="CR45">
            <v>43.968282917623448</v>
          </cell>
          <cell r="CS45">
            <v>45.833989981991529</v>
          </cell>
          <cell r="CT45">
            <v>49.800854504202711</v>
          </cell>
          <cell r="CU45">
            <v>52.307376325786734</v>
          </cell>
          <cell r="CV45">
            <v>55.188907505022428</v>
          </cell>
          <cell r="CW45">
            <v>56.814661312896277</v>
          </cell>
          <cell r="CX45">
            <v>57.511333359591617</v>
          </cell>
          <cell r="CY45">
            <v>57.084635002156361</v>
          </cell>
          <cell r="CZ45">
            <v>56.670377891370151</v>
          </cell>
          <cell r="DA45">
            <v>55.697654128049905</v>
          </cell>
          <cell r="DB45">
            <v>54.080396116953182</v>
          </cell>
          <cell r="DC45">
            <v>51.98445027526445</v>
          </cell>
          <cell r="DD45">
            <v>50.394765307287592</v>
          </cell>
          <cell r="DE45">
            <v>49.723062505661694</v>
          </cell>
          <cell r="DF45">
            <v>48.877359004210717</v>
          </cell>
          <cell r="DG45">
            <v>48.691119973999783</v>
          </cell>
          <cell r="DH45">
            <v>49.034653331364673</v>
          </cell>
          <cell r="DI45">
            <v>49.422764304874946</v>
          </cell>
          <cell r="DJ45">
            <v>49.867917049808909</v>
          </cell>
        </row>
        <row r="46">
          <cell r="B46" t="str">
            <v>High Oct-03</v>
          </cell>
        </row>
        <row r="62">
          <cell r="CI62">
            <v>48.960086579993799</v>
          </cell>
          <cell r="CJ62">
            <v>49.021999999999998</v>
          </cell>
          <cell r="CK62">
            <v>46.431329597449626</v>
          </cell>
          <cell r="CL62">
            <v>45.292292743821072</v>
          </cell>
          <cell r="CM62">
            <v>44.640495063082618</v>
          </cell>
          <cell r="CN62">
            <v>41.5</v>
          </cell>
          <cell r="CO62">
            <v>42.191856963458399</v>
          </cell>
          <cell r="CP62">
            <v>42.156096456039897</v>
          </cell>
          <cell r="CQ62">
            <v>41.627458007584352</v>
          </cell>
          <cell r="CR62">
            <v>43.968282917623448</v>
          </cell>
          <cell r="CS62">
            <v>45.833989981991529</v>
          </cell>
          <cell r="CT62">
            <v>44.111935951734417</v>
          </cell>
          <cell r="CU62">
            <v>43.81476380000089</v>
          </cell>
          <cell r="CV62">
            <v>43.534149352619409</v>
          </cell>
          <cell r="CW62">
            <v>43.374146948837257</v>
          </cell>
          <cell r="CX62">
            <v>43.060447777630756</v>
          </cell>
          <cell r="CY62">
            <v>42.070619732392494</v>
          </cell>
          <cell r="CZ62">
            <v>41.39990288078036</v>
          </cell>
          <cell r="DA62">
            <v>40.836289787346956</v>
          </cell>
          <cell r="DB62">
            <v>40.202642886194113</v>
          </cell>
          <cell r="DC62">
            <v>39.324313994903967</v>
          </cell>
          <cell r="DD62">
            <v>38.734011676719319</v>
          </cell>
          <cell r="DE62">
            <v>38.925665044486358</v>
          </cell>
          <cell r="DF62">
            <v>38.840639113382444</v>
          </cell>
          <cell r="DG62">
            <v>39.152328771238324</v>
          </cell>
          <cell r="DH62">
            <v>39.378206821187057</v>
          </cell>
          <cell r="DI62">
            <v>39.439396239318164</v>
          </cell>
          <cell r="DJ62">
            <v>39.645214252513696</v>
          </cell>
        </row>
        <row r="63">
          <cell r="B63" t="str">
            <v>Low Oct-03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art6"/>
      <sheetName val="B_CHART"/>
      <sheetName val="일위집계"/>
      <sheetName val="일위대가 (3)"/>
      <sheetName val="자재가격"/>
      <sheetName val="현황"/>
      <sheetName val="준설내역"/>
      <sheetName val="준설재료"/>
      <sheetName val="철근"/>
      <sheetName val="뽑기"/>
      <sheetName val="ㅂㅂ"/>
      <sheetName val="ㅂㅂ (2)"/>
      <sheetName val="ㅂㅂ (3)"/>
      <sheetName val="ㅂㅂ (4)"/>
      <sheetName val="간지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수량산출서 (2)"/>
      <sheetName val="#REF"/>
      <sheetName val="공종자재집계 (2)"/>
      <sheetName val="재료집계표  (2)"/>
      <sheetName val="변경이유서"/>
      <sheetName val="접"/>
      <sheetName val="단가내부"/>
      <sheetName val="단가외부 "/>
      <sheetName val="지급자재명세서 (3)"/>
      <sheetName val="단가산출서(SS)"/>
      <sheetName val="출입로"/>
      <sheetName val="증감내역"/>
      <sheetName val="현황 (3)"/>
      <sheetName val="수량산출"/>
      <sheetName val="공제량"/>
      <sheetName val="검토안"/>
      <sheetName val="공사비증감현황(A3)"/>
      <sheetName val="6공구(당초)"/>
      <sheetName val="비목군분류내역"/>
      <sheetName val="수산출"/>
      <sheetName val="Book2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지급자재명세서 (2)"/>
      <sheetName val="최종내역"/>
      <sheetName val="집계표"/>
      <sheetName val="변경수량집계"/>
      <sheetName val="철.콘 수량산출 (적용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수량명세서-구"/>
      <sheetName val="적용"/>
      <sheetName val="예정공정표-SK (2)"/>
      <sheetName val="Sheet4"/>
      <sheetName val="평면도"/>
      <sheetName val="딱지"/>
      <sheetName val="산출내역"/>
      <sheetName val="집계표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목차"/>
      <sheetName val="여건사유"/>
      <sheetName val="2001설계예정9.17 (3)"/>
      <sheetName val="사진대지 (5)"/>
      <sheetName val="(방음벽반사형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지급자재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통신설계서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계약내내역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최종 (2)"/>
      <sheetName val="갑지(가로)"/>
      <sheetName val="나"/>
      <sheetName val="CB건축(신) (2)"/>
      <sheetName val="CB건축(신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DATA"/>
      <sheetName val="04 Profile"/>
      <sheetName val="BUE-VAN"/>
      <sheetName val="Numb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193">
          <cell r="CI193" t="str">
            <v>01.1</v>
          </cell>
          <cell r="CJ193" t="str">
            <v>01.2</v>
          </cell>
          <cell r="CK193" t="str">
            <v>01.3</v>
          </cell>
          <cell r="CL193" t="str">
            <v>01.4</v>
          </cell>
          <cell r="CM193" t="str">
            <v>02.1</v>
          </cell>
          <cell r="CN193" t="str">
            <v>02.2</v>
          </cell>
          <cell r="CO193" t="str">
            <v>02.3</v>
          </cell>
          <cell r="CP193" t="str">
            <v>02.4</v>
          </cell>
          <cell r="CQ193" t="str">
            <v>03.1</v>
          </cell>
          <cell r="CR193" t="str">
            <v>03.2</v>
          </cell>
          <cell r="CS193" t="str">
            <v>03.3</v>
          </cell>
          <cell r="CT193" t="str">
            <v>03.4</v>
          </cell>
          <cell r="CU193" t="str">
            <v>04.1</v>
          </cell>
          <cell r="CV193" t="str">
            <v>04.2</v>
          </cell>
          <cell r="CW193" t="str">
            <v>04.3</v>
          </cell>
          <cell r="CX193" t="str">
            <v>04.4</v>
          </cell>
          <cell r="CY193" t="str">
            <v>05.1</v>
          </cell>
          <cell r="CZ193" t="str">
            <v>05.2</v>
          </cell>
          <cell r="DA193" t="str">
            <v>05.3</v>
          </cell>
          <cell r="DB193" t="str">
            <v>05.4</v>
          </cell>
          <cell r="DC193" t="str">
            <v>06.1</v>
          </cell>
          <cell r="DD193" t="str">
            <v>06.2</v>
          </cell>
          <cell r="DE193" t="str">
            <v>06.3</v>
          </cell>
          <cell r="DF193" t="str">
            <v>06.4</v>
          </cell>
          <cell r="DG193" t="str">
            <v>07.1</v>
          </cell>
          <cell r="DH193" t="str">
            <v>07.2</v>
          </cell>
          <cell r="DI193" t="str">
            <v>07.3</v>
          </cell>
          <cell r="DJ193" t="str">
            <v>07.4</v>
          </cell>
        </row>
        <row r="194">
          <cell r="B194" t="str">
            <v>Panamax Size Containerships_x000D_Rates, 4000 TEU, One Year TC Rate</v>
          </cell>
        </row>
        <row r="196">
          <cell r="B196" t="str">
            <v>usd/day</v>
          </cell>
        </row>
        <row r="212">
          <cell r="CI212">
            <v>24800</v>
          </cell>
          <cell r="CJ212">
            <v>25300</v>
          </cell>
          <cell r="CK212">
            <v>19300</v>
          </cell>
          <cell r="CL212">
            <v>14000</v>
          </cell>
          <cell r="CM212">
            <v>10500</v>
          </cell>
          <cell r="CN212">
            <v>15900</v>
          </cell>
          <cell r="CO212">
            <v>18100</v>
          </cell>
          <cell r="CP212">
            <v>17700</v>
          </cell>
          <cell r="CQ212">
            <v>20300</v>
          </cell>
          <cell r="CR212">
            <v>27600</v>
          </cell>
          <cell r="CS212">
            <v>30900</v>
          </cell>
          <cell r="CT212">
            <v>32000</v>
          </cell>
          <cell r="CU212">
            <v>31900</v>
          </cell>
          <cell r="CV212">
            <v>33400</v>
          </cell>
          <cell r="CW212">
            <v>34000</v>
          </cell>
          <cell r="CX212">
            <v>30600</v>
          </cell>
          <cell r="CY212">
            <v>27000</v>
          </cell>
          <cell r="CZ212">
            <v>25500</v>
          </cell>
          <cell r="DA212">
            <v>24700</v>
          </cell>
          <cell r="DB212">
            <v>22600</v>
          </cell>
          <cell r="DC212">
            <v>19600</v>
          </cell>
          <cell r="DD212">
            <v>19000</v>
          </cell>
          <cell r="DE212">
            <v>17900</v>
          </cell>
          <cell r="DF212">
            <v>16500</v>
          </cell>
          <cell r="DG212">
            <v>15100</v>
          </cell>
          <cell r="DH212">
            <v>16600</v>
          </cell>
          <cell r="DI212">
            <v>17400</v>
          </cell>
          <cell r="DJ212">
            <v>17400</v>
          </cell>
        </row>
        <row r="213">
          <cell r="B213" t="str">
            <v>Base Oct-03</v>
          </cell>
        </row>
        <row r="229">
          <cell r="CI229">
            <v>24800</v>
          </cell>
          <cell r="CJ229">
            <v>25300</v>
          </cell>
          <cell r="CK229">
            <v>19300</v>
          </cell>
          <cell r="CL229">
            <v>14000</v>
          </cell>
          <cell r="CM229">
            <v>10500</v>
          </cell>
          <cell r="CN229">
            <v>15900</v>
          </cell>
          <cell r="CO229">
            <v>18100</v>
          </cell>
          <cell r="CP229">
            <v>17700</v>
          </cell>
          <cell r="CQ229">
            <v>20300</v>
          </cell>
          <cell r="CR229">
            <v>27600</v>
          </cell>
          <cell r="CS229">
            <v>30900</v>
          </cell>
          <cell r="CT229">
            <v>33900</v>
          </cell>
          <cell r="CU229">
            <v>35200</v>
          </cell>
          <cell r="CV229">
            <v>37700</v>
          </cell>
          <cell r="CW229">
            <v>38800</v>
          </cell>
          <cell r="CX229">
            <v>36000</v>
          </cell>
          <cell r="CY229">
            <v>32800</v>
          </cell>
          <cell r="CZ229">
            <v>32400</v>
          </cell>
          <cell r="DA229">
            <v>31600</v>
          </cell>
          <cell r="DB229">
            <v>29300</v>
          </cell>
          <cell r="DC229">
            <v>25100</v>
          </cell>
          <cell r="DD229">
            <v>24400</v>
          </cell>
          <cell r="DE229">
            <v>23500</v>
          </cell>
          <cell r="DF229">
            <v>21900</v>
          </cell>
          <cell r="DG229">
            <v>20300</v>
          </cell>
          <cell r="DH229">
            <v>21900</v>
          </cell>
          <cell r="DI229">
            <v>23000</v>
          </cell>
          <cell r="DJ229">
            <v>23000</v>
          </cell>
        </row>
        <row r="230">
          <cell r="B230" t="str">
            <v>High Oct-03</v>
          </cell>
        </row>
        <row r="246">
          <cell r="CI246">
            <v>24800</v>
          </cell>
          <cell r="CJ246">
            <v>25300</v>
          </cell>
          <cell r="CK246">
            <v>19300</v>
          </cell>
          <cell r="CL246">
            <v>14000</v>
          </cell>
          <cell r="CM246">
            <v>10500</v>
          </cell>
          <cell r="CN246">
            <v>15900</v>
          </cell>
          <cell r="CO246">
            <v>18100</v>
          </cell>
          <cell r="CP246">
            <v>17700</v>
          </cell>
          <cell r="CQ246">
            <v>20300</v>
          </cell>
          <cell r="CR246">
            <v>27600</v>
          </cell>
          <cell r="CS246">
            <v>30900</v>
          </cell>
          <cell r="CT246">
            <v>29600</v>
          </cell>
          <cell r="CU246">
            <v>27400</v>
          </cell>
          <cell r="CV246">
            <v>27800</v>
          </cell>
          <cell r="CW246">
            <v>28000</v>
          </cell>
          <cell r="CX246">
            <v>24600</v>
          </cell>
          <cell r="CY246">
            <v>20900</v>
          </cell>
          <cell r="CZ246">
            <v>20400</v>
          </cell>
          <cell r="DA246">
            <v>19800</v>
          </cell>
          <cell r="DB246">
            <v>18400</v>
          </cell>
          <cell r="DC246">
            <v>16200</v>
          </cell>
          <cell r="DD246">
            <v>16100</v>
          </cell>
          <cell r="DE246">
            <v>15500</v>
          </cell>
          <cell r="DF246">
            <v>14600</v>
          </cell>
          <cell r="DG246">
            <v>13700</v>
          </cell>
          <cell r="DH246">
            <v>15200</v>
          </cell>
          <cell r="DI246">
            <v>16000</v>
          </cell>
          <cell r="DJ246">
            <v>16100</v>
          </cell>
        </row>
        <row r="247">
          <cell r="B247" t="str">
            <v>Low Oct-03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Results"/>
      <sheetName val="Assumptions"/>
      <sheetName val="Time Based Assumptions"/>
      <sheetName val="Project Costs &amp; Funding"/>
      <sheetName val="Financing Assumptions"/>
      <sheetName val="Revenues"/>
      <sheetName val="Cash Cascade"/>
      <sheetName val="CapexNew"/>
      <sheetName val="Depreciation"/>
      <sheetName val="Financials"/>
      <sheetName val="Tax"/>
      <sheetName val="Ratios"/>
      <sheetName val="Equity Val"/>
      <sheetName val="Operating Costs"/>
      <sheetName val="Sensitivities"/>
      <sheetName val="Capex-Old"/>
    </sheetNames>
    <sheetDataSet>
      <sheetData sheetId="0"/>
      <sheetData sheetId="1">
        <row r="13">
          <cell r="G13">
            <v>39264</v>
          </cell>
        </row>
        <row r="18">
          <cell r="G18">
            <v>50809</v>
          </cell>
        </row>
        <row r="25">
          <cell r="G25">
            <v>12</v>
          </cell>
        </row>
        <row r="29">
          <cell r="G29">
            <v>6</v>
          </cell>
        </row>
      </sheetData>
      <sheetData sheetId="2"/>
      <sheetData sheetId="3"/>
      <sheetData sheetId="4"/>
      <sheetData sheetId="5"/>
      <sheetData sheetId="6">
        <row r="190">
          <cell r="D190">
            <v>0</v>
          </cell>
        </row>
        <row r="194">
          <cell r="D194">
            <v>32950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G"/>
      <sheetName val="TNKS"/>
      <sheetName val="TRIM"/>
      <sheetName val="DATA"/>
      <sheetName val="TLX"/>
      <sheetName val="APL TRS"/>
      <sheetName val="APL"/>
      <sheetName val="HYN"/>
      <sheetName val="HYN (2)"/>
      <sheetName val="DEP-CON"/>
      <sheetName val="DEP-CON MECA"/>
      <sheetName val="DEP-CON STIFF"/>
      <sheetName val="BAY PLN"/>
      <sheetName val="OB"/>
      <sheetName val="OB(2)"/>
      <sheetName val="CAL-DEP"/>
      <sheetName val="LOAD'DISCH"/>
      <sheetName val="OAK FRM"/>
      <sheetName val="DIST"/>
      <sheetName val="HDM"/>
      <sheetName val="HDM (2)"/>
      <sheetName val="FRE 13 FORM"/>
      <sheetName val="vsl-data"/>
      <sheetName val="HYDRO"/>
      <sheetName val="drafts"/>
      <sheetName val="draft corr"/>
      <sheetName val="DRAFTSURVEY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data"/>
      <sheetName val="BunkerPrice"/>
      <sheetName val="PortCost-GA"/>
      <sheetName val="PortCost-ASGA"/>
      <sheetName val="Exchange Rates-GA"/>
      <sheetName val="Exchange Rates-AS"/>
      <sheetName val="Bunker&amp;Port_Alloc_XN"/>
      <sheetName val="Bunker&amp;Port_Alloc_PAX"/>
      <sheetName val="Bunker&amp;Port_Alloc_VW"/>
      <sheetName val="Unit cost"/>
      <sheetName val="Data"/>
      <sheetName val="A (102)"/>
      <sheetName val="B (113)"/>
      <sheetName val="B (140)"/>
      <sheetName val="C (127)"/>
      <sheetName val="C (129)"/>
      <sheetName val="C (133)"/>
      <sheetName val="D (115)"/>
      <sheetName val="E (124)"/>
      <sheetName val="G (112)"/>
      <sheetName val="G (130)"/>
      <sheetName val="G (139)"/>
      <sheetName val="G (147)"/>
      <sheetName val="M (110)"/>
      <sheetName val="S (117)"/>
      <sheetName val="S (137)"/>
      <sheetName val="S (138)"/>
      <sheetName val="F (121)"/>
      <sheetName val="J (123)"/>
      <sheetName val="K (118)"/>
      <sheetName val="K (131)"/>
      <sheetName val="K (148)"/>
      <sheetName val="H (114)"/>
      <sheetName val="H (132)"/>
      <sheetName val="N (106)"/>
      <sheetName val="N (128)"/>
      <sheetName val="N (143)"/>
      <sheetName val="N (149)"/>
      <sheetName val="X (106)"/>
      <sheetName val="X (128)"/>
      <sheetName val="X (144)"/>
      <sheetName val="P1 (125)"/>
      <sheetName val="P2 (125)"/>
      <sheetName val="P3 (125)"/>
      <sheetName val="Q (126)"/>
      <sheetName val="ECN - Q (145)"/>
      <sheetName val="ECS-R (146)"/>
      <sheetName val="V (49)"/>
      <sheetName val="W (49)"/>
      <sheetName val="V (134)"/>
      <sheetName val="W (134)"/>
      <sheetName val="Y (74)"/>
      <sheetName val="Y (135)"/>
      <sheetName val="GASS"/>
      <sheetName val="A-E"/>
      <sheetName val="T-P West Coast"/>
      <sheetName val="T-P All Water"/>
      <sheetName val="수입"/>
      <sheetName val="DRAFTSURVEY "/>
      <sheetName val="Capex"/>
      <sheetName val="Scenarios"/>
      <sheetName val="Assumptions"/>
      <sheetName val="DISTANZ3"/>
      <sheetName val="Lookup - EB"/>
    </sheetNames>
    <sheetDataSet>
      <sheetData sheetId="0" refreshError="1">
        <row r="6">
          <cell r="J6" t="str">
            <v>tonnage</v>
          </cell>
          <cell r="L6" t="str">
            <v>tiers o/d</v>
          </cell>
          <cell r="N6" t="str">
            <v>PC/UMS</v>
          </cell>
          <cell r="Q6" t="str">
            <v>(Panama)</v>
          </cell>
          <cell r="X6" t="str">
            <v>20 kn/2.0</v>
          </cell>
          <cell r="Y6" t="str">
            <v>20 kn/2.0</v>
          </cell>
          <cell r="AA6" t="str">
            <v>22 kn/2.4</v>
          </cell>
          <cell r="AB6" t="str">
            <v>22 kn/2.4</v>
          </cell>
        </row>
        <row r="8">
          <cell r="A8" t="str">
            <v>DRE</v>
          </cell>
          <cell r="B8" t="str">
            <v>Dresden Express</v>
          </cell>
          <cell r="C8" t="str">
            <v>HLC</v>
          </cell>
          <cell r="D8">
            <v>4639</v>
          </cell>
          <cell r="E8">
            <v>4639</v>
          </cell>
          <cell r="F8">
            <v>53833</v>
          </cell>
          <cell r="G8">
            <v>11.604440612200905</v>
          </cell>
          <cell r="H8">
            <v>23499</v>
          </cell>
          <cell r="I8">
            <v>5.0655313645182147</v>
          </cell>
          <cell r="J8">
            <v>48670</v>
          </cell>
          <cell r="K8">
            <v>10.491485233886614</v>
          </cell>
          <cell r="L8">
            <v>6</v>
          </cell>
          <cell r="N8">
            <v>46590</v>
          </cell>
          <cell r="O8">
            <v>10.043112739814616</v>
          </cell>
          <cell r="P8">
            <v>294</v>
          </cell>
          <cell r="Q8">
            <v>294</v>
          </cell>
          <cell r="R8">
            <v>32.299999999999997</v>
          </cell>
          <cell r="T8">
            <v>13.52</v>
          </cell>
          <cell r="V8">
            <v>21.4</v>
          </cell>
          <cell r="X8">
            <v>5.604656175899979E-5</v>
          </cell>
          <cell r="Y8">
            <v>0.26</v>
          </cell>
          <cell r="AA8">
            <v>7.0165984048286274E-5</v>
          </cell>
          <cell r="AB8">
            <v>0.32550000000000001</v>
          </cell>
          <cell r="AD8">
            <v>48500</v>
          </cell>
        </row>
        <row r="9">
          <cell r="A9" t="str">
            <v>ESS</v>
          </cell>
          <cell r="B9" t="str">
            <v>Essen Express</v>
          </cell>
          <cell r="C9" t="str">
            <v>HLC</v>
          </cell>
          <cell r="D9">
            <v>4639</v>
          </cell>
          <cell r="E9">
            <v>4639</v>
          </cell>
          <cell r="F9">
            <v>53815</v>
          </cell>
          <cell r="G9">
            <v>11.60056046561759</v>
          </cell>
          <cell r="H9">
            <v>23499</v>
          </cell>
          <cell r="I9">
            <v>5.0655313645182147</v>
          </cell>
          <cell r="J9">
            <v>48703</v>
          </cell>
          <cell r="K9">
            <v>10.498598835956026</v>
          </cell>
          <cell r="L9">
            <v>6</v>
          </cell>
          <cell r="N9">
            <v>46576</v>
          </cell>
          <cell r="O9">
            <v>10.040094848027593</v>
          </cell>
          <cell r="P9">
            <v>294.02999999999997</v>
          </cell>
          <cell r="Q9">
            <v>294.02999999999997</v>
          </cell>
          <cell r="R9">
            <v>32.299999999999997</v>
          </cell>
          <cell r="T9">
            <v>13.52</v>
          </cell>
          <cell r="V9">
            <v>21.4</v>
          </cell>
          <cell r="X9">
            <v>5.604656175899979E-5</v>
          </cell>
          <cell r="Y9">
            <v>0.26</v>
          </cell>
          <cell r="AA9">
            <v>7.0165984048286274E-5</v>
          </cell>
          <cell r="AB9">
            <v>0.32550000000000001</v>
          </cell>
          <cell r="AD9">
            <v>48500</v>
          </cell>
        </row>
        <row r="10">
          <cell r="A10" t="str">
            <v>PAR</v>
          </cell>
          <cell r="B10" t="str">
            <v>Paris Express (Hamburg Express)</v>
          </cell>
          <cell r="C10" t="str">
            <v>HLC</v>
          </cell>
          <cell r="D10">
            <v>4639</v>
          </cell>
          <cell r="E10">
            <v>4639</v>
          </cell>
          <cell r="F10">
            <v>53815</v>
          </cell>
          <cell r="G10">
            <v>11.60056046561759</v>
          </cell>
          <cell r="H10">
            <v>23499</v>
          </cell>
          <cell r="I10">
            <v>5.0655313645182147</v>
          </cell>
          <cell r="J10">
            <v>48703</v>
          </cell>
          <cell r="K10">
            <v>10.498598835956026</v>
          </cell>
          <cell r="L10">
            <v>6</v>
          </cell>
          <cell r="N10">
            <v>46575</v>
          </cell>
          <cell r="O10">
            <v>10.039879284328519</v>
          </cell>
          <cell r="P10">
            <v>294.08999999999997</v>
          </cell>
          <cell r="Q10">
            <v>294.08999999999997</v>
          </cell>
          <cell r="R10">
            <v>32.299999999999997</v>
          </cell>
          <cell r="T10">
            <v>13.52</v>
          </cell>
          <cell r="V10">
            <v>21.4</v>
          </cell>
          <cell r="X10">
            <v>5.604656175899979E-5</v>
          </cell>
          <cell r="Y10">
            <v>0.26</v>
          </cell>
          <cell r="AA10">
            <v>7.0165984048286274E-5</v>
          </cell>
          <cell r="AB10">
            <v>0.32550000000000001</v>
          </cell>
          <cell r="AD10">
            <v>48500</v>
          </cell>
        </row>
        <row r="11">
          <cell r="A11" t="str">
            <v>HAX</v>
          </cell>
          <cell r="B11" t="str">
            <v>Hamberg Express</v>
          </cell>
          <cell r="C11" t="str">
            <v>HLC</v>
          </cell>
          <cell r="D11">
            <v>7506</v>
          </cell>
          <cell r="F11">
            <v>88493</v>
          </cell>
          <cell r="G11">
            <v>11.789634958699708</v>
          </cell>
          <cell r="H11">
            <v>36175</v>
          </cell>
          <cell r="I11">
            <v>4.8194777511324274</v>
          </cell>
          <cell r="J11">
            <v>79388</v>
          </cell>
          <cell r="K11">
            <v>10.576605382360778</v>
          </cell>
          <cell r="L11">
            <v>7</v>
          </cell>
          <cell r="O11">
            <v>0</v>
          </cell>
          <cell r="P11">
            <v>320.38</v>
          </cell>
          <cell r="R11">
            <v>42.9</v>
          </cell>
          <cell r="T11">
            <v>14.52</v>
          </cell>
          <cell r="V11">
            <v>24.5</v>
          </cell>
          <cell r="X11">
            <v>4.2765787370103919E-5</v>
          </cell>
          <cell r="Y11">
            <v>0.32100000000000001</v>
          </cell>
          <cell r="AA11">
            <v>5.2624567013056221E-5</v>
          </cell>
          <cell r="AB11">
            <v>0.39500000000000002</v>
          </cell>
          <cell r="AD11">
            <v>87500</v>
          </cell>
        </row>
        <row r="12">
          <cell r="A12" t="str">
            <v>SHX</v>
          </cell>
          <cell r="B12" t="str">
            <v>Shanghai Express</v>
          </cell>
          <cell r="C12" t="str">
            <v>HLC</v>
          </cell>
          <cell r="D12">
            <v>7506</v>
          </cell>
          <cell r="F12">
            <v>88493</v>
          </cell>
          <cell r="G12">
            <v>11.789634958699708</v>
          </cell>
          <cell r="H12">
            <v>36175</v>
          </cell>
          <cell r="I12">
            <v>4.8194777511324274</v>
          </cell>
          <cell r="J12">
            <v>79388</v>
          </cell>
          <cell r="K12">
            <v>10.576605382360778</v>
          </cell>
          <cell r="L12">
            <v>7</v>
          </cell>
          <cell r="O12">
            <v>0</v>
          </cell>
          <cell r="P12">
            <v>320.38</v>
          </cell>
          <cell r="R12">
            <v>42.9</v>
          </cell>
          <cell r="T12">
            <v>14.52</v>
          </cell>
          <cell r="V12">
            <v>24.5</v>
          </cell>
          <cell r="X12">
            <v>4.2765787370103919E-5</v>
          </cell>
          <cell r="Y12">
            <v>0.32100000000000001</v>
          </cell>
          <cell r="AA12">
            <v>5.2624567013056221E-5</v>
          </cell>
          <cell r="AB12">
            <v>0.39500000000000002</v>
          </cell>
          <cell r="AD12">
            <v>87500</v>
          </cell>
        </row>
        <row r="13">
          <cell r="A13" t="str">
            <v>HNX</v>
          </cell>
          <cell r="B13" t="str">
            <v>Hannover Express</v>
          </cell>
          <cell r="C13" t="str">
            <v>HLC</v>
          </cell>
          <cell r="D13">
            <v>4626</v>
          </cell>
          <cell r="E13">
            <v>4626</v>
          </cell>
          <cell r="F13">
            <v>53783</v>
          </cell>
          <cell r="G13">
            <v>11.626242974492001</v>
          </cell>
          <cell r="H13">
            <v>23499</v>
          </cell>
          <cell r="I13">
            <v>5.0797665369649803</v>
          </cell>
          <cell r="J13">
            <v>48614</v>
          </cell>
          <cell r="K13">
            <v>10.508862948551664</v>
          </cell>
          <cell r="L13">
            <v>6</v>
          </cell>
          <cell r="N13">
            <v>46534</v>
          </cell>
          <cell r="O13">
            <v>10.059230436662343</v>
          </cell>
          <cell r="P13">
            <v>294</v>
          </cell>
          <cell r="Q13">
            <v>294</v>
          </cell>
          <cell r="R13">
            <v>32.299999999999997</v>
          </cell>
          <cell r="T13">
            <v>13.52</v>
          </cell>
          <cell r="V13">
            <v>21.4</v>
          </cell>
          <cell r="X13">
            <v>5.6204063986165154E-5</v>
          </cell>
          <cell r="Y13">
            <v>0.26</v>
          </cell>
          <cell r="AA13">
            <v>7.036316472114138E-5</v>
          </cell>
          <cell r="AB13">
            <v>0.32550000000000001</v>
          </cell>
          <cell r="AD13">
            <v>48500</v>
          </cell>
        </row>
        <row r="14">
          <cell r="A14" t="str">
            <v>HOE</v>
          </cell>
          <cell r="B14" t="str">
            <v>Hoechst Express</v>
          </cell>
          <cell r="C14" t="str">
            <v>HLC</v>
          </cell>
          <cell r="D14">
            <v>4639</v>
          </cell>
          <cell r="E14">
            <v>4639</v>
          </cell>
          <cell r="F14">
            <v>53833</v>
          </cell>
          <cell r="G14">
            <v>11.604440612200905</v>
          </cell>
          <cell r="H14">
            <v>23499</v>
          </cell>
          <cell r="I14">
            <v>5.0655313645182147</v>
          </cell>
          <cell r="J14">
            <v>48670</v>
          </cell>
          <cell r="K14">
            <v>10.491485233886614</v>
          </cell>
          <cell r="L14">
            <v>6</v>
          </cell>
          <cell r="N14">
            <v>46590</v>
          </cell>
          <cell r="O14">
            <v>10.043112739814616</v>
          </cell>
          <cell r="P14">
            <v>294</v>
          </cell>
          <cell r="Q14">
            <v>294</v>
          </cell>
          <cell r="R14">
            <v>32.299999999999997</v>
          </cell>
          <cell r="T14">
            <v>13.52</v>
          </cell>
          <cell r="V14">
            <v>21.4</v>
          </cell>
          <cell r="X14">
            <v>5.604656175899979E-5</v>
          </cell>
          <cell r="Y14">
            <v>0.26</v>
          </cell>
          <cell r="AA14">
            <v>7.0165984048286274E-5</v>
          </cell>
          <cell r="AB14">
            <v>0.32550000000000001</v>
          </cell>
          <cell r="AD14">
            <v>48500</v>
          </cell>
        </row>
        <row r="15">
          <cell r="A15" t="str">
            <v>LEV</v>
          </cell>
          <cell r="B15" t="str">
            <v>Leverkusen Express</v>
          </cell>
          <cell r="C15" t="str">
            <v>HLC</v>
          </cell>
          <cell r="D15">
            <v>4626</v>
          </cell>
          <cell r="E15">
            <v>4626</v>
          </cell>
          <cell r="F15">
            <v>53783</v>
          </cell>
          <cell r="G15">
            <v>11.626242974492001</v>
          </cell>
          <cell r="H15">
            <v>23499</v>
          </cell>
          <cell r="I15">
            <v>5.0797665369649803</v>
          </cell>
          <cell r="J15">
            <v>48614</v>
          </cell>
          <cell r="K15">
            <v>10.508862948551664</v>
          </cell>
          <cell r="L15">
            <v>6</v>
          </cell>
          <cell r="N15">
            <v>46534</v>
          </cell>
          <cell r="O15">
            <v>10.059230436662343</v>
          </cell>
          <cell r="P15">
            <v>293.98</v>
          </cell>
          <cell r="Q15">
            <v>293.98</v>
          </cell>
          <cell r="R15">
            <v>32.299999999999997</v>
          </cell>
          <cell r="T15">
            <v>13.52</v>
          </cell>
          <cell r="V15">
            <v>21.4</v>
          </cell>
          <cell r="X15">
            <v>5.6204063986165154E-5</v>
          </cell>
          <cell r="Y15">
            <v>0.26</v>
          </cell>
          <cell r="AA15">
            <v>7.036316472114138E-5</v>
          </cell>
          <cell r="AB15">
            <v>0.32550000000000001</v>
          </cell>
          <cell r="AD15">
            <v>48500</v>
          </cell>
        </row>
        <row r="16">
          <cell r="A16" t="str">
            <v>LUD</v>
          </cell>
          <cell r="B16" t="str">
            <v>Ludwigshafen Express</v>
          </cell>
          <cell r="C16" t="str">
            <v>HLC</v>
          </cell>
          <cell r="D16">
            <v>4639</v>
          </cell>
          <cell r="E16">
            <v>4639</v>
          </cell>
          <cell r="F16">
            <v>53833</v>
          </cell>
          <cell r="G16">
            <v>11.604440612200905</v>
          </cell>
          <cell r="H16">
            <v>23499</v>
          </cell>
          <cell r="I16">
            <v>5.0655313645182147</v>
          </cell>
          <cell r="J16">
            <v>48670</v>
          </cell>
          <cell r="K16">
            <v>10.491485233886614</v>
          </cell>
          <cell r="L16">
            <v>6</v>
          </cell>
          <cell r="N16">
            <v>46590</v>
          </cell>
          <cell r="O16">
            <v>10.043112739814616</v>
          </cell>
          <cell r="P16">
            <v>293.99</v>
          </cell>
          <cell r="Q16">
            <v>293.99</v>
          </cell>
          <cell r="R16">
            <v>32.299999999999997</v>
          </cell>
          <cell r="T16">
            <v>13.52</v>
          </cell>
          <cell r="V16">
            <v>21.4</v>
          </cell>
          <cell r="X16">
            <v>5.604656175899979E-5</v>
          </cell>
          <cell r="Y16">
            <v>0.26</v>
          </cell>
          <cell r="AA16">
            <v>7.0165984048286274E-5</v>
          </cell>
          <cell r="AB16">
            <v>0.32550000000000001</v>
          </cell>
          <cell r="AD16">
            <v>48500</v>
          </cell>
        </row>
        <row r="17">
          <cell r="A17" t="str">
            <v>STU</v>
          </cell>
          <cell r="B17" t="str">
            <v>Stuttgart Express</v>
          </cell>
          <cell r="C17" t="str">
            <v>HLC</v>
          </cell>
          <cell r="D17">
            <v>4639</v>
          </cell>
          <cell r="E17">
            <v>4639</v>
          </cell>
          <cell r="F17">
            <v>53815</v>
          </cell>
          <cell r="G17">
            <v>11.60056046561759</v>
          </cell>
          <cell r="H17">
            <v>23499</v>
          </cell>
          <cell r="I17">
            <v>5.0655313645182147</v>
          </cell>
          <cell r="J17">
            <v>48703</v>
          </cell>
          <cell r="K17">
            <v>10.498598835956026</v>
          </cell>
          <cell r="L17">
            <v>6</v>
          </cell>
          <cell r="N17">
            <v>46576</v>
          </cell>
          <cell r="O17">
            <v>10.040094848027593</v>
          </cell>
          <cell r="P17">
            <v>294.10000000000002</v>
          </cell>
          <cell r="Q17">
            <v>294.10000000000002</v>
          </cell>
          <cell r="R17">
            <v>32.299999999999997</v>
          </cell>
          <cell r="T17">
            <v>13.52</v>
          </cell>
          <cell r="V17">
            <v>21.4</v>
          </cell>
          <cell r="X17">
            <v>5.604656175899979E-5</v>
          </cell>
          <cell r="Y17">
            <v>0.26</v>
          </cell>
          <cell r="AA17">
            <v>7.0165984048286274E-5</v>
          </cell>
          <cell r="AB17">
            <v>0.32550000000000001</v>
          </cell>
          <cell r="AD17">
            <v>48500</v>
          </cell>
        </row>
        <row r="18">
          <cell r="A18" t="str">
            <v>NRX</v>
          </cell>
          <cell r="B18" t="str">
            <v>OOCL Atlantic (Norfolk Express)</v>
          </cell>
          <cell r="C18" t="str">
            <v>HLC</v>
          </cell>
          <cell r="D18">
            <v>3506</v>
          </cell>
          <cell r="E18">
            <v>3506</v>
          </cell>
          <cell r="F18">
            <v>36606</v>
          </cell>
          <cell r="G18">
            <v>10.44095835710211</v>
          </cell>
          <cell r="H18">
            <v>20779</v>
          </cell>
          <cell r="I18">
            <v>5.9266970907016541</v>
          </cell>
          <cell r="J18">
            <v>30100</v>
          </cell>
          <cell r="K18">
            <v>8.5852823730747296</v>
          </cell>
          <cell r="L18">
            <v>6</v>
          </cell>
          <cell r="N18">
            <v>30296</v>
          </cell>
          <cell r="O18">
            <v>8.6411865373645185</v>
          </cell>
          <cell r="P18">
            <v>244.94</v>
          </cell>
          <cell r="Q18">
            <v>244.94</v>
          </cell>
          <cell r="R18">
            <v>32.299999999999997</v>
          </cell>
          <cell r="T18">
            <v>12</v>
          </cell>
          <cell r="V18">
            <v>19</v>
          </cell>
          <cell r="X18">
            <v>5.9440958357102112E-5</v>
          </cell>
          <cell r="Y18">
            <v>0.2084</v>
          </cell>
          <cell r="AA18">
            <v>7.3730747290359381E-5</v>
          </cell>
          <cell r="AB18">
            <v>0.25850000000000001</v>
          </cell>
          <cell r="AD18">
            <v>33500</v>
          </cell>
        </row>
        <row r="19">
          <cell r="A19" t="str">
            <v>FAX</v>
          </cell>
          <cell r="B19" t="str">
            <v>Frankfurt Express</v>
          </cell>
          <cell r="C19" t="str">
            <v>HLC</v>
          </cell>
          <cell r="D19">
            <v>3430</v>
          </cell>
          <cell r="E19">
            <v>3430</v>
          </cell>
          <cell r="F19">
            <v>57540</v>
          </cell>
          <cell r="G19">
            <v>16.775510204081634</v>
          </cell>
          <cell r="H19">
            <v>23237</v>
          </cell>
          <cell r="I19">
            <v>6.7746355685131192</v>
          </cell>
          <cell r="J19">
            <v>49105</v>
          </cell>
          <cell r="K19">
            <v>14.316326530612244</v>
          </cell>
          <cell r="L19">
            <v>4</v>
          </cell>
          <cell r="N19">
            <v>47232</v>
          </cell>
          <cell r="O19">
            <v>13.770262390670554</v>
          </cell>
          <cell r="P19">
            <v>287.73</v>
          </cell>
          <cell r="Q19">
            <v>287.73</v>
          </cell>
          <cell r="R19">
            <v>32.28</v>
          </cell>
          <cell r="T19">
            <v>13.06</v>
          </cell>
          <cell r="V19">
            <v>24</v>
          </cell>
          <cell r="X19">
            <v>9.7434402332361521E-5</v>
          </cell>
          <cell r="Y19">
            <v>0.3342</v>
          </cell>
          <cell r="AA19">
            <v>1.2326530612244898E-4</v>
          </cell>
          <cell r="AB19">
            <v>0.42280000000000001</v>
          </cell>
          <cell r="AD19">
            <v>35000</v>
          </cell>
        </row>
        <row r="20">
          <cell r="A20" t="str">
            <v>BOX</v>
          </cell>
          <cell r="B20" t="str">
            <v>Bonn Express</v>
          </cell>
          <cell r="C20" t="str">
            <v>HLC</v>
          </cell>
          <cell r="D20">
            <v>2803</v>
          </cell>
          <cell r="E20">
            <v>2803</v>
          </cell>
          <cell r="F20">
            <v>35919</v>
          </cell>
          <cell r="G20">
            <v>12.814484480913308</v>
          </cell>
          <cell r="H20">
            <v>15910</v>
          </cell>
          <cell r="I20">
            <v>5.6760613628255436</v>
          </cell>
          <cell r="J20">
            <v>31294</v>
          </cell>
          <cell r="K20">
            <v>11.164466642882626</v>
          </cell>
          <cell r="L20">
            <v>5</v>
          </cell>
          <cell r="N20">
            <v>30633</v>
          </cell>
          <cell r="O20">
            <v>10.928647877274349</v>
          </cell>
          <cell r="P20">
            <v>235.64</v>
          </cell>
          <cell r="Q20">
            <v>235.64</v>
          </cell>
          <cell r="R20">
            <v>32.200000000000003</v>
          </cell>
          <cell r="T20">
            <v>12.52</v>
          </cell>
          <cell r="V20">
            <v>18.8</v>
          </cell>
          <cell r="X20">
            <v>7.8701391366393141E-5</v>
          </cell>
          <cell r="Y20">
            <v>0.22059999999999999</v>
          </cell>
          <cell r="AA20">
            <v>1.025330003567606E-4</v>
          </cell>
          <cell r="AB20">
            <v>0.28739999999999999</v>
          </cell>
          <cell r="AD20">
            <v>31000</v>
          </cell>
        </row>
        <row r="21">
          <cell r="A21" t="str">
            <v>HEX</v>
          </cell>
          <cell r="B21" t="str">
            <v>Heidelberg Express</v>
          </cell>
          <cell r="C21" t="str">
            <v>HLC</v>
          </cell>
          <cell r="D21">
            <v>2803</v>
          </cell>
          <cell r="E21">
            <v>2803</v>
          </cell>
          <cell r="F21">
            <v>35919</v>
          </cell>
          <cell r="G21">
            <v>12.814484480913308</v>
          </cell>
          <cell r="H21">
            <v>15910</v>
          </cell>
          <cell r="I21">
            <v>5.6760613628255436</v>
          </cell>
          <cell r="J21">
            <v>31294</v>
          </cell>
          <cell r="K21">
            <v>11.164466642882626</v>
          </cell>
          <cell r="L21">
            <v>5</v>
          </cell>
          <cell r="N21">
            <v>30977</v>
          </cell>
          <cell r="O21">
            <v>11.051373528362468</v>
          </cell>
          <cell r="P21">
            <v>235.6</v>
          </cell>
          <cell r="Q21">
            <v>235.6</v>
          </cell>
          <cell r="R21">
            <v>32.200000000000003</v>
          </cell>
          <cell r="T21">
            <v>12.52</v>
          </cell>
          <cell r="V21">
            <v>18.8</v>
          </cell>
          <cell r="X21">
            <v>7.8701391366393141E-5</v>
          </cell>
          <cell r="Y21">
            <v>0.22059999999999999</v>
          </cell>
          <cell r="AA21">
            <v>1.025330003567606E-4</v>
          </cell>
          <cell r="AB21">
            <v>0.28739999999999999</v>
          </cell>
          <cell r="AD21">
            <v>31000</v>
          </cell>
        </row>
        <row r="22">
          <cell r="A22" t="str">
            <v>ANX</v>
          </cell>
          <cell r="B22" t="str">
            <v>Antwerpen Express</v>
          </cell>
          <cell r="C22" t="str">
            <v>HLC</v>
          </cell>
          <cell r="D22">
            <v>4800</v>
          </cell>
          <cell r="E22">
            <v>4800</v>
          </cell>
          <cell r="F22">
            <v>54437</v>
          </cell>
          <cell r="G22">
            <v>11.341041666666667</v>
          </cell>
          <cell r="H22">
            <v>23876</v>
          </cell>
          <cell r="I22">
            <v>4.9741666666666671</v>
          </cell>
          <cell r="J22">
            <v>48182</v>
          </cell>
          <cell r="K22">
            <v>10.037916666666666</v>
          </cell>
          <cell r="L22">
            <v>6</v>
          </cell>
          <cell r="N22">
            <v>47125</v>
          </cell>
          <cell r="O22">
            <v>9.8177083333333339</v>
          </cell>
          <cell r="P22">
            <v>294.17</v>
          </cell>
          <cell r="Q22">
            <v>294.17</v>
          </cell>
          <cell r="R22">
            <v>32.299999999999997</v>
          </cell>
          <cell r="T22">
            <v>13.57</v>
          </cell>
          <cell r="V22">
            <v>21.8</v>
          </cell>
          <cell r="X22">
            <v>5.4166666666666671E-5</v>
          </cell>
          <cell r="Y22">
            <v>0.26</v>
          </cell>
          <cell r="AA22">
            <v>6.7812500000000002E-5</v>
          </cell>
          <cell r="AB22">
            <v>0.32550000000000001</v>
          </cell>
          <cell r="AD22">
            <v>48500</v>
          </cell>
        </row>
        <row r="23">
          <cell r="A23" t="str">
            <v>ROX</v>
          </cell>
          <cell r="B23" t="str">
            <v>Rotterdam Express</v>
          </cell>
          <cell r="C23" t="str">
            <v>HLC</v>
          </cell>
          <cell r="D23">
            <v>4800</v>
          </cell>
          <cell r="E23">
            <v>4800</v>
          </cell>
          <cell r="F23">
            <v>54465</v>
          </cell>
          <cell r="G23">
            <v>11.346875000000001</v>
          </cell>
          <cell r="H23">
            <v>23876</v>
          </cell>
          <cell r="I23">
            <v>4.9741666666666671</v>
          </cell>
          <cell r="J23">
            <v>48182</v>
          </cell>
          <cell r="K23">
            <v>10.037916666666666</v>
          </cell>
          <cell r="L23">
            <v>6</v>
          </cell>
          <cell r="N23">
            <v>47125</v>
          </cell>
          <cell r="O23">
            <v>9.8177083333333339</v>
          </cell>
          <cell r="P23">
            <v>294.17</v>
          </cell>
          <cell r="Q23">
            <v>294.17</v>
          </cell>
          <cell r="R23">
            <v>32.299999999999997</v>
          </cell>
          <cell r="T23">
            <v>13.57</v>
          </cell>
          <cell r="V23">
            <v>21.8</v>
          </cell>
          <cell r="X23">
            <v>5.4166666666666671E-5</v>
          </cell>
          <cell r="Y23">
            <v>0.26</v>
          </cell>
          <cell r="AA23">
            <v>6.7812500000000002E-5</v>
          </cell>
          <cell r="AB23">
            <v>0.32550000000000001</v>
          </cell>
          <cell r="AD23">
            <v>48500</v>
          </cell>
        </row>
        <row r="24">
          <cell r="A24" t="str">
            <v>KBX</v>
          </cell>
          <cell r="B24" t="str">
            <v>Kobe Express (ex-Shanghai Express)</v>
          </cell>
          <cell r="C24" t="str">
            <v>HLC</v>
          </cell>
          <cell r="D24">
            <v>4612</v>
          </cell>
          <cell r="E24">
            <v>4612</v>
          </cell>
          <cell r="F24">
            <v>53523</v>
          </cell>
          <cell r="G24">
            <v>11.605160450997397</v>
          </cell>
          <cell r="H24">
            <v>32908</v>
          </cell>
          <cell r="I24">
            <v>7.1352992194275799</v>
          </cell>
          <cell r="J24">
            <v>47328</v>
          </cell>
          <cell r="K24">
            <v>10.261925411968777</v>
          </cell>
          <cell r="L24">
            <v>6</v>
          </cell>
          <cell r="N24">
            <v>46356</v>
          </cell>
          <cell r="O24">
            <v>10.051170858629662</v>
          </cell>
          <cell r="P24">
            <v>294</v>
          </cell>
          <cell r="Q24">
            <v>294</v>
          </cell>
          <cell r="R24">
            <v>32.299999999999997</v>
          </cell>
          <cell r="T24">
            <v>13.52</v>
          </cell>
          <cell r="V24">
            <v>24.4</v>
          </cell>
          <cell r="X24">
            <v>5.2753686036426711E-5</v>
          </cell>
          <cell r="Y24">
            <v>0.24329999999999999</v>
          </cell>
          <cell r="AA24">
            <v>6.5481352992194277E-5</v>
          </cell>
          <cell r="AB24">
            <v>0.30199999999999999</v>
          </cell>
          <cell r="AD24">
            <v>48500</v>
          </cell>
        </row>
        <row r="25">
          <cell r="A25" t="str">
            <v>DUX</v>
          </cell>
          <cell r="B25" t="str">
            <v>Duesseldorf Express</v>
          </cell>
          <cell r="C25" t="str">
            <v>HLC</v>
          </cell>
          <cell r="D25">
            <v>4612</v>
          </cell>
          <cell r="E25">
            <v>4612</v>
          </cell>
          <cell r="F25">
            <v>53523</v>
          </cell>
          <cell r="G25">
            <v>11.605160450997397</v>
          </cell>
          <cell r="H25">
            <v>32908</v>
          </cell>
          <cell r="I25">
            <v>7.1352992194275799</v>
          </cell>
          <cell r="J25">
            <v>47328</v>
          </cell>
          <cell r="K25">
            <v>10.261925411968777</v>
          </cell>
          <cell r="L25">
            <v>6</v>
          </cell>
          <cell r="N25">
            <v>46356</v>
          </cell>
          <cell r="O25">
            <v>10.051170858629662</v>
          </cell>
          <cell r="P25">
            <v>294</v>
          </cell>
          <cell r="Q25">
            <v>294</v>
          </cell>
          <cell r="R25">
            <v>32.299999999999997</v>
          </cell>
          <cell r="T25">
            <v>13.52</v>
          </cell>
          <cell r="V25">
            <v>24.4</v>
          </cell>
          <cell r="X25">
            <v>5.2753686036426711E-5</v>
          </cell>
          <cell r="Y25">
            <v>0.24329999999999999</v>
          </cell>
          <cell r="AA25">
            <v>6.5481352992194277E-5</v>
          </cell>
          <cell r="AB25">
            <v>0.30199999999999999</v>
          </cell>
          <cell r="AD25">
            <v>48500</v>
          </cell>
        </row>
        <row r="26">
          <cell r="A26" t="str">
            <v>LON</v>
          </cell>
          <cell r="B26" t="str">
            <v>London Express</v>
          </cell>
          <cell r="C26" t="str">
            <v>HLC</v>
          </cell>
          <cell r="D26">
            <v>4612</v>
          </cell>
          <cell r="E26">
            <v>4612</v>
          </cell>
          <cell r="F26">
            <v>53523</v>
          </cell>
          <cell r="G26">
            <v>11.605160450997397</v>
          </cell>
          <cell r="H26">
            <v>32908</v>
          </cell>
          <cell r="I26">
            <v>7.1352992194275799</v>
          </cell>
          <cell r="J26">
            <v>47328</v>
          </cell>
          <cell r="K26">
            <v>10.261925411968777</v>
          </cell>
          <cell r="L26">
            <v>6</v>
          </cell>
          <cell r="N26">
            <v>46402</v>
          </cell>
          <cell r="O26">
            <v>10.061144839549003</v>
          </cell>
          <cell r="P26">
            <v>294</v>
          </cell>
          <cell r="Q26">
            <v>294</v>
          </cell>
          <cell r="R26">
            <v>32.299999999999997</v>
          </cell>
          <cell r="T26">
            <v>13.52</v>
          </cell>
          <cell r="V26">
            <v>24.4</v>
          </cell>
          <cell r="X26">
            <v>5.2753686036426711E-5</v>
          </cell>
          <cell r="Y26">
            <v>0.24329999999999999</v>
          </cell>
          <cell r="AA26">
            <v>6.5481352992194277E-5</v>
          </cell>
          <cell r="AB26">
            <v>0.30199999999999999</v>
          </cell>
          <cell r="AD26">
            <v>48500</v>
          </cell>
        </row>
        <row r="27">
          <cell r="A27" t="str">
            <v>BEX</v>
          </cell>
          <cell r="B27" t="str">
            <v>Bremen Express</v>
          </cell>
          <cell r="C27" t="str">
            <v>HLC</v>
          </cell>
          <cell r="D27">
            <v>4800</v>
          </cell>
          <cell r="E27">
            <v>4800</v>
          </cell>
          <cell r="F27">
            <v>54437</v>
          </cell>
          <cell r="G27">
            <v>11.341041666666667</v>
          </cell>
          <cell r="H27">
            <v>23876</v>
          </cell>
          <cell r="I27">
            <v>4.9741666666666671</v>
          </cell>
          <cell r="J27">
            <v>48182</v>
          </cell>
          <cell r="K27">
            <v>10.037916666666666</v>
          </cell>
          <cell r="L27">
            <v>6</v>
          </cell>
          <cell r="N27">
            <v>47125</v>
          </cell>
          <cell r="O27">
            <v>9.8177083333333339</v>
          </cell>
          <cell r="P27">
            <v>294.17</v>
          </cell>
          <cell r="Q27">
            <v>294.17</v>
          </cell>
          <cell r="R27">
            <v>32.299999999999997</v>
          </cell>
          <cell r="T27">
            <v>13.57</v>
          </cell>
          <cell r="V27">
            <v>21.8</v>
          </cell>
          <cell r="X27">
            <v>5.4166666666666671E-5</v>
          </cell>
          <cell r="Y27">
            <v>0.26</v>
          </cell>
          <cell r="AA27">
            <v>6.7812500000000002E-5</v>
          </cell>
          <cell r="AB27">
            <v>0.32550000000000001</v>
          </cell>
          <cell r="AD27">
            <v>48500</v>
          </cell>
        </row>
        <row r="28">
          <cell r="A28" t="str">
            <v>KLX</v>
          </cell>
          <cell r="B28" t="str">
            <v>Kuala Lumpur Express</v>
          </cell>
          <cell r="C28" t="str">
            <v>HLC</v>
          </cell>
          <cell r="D28">
            <v>4800</v>
          </cell>
          <cell r="E28">
            <v>4800</v>
          </cell>
          <cell r="F28">
            <v>54415</v>
          </cell>
          <cell r="G28">
            <v>11.336458333333333</v>
          </cell>
          <cell r="H28">
            <v>23872</v>
          </cell>
          <cell r="I28">
            <v>4.9733333333333336</v>
          </cell>
          <cell r="J28">
            <v>48054</v>
          </cell>
          <cell r="K28">
            <v>10.01125</v>
          </cell>
          <cell r="L28">
            <v>6</v>
          </cell>
          <cell r="N28">
            <v>46493</v>
          </cell>
          <cell r="O28">
            <v>9.6860416666666662</v>
          </cell>
          <cell r="P28">
            <v>294.06</v>
          </cell>
          <cell r="Q28">
            <v>294.17</v>
          </cell>
          <cell r="R28">
            <v>32.299999999999997</v>
          </cell>
          <cell r="T28">
            <v>13.57</v>
          </cell>
          <cell r="V28">
            <v>21.8</v>
          </cell>
          <cell r="X28">
            <v>5.4166666666666671E-5</v>
          </cell>
          <cell r="Y28">
            <v>0.26</v>
          </cell>
          <cell r="AA28">
            <v>6.7812500000000002E-5</v>
          </cell>
          <cell r="AB28">
            <v>0.32550000000000001</v>
          </cell>
          <cell r="AD28">
            <v>48500</v>
          </cell>
        </row>
        <row r="29">
          <cell r="A29" t="str">
            <v>NYX</v>
          </cell>
          <cell r="B29" t="str">
            <v>New York Express</v>
          </cell>
          <cell r="C29" t="str">
            <v>HLC</v>
          </cell>
          <cell r="D29">
            <v>4800</v>
          </cell>
          <cell r="E29">
            <v>4800</v>
          </cell>
          <cell r="F29">
            <v>54415</v>
          </cell>
          <cell r="G29">
            <v>11.336458333333333</v>
          </cell>
          <cell r="H29">
            <v>23872</v>
          </cell>
          <cell r="I29">
            <v>4.9733333333333336</v>
          </cell>
          <cell r="J29">
            <v>48054</v>
          </cell>
          <cell r="K29">
            <v>10.01125</v>
          </cell>
          <cell r="L29">
            <v>6</v>
          </cell>
          <cell r="N29">
            <v>46493</v>
          </cell>
          <cell r="O29">
            <v>9.6860416666666662</v>
          </cell>
          <cell r="P29">
            <v>294.06</v>
          </cell>
          <cell r="Q29">
            <v>294.17</v>
          </cell>
          <cell r="R29">
            <v>32.299999999999997</v>
          </cell>
          <cell r="T29">
            <v>13.57</v>
          </cell>
          <cell r="V29">
            <v>21.8</v>
          </cell>
          <cell r="X29">
            <v>5.4166666666666671E-5</v>
          </cell>
          <cell r="Y29">
            <v>0.26</v>
          </cell>
          <cell r="AA29">
            <v>6.7812500000000002E-5</v>
          </cell>
          <cell r="AB29">
            <v>0.32550000000000001</v>
          </cell>
          <cell r="AD29">
            <v>48500</v>
          </cell>
        </row>
        <row r="30">
          <cell r="A30" t="str">
            <v>SNX</v>
          </cell>
          <cell r="B30" t="str">
            <v>Singapore Express</v>
          </cell>
          <cell r="C30" t="str">
            <v>HLC</v>
          </cell>
          <cell r="D30">
            <v>4800</v>
          </cell>
          <cell r="E30">
            <v>4800</v>
          </cell>
          <cell r="F30">
            <v>54465</v>
          </cell>
          <cell r="G30">
            <v>11.346875000000001</v>
          </cell>
          <cell r="H30">
            <v>23876</v>
          </cell>
          <cell r="I30">
            <v>4.9741666666666671</v>
          </cell>
          <cell r="J30">
            <v>48182</v>
          </cell>
          <cell r="K30">
            <v>10.037916666666666</v>
          </cell>
          <cell r="L30">
            <v>6</v>
          </cell>
          <cell r="N30">
            <v>47552</v>
          </cell>
          <cell r="O30">
            <v>9.9066666666666663</v>
          </cell>
          <cell r="P30">
            <v>294.17</v>
          </cell>
          <cell r="Q30">
            <v>294.17</v>
          </cell>
          <cell r="R30">
            <v>32.299999999999997</v>
          </cell>
          <cell r="T30">
            <v>13.57</v>
          </cell>
          <cell r="V30">
            <v>21.8</v>
          </cell>
          <cell r="X30">
            <v>5.4166666666666671E-5</v>
          </cell>
          <cell r="Y30">
            <v>0.26</v>
          </cell>
          <cell r="AA30">
            <v>6.7812500000000002E-5</v>
          </cell>
          <cell r="AB30">
            <v>0.32550000000000001</v>
          </cell>
          <cell r="AD30">
            <v>48500</v>
          </cell>
        </row>
        <row r="31">
          <cell r="A31" t="str">
            <v>TOX</v>
          </cell>
          <cell r="B31" t="str">
            <v>Tokyo Express</v>
          </cell>
          <cell r="C31" t="str">
            <v>HLC</v>
          </cell>
          <cell r="D31">
            <v>4800</v>
          </cell>
          <cell r="E31">
            <v>4800</v>
          </cell>
          <cell r="F31">
            <v>54465</v>
          </cell>
          <cell r="G31">
            <v>11.346875000000001</v>
          </cell>
          <cell r="H31">
            <v>23876</v>
          </cell>
          <cell r="I31">
            <v>4.9741666666666671</v>
          </cell>
          <cell r="J31">
            <v>48182</v>
          </cell>
          <cell r="K31">
            <v>10.037916666666666</v>
          </cell>
          <cell r="L31">
            <v>6</v>
          </cell>
          <cell r="N31">
            <v>47125</v>
          </cell>
          <cell r="O31">
            <v>9.8177083333333339</v>
          </cell>
          <cell r="P31">
            <v>294.17</v>
          </cell>
          <cell r="Q31">
            <v>294.17</v>
          </cell>
          <cell r="R31">
            <v>32.299999999999997</v>
          </cell>
          <cell r="T31">
            <v>13.57</v>
          </cell>
          <cell r="V31">
            <v>21.8</v>
          </cell>
          <cell r="X31">
            <v>5.4166666666666671E-5</v>
          </cell>
          <cell r="Y31">
            <v>0.26</v>
          </cell>
          <cell r="AA31">
            <v>6.7812500000000002E-5</v>
          </cell>
          <cell r="AB31">
            <v>0.32550000000000001</v>
          </cell>
          <cell r="AD31">
            <v>48500</v>
          </cell>
        </row>
        <row r="32">
          <cell r="A32" t="str">
            <v>HKX</v>
          </cell>
          <cell r="B32" t="str">
            <v>Hong Kong Express</v>
          </cell>
          <cell r="C32" t="str">
            <v>HLC</v>
          </cell>
          <cell r="D32">
            <v>7506</v>
          </cell>
          <cell r="F32">
            <v>88493</v>
          </cell>
          <cell r="G32">
            <v>11.789634958699708</v>
          </cell>
          <cell r="H32">
            <v>36175</v>
          </cell>
          <cell r="I32">
            <v>4.8194777511324274</v>
          </cell>
          <cell r="J32">
            <v>79388</v>
          </cell>
          <cell r="K32">
            <v>10.576605382360778</v>
          </cell>
          <cell r="L32">
            <v>7</v>
          </cell>
          <cell r="O32">
            <v>0</v>
          </cell>
          <cell r="P32">
            <v>320.38</v>
          </cell>
          <cell r="R32">
            <v>42.9</v>
          </cell>
          <cell r="T32">
            <v>14.52</v>
          </cell>
          <cell r="V32">
            <v>24.5</v>
          </cell>
          <cell r="X32">
            <v>4.2765787370103919E-5</v>
          </cell>
          <cell r="Y32">
            <v>0.32100000000000001</v>
          </cell>
          <cell r="AA32">
            <v>5.2624567013056221E-5</v>
          </cell>
          <cell r="AB32">
            <v>0.39500000000000002</v>
          </cell>
          <cell r="AD32">
            <v>87500</v>
          </cell>
        </row>
        <row r="33">
          <cell r="A33" t="str">
            <v>BLX</v>
          </cell>
          <cell r="B33" t="str">
            <v>Berlin Express</v>
          </cell>
          <cell r="C33" t="str">
            <v>HLC</v>
          </cell>
          <cell r="D33">
            <v>7506</v>
          </cell>
          <cell r="F33">
            <v>88493</v>
          </cell>
          <cell r="G33">
            <v>11.789634958699708</v>
          </cell>
          <cell r="H33">
            <v>36175</v>
          </cell>
          <cell r="I33">
            <v>4.8194777511324274</v>
          </cell>
          <cell r="J33">
            <v>79388</v>
          </cell>
          <cell r="K33">
            <v>10.576605382360778</v>
          </cell>
          <cell r="L33">
            <v>7</v>
          </cell>
          <cell r="O33">
            <v>0</v>
          </cell>
          <cell r="P33">
            <v>320.38</v>
          </cell>
          <cell r="R33">
            <v>42.9</v>
          </cell>
          <cell r="T33">
            <v>14.52</v>
          </cell>
          <cell r="V33">
            <v>24.5</v>
          </cell>
          <cell r="X33">
            <v>4.2765787370103919E-5</v>
          </cell>
          <cell r="Y33">
            <v>0.32100000000000001</v>
          </cell>
          <cell r="AA33">
            <v>5.2624567013056221E-5</v>
          </cell>
          <cell r="AB33">
            <v>0.39500000000000002</v>
          </cell>
          <cell r="AD33">
            <v>87500</v>
          </cell>
        </row>
        <row r="34">
          <cell r="A34" t="str">
            <v>LGX</v>
          </cell>
          <cell r="B34" t="str">
            <v>Los Angeles Express</v>
          </cell>
          <cell r="C34" t="str">
            <v>HLC</v>
          </cell>
          <cell r="D34">
            <v>6600</v>
          </cell>
          <cell r="F34">
            <v>75590</v>
          </cell>
          <cell r="G34">
            <v>11.453030303030303</v>
          </cell>
          <cell r="H34">
            <v>42233</v>
          </cell>
          <cell r="I34">
            <v>6.3989393939393944</v>
          </cell>
          <cell r="J34">
            <v>77498</v>
          </cell>
          <cell r="K34">
            <v>11.742121212121212</v>
          </cell>
          <cell r="L34">
            <v>7</v>
          </cell>
          <cell r="O34">
            <v>0</v>
          </cell>
          <cell r="P34">
            <v>300</v>
          </cell>
          <cell r="R34">
            <v>40</v>
          </cell>
          <cell r="T34">
            <v>14.5</v>
          </cell>
          <cell r="V34">
            <v>24.2</v>
          </cell>
          <cell r="X34">
            <v>5.2575757575757569E-5</v>
          </cell>
          <cell r="Y34">
            <v>0.34699999999999998</v>
          </cell>
          <cell r="AA34">
            <v>5.6666666666666664E-5</v>
          </cell>
          <cell r="AB34">
            <v>0.374</v>
          </cell>
          <cell r="AD34">
            <v>75000</v>
          </cell>
        </row>
        <row r="35">
          <cell r="A35" t="str">
            <v>BKX</v>
          </cell>
          <cell r="B35" t="str">
            <v>Bangkok Express</v>
          </cell>
          <cell r="C35" t="str">
            <v>HLC</v>
          </cell>
          <cell r="D35">
            <v>6600</v>
          </cell>
          <cell r="F35">
            <v>75590</v>
          </cell>
          <cell r="G35">
            <v>11.453030303030303</v>
          </cell>
          <cell r="H35">
            <v>42233</v>
          </cell>
          <cell r="I35">
            <v>6.3989393939393944</v>
          </cell>
          <cell r="J35">
            <v>77498</v>
          </cell>
          <cell r="K35">
            <v>11.742121212121212</v>
          </cell>
          <cell r="L35">
            <v>7</v>
          </cell>
          <cell r="O35">
            <v>0</v>
          </cell>
          <cell r="P35">
            <v>300</v>
          </cell>
          <cell r="R35">
            <v>40</v>
          </cell>
          <cell r="T35">
            <v>14.5</v>
          </cell>
          <cell r="V35">
            <v>24.2</v>
          </cell>
          <cell r="X35">
            <v>5.2575757575757569E-5</v>
          </cell>
          <cell r="Y35">
            <v>0.34699999999999998</v>
          </cell>
          <cell r="AA35">
            <v>5.6666666666666664E-5</v>
          </cell>
          <cell r="AB35">
            <v>0.374</v>
          </cell>
          <cell r="AD35">
            <v>75000</v>
          </cell>
        </row>
        <row r="36">
          <cell r="A36" t="str">
            <v>SFX</v>
          </cell>
          <cell r="B36" t="str">
            <v>San Francisco Express</v>
          </cell>
          <cell r="C36" t="str">
            <v>HLC</v>
          </cell>
          <cell r="D36">
            <v>6600</v>
          </cell>
          <cell r="F36">
            <v>75590</v>
          </cell>
          <cell r="G36">
            <v>11.453030303030303</v>
          </cell>
          <cell r="H36">
            <v>42233</v>
          </cell>
          <cell r="I36">
            <v>6.3989393939393944</v>
          </cell>
          <cell r="J36">
            <v>77498</v>
          </cell>
          <cell r="K36">
            <v>11.742121212121212</v>
          </cell>
          <cell r="L36">
            <v>7</v>
          </cell>
          <cell r="O36">
            <v>0</v>
          </cell>
          <cell r="P36">
            <v>300</v>
          </cell>
          <cell r="R36">
            <v>40</v>
          </cell>
          <cell r="T36">
            <v>14.5</v>
          </cell>
          <cell r="V36">
            <v>24.2</v>
          </cell>
          <cell r="X36">
            <v>5.2575757575757569E-5</v>
          </cell>
          <cell r="Y36">
            <v>0.34699999999999998</v>
          </cell>
          <cell r="AA36">
            <v>5.6666666666666664E-5</v>
          </cell>
          <cell r="AB36">
            <v>0.374</v>
          </cell>
          <cell r="AD36">
            <v>75000</v>
          </cell>
        </row>
        <row r="37">
          <cell r="A37" t="str">
            <v>BNX</v>
          </cell>
          <cell r="B37" t="str">
            <v>Busan Express</v>
          </cell>
          <cell r="C37" t="str">
            <v>HLC</v>
          </cell>
          <cell r="D37">
            <v>6600</v>
          </cell>
          <cell r="F37">
            <v>75590</v>
          </cell>
          <cell r="G37">
            <v>11.453030303030303</v>
          </cell>
          <cell r="H37">
            <v>42233</v>
          </cell>
          <cell r="I37">
            <v>6.3989393939393944</v>
          </cell>
          <cell r="J37">
            <v>77498</v>
          </cell>
          <cell r="K37">
            <v>11.742121212121212</v>
          </cell>
          <cell r="L37">
            <v>7</v>
          </cell>
          <cell r="O37">
            <v>0</v>
          </cell>
          <cell r="P37">
            <v>300</v>
          </cell>
          <cell r="R37">
            <v>40</v>
          </cell>
          <cell r="T37">
            <v>14.5</v>
          </cell>
          <cell r="V37">
            <v>24.2</v>
          </cell>
          <cell r="X37">
            <v>5.2575757575757569E-5</v>
          </cell>
          <cell r="Y37">
            <v>0.34699999999999998</v>
          </cell>
          <cell r="AA37">
            <v>5.6666666666666664E-5</v>
          </cell>
          <cell r="AB37">
            <v>0.374</v>
          </cell>
          <cell r="AD37">
            <v>75000</v>
          </cell>
        </row>
        <row r="39">
          <cell r="A39" t="str">
            <v>KIT</v>
          </cell>
          <cell r="B39" t="str">
            <v>Kitano</v>
          </cell>
          <cell r="C39" t="str">
            <v>NYK</v>
          </cell>
          <cell r="D39">
            <v>3618</v>
          </cell>
          <cell r="E39">
            <v>3618</v>
          </cell>
          <cell r="F39">
            <v>50618</v>
          </cell>
          <cell r="G39">
            <v>13.99060254284135</v>
          </cell>
          <cell r="H39">
            <v>22076</v>
          </cell>
          <cell r="I39">
            <v>6.1017136539524603</v>
          </cell>
          <cell r="J39">
            <v>46103</v>
          </cell>
          <cell r="K39">
            <v>12.742675511332228</v>
          </cell>
          <cell r="L39">
            <v>4</v>
          </cell>
          <cell r="N39">
            <v>43215</v>
          </cell>
          <cell r="O39">
            <v>11.944444444444445</v>
          </cell>
          <cell r="P39">
            <v>288.31</v>
          </cell>
          <cell r="Q39">
            <v>288.31</v>
          </cell>
          <cell r="R39">
            <v>32.200000000000003</v>
          </cell>
          <cell r="T39">
            <v>13.025</v>
          </cell>
          <cell r="V39">
            <v>21.5</v>
          </cell>
          <cell r="X39">
            <v>4.99E-5</v>
          </cell>
          <cell r="Y39">
            <v>0.18053820000000001</v>
          </cell>
          <cell r="AA39">
            <v>6.1699999999999995E-5</v>
          </cell>
          <cell r="AB39">
            <v>0.2232306</v>
          </cell>
          <cell r="AD39">
            <v>40000</v>
          </cell>
        </row>
        <row r="40">
          <cell r="A40" t="str">
            <v>KGA</v>
          </cell>
          <cell r="B40" t="str">
            <v>Kaga</v>
          </cell>
          <cell r="C40" t="str">
            <v>NYK</v>
          </cell>
          <cell r="D40">
            <v>3618</v>
          </cell>
          <cell r="E40">
            <v>3618</v>
          </cell>
          <cell r="F40">
            <v>51047</v>
          </cell>
          <cell r="G40">
            <v>14.109176340519625</v>
          </cell>
          <cell r="H40">
            <v>22077</v>
          </cell>
          <cell r="I40">
            <v>6.1019900497512438</v>
          </cell>
          <cell r="J40">
            <v>46852</v>
          </cell>
          <cell r="K40">
            <v>12.949695964621338</v>
          </cell>
          <cell r="L40">
            <v>4</v>
          </cell>
          <cell r="N40">
            <v>43559</v>
          </cell>
          <cell r="O40">
            <v>12.039524599226091</v>
          </cell>
          <cell r="P40">
            <v>288.31</v>
          </cell>
          <cell r="Q40">
            <v>288.31</v>
          </cell>
          <cell r="R40">
            <v>32.200000000000003</v>
          </cell>
          <cell r="T40">
            <v>13.025</v>
          </cell>
          <cell r="V40">
            <v>21.5</v>
          </cell>
          <cell r="X40">
            <v>4.99E-5</v>
          </cell>
          <cell r="Y40">
            <v>0.18053820000000001</v>
          </cell>
          <cell r="AA40">
            <v>6.1699999999999995E-5</v>
          </cell>
          <cell r="AB40">
            <v>0.2232306</v>
          </cell>
          <cell r="AD40">
            <v>40000</v>
          </cell>
        </row>
        <row r="41">
          <cell r="A41" t="str">
            <v>KMA</v>
          </cell>
          <cell r="B41" t="str">
            <v>Kamakura</v>
          </cell>
          <cell r="C41" t="str">
            <v>NYK</v>
          </cell>
          <cell r="D41">
            <v>3611</v>
          </cell>
          <cell r="E41">
            <v>3611</v>
          </cell>
          <cell r="F41">
            <v>50462</v>
          </cell>
          <cell r="G41">
            <v>13.97452229299363</v>
          </cell>
          <cell r="H41">
            <v>21395</v>
          </cell>
          <cell r="I41">
            <v>5.9249515369703687</v>
          </cell>
          <cell r="J41">
            <v>46022</v>
          </cell>
          <cell r="K41">
            <v>12.744945998338411</v>
          </cell>
          <cell r="L41">
            <v>4</v>
          </cell>
          <cell r="N41">
            <v>43649</v>
          </cell>
          <cell r="O41">
            <v>12.087787316532816</v>
          </cell>
          <cell r="P41">
            <v>289.5</v>
          </cell>
          <cell r="Q41">
            <v>289.5</v>
          </cell>
          <cell r="R41">
            <v>32.200000000000003</v>
          </cell>
          <cell r="T41">
            <v>13.025</v>
          </cell>
          <cell r="V41">
            <v>21.2</v>
          </cell>
          <cell r="X41">
            <v>4.9000000000000005E-5</v>
          </cell>
          <cell r="Y41">
            <v>0.17693900000000001</v>
          </cell>
          <cell r="AA41">
            <v>6.0099999999999997E-5</v>
          </cell>
          <cell r="AB41">
            <v>0.21702109999999999</v>
          </cell>
          <cell r="AD41">
            <v>40000</v>
          </cell>
        </row>
        <row r="42">
          <cell r="A42" t="str">
            <v>NKA</v>
          </cell>
          <cell r="B42" t="str">
            <v>NYK Kai</v>
          </cell>
          <cell r="C42" t="str">
            <v>NYK</v>
          </cell>
          <cell r="D42">
            <v>3618</v>
          </cell>
          <cell r="E42">
            <v>3618</v>
          </cell>
          <cell r="F42">
            <v>50606</v>
          </cell>
          <cell r="G42">
            <v>13.987285793255943</v>
          </cell>
          <cell r="H42">
            <v>21988</v>
          </cell>
          <cell r="I42">
            <v>6.0773908236594805</v>
          </cell>
          <cell r="J42">
            <v>46539</v>
          </cell>
          <cell r="K42">
            <v>12.863184079601989</v>
          </cell>
          <cell r="L42">
            <v>5</v>
          </cell>
          <cell r="N42">
            <v>44501</v>
          </cell>
          <cell r="O42">
            <v>12.299889441680486</v>
          </cell>
          <cell r="P42">
            <v>288.31</v>
          </cell>
          <cell r="Q42">
            <v>288.31</v>
          </cell>
          <cell r="R42">
            <v>32.200000000000003</v>
          </cell>
          <cell r="T42">
            <v>13.025</v>
          </cell>
          <cell r="V42">
            <v>21.9</v>
          </cell>
          <cell r="X42">
            <v>5.1499999999999998E-5</v>
          </cell>
          <cell r="Y42">
            <v>0.18632699999999999</v>
          </cell>
          <cell r="AA42">
            <v>6.19E-5</v>
          </cell>
          <cell r="AB42">
            <v>0.22395419999999999</v>
          </cell>
          <cell r="AD42">
            <v>40000</v>
          </cell>
        </row>
        <row r="43">
          <cell r="A43" t="str">
            <v>SPB</v>
          </cell>
          <cell r="B43" t="str">
            <v>Kirishima (Sophia Britannia)</v>
          </cell>
          <cell r="C43" t="str">
            <v>NYK</v>
          </cell>
          <cell r="D43">
            <v>3618</v>
          </cell>
          <cell r="E43">
            <v>3618</v>
          </cell>
          <cell r="F43">
            <v>50501</v>
          </cell>
          <cell r="G43">
            <v>13.958264234383638</v>
          </cell>
          <cell r="H43">
            <v>21795</v>
          </cell>
          <cell r="I43">
            <v>6.0240464344941955</v>
          </cell>
          <cell r="J43">
            <v>46452</v>
          </cell>
          <cell r="K43">
            <v>12.839137645107794</v>
          </cell>
          <cell r="L43">
            <v>5</v>
          </cell>
          <cell r="N43">
            <v>44435</v>
          </cell>
          <cell r="O43">
            <v>12.281647318960752</v>
          </cell>
          <cell r="P43">
            <v>288.31</v>
          </cell>
          <cell r="Q43">
            <v>288.31</v>
          </cell>
          <cell r="R43">
            <v>32.200000000000003</v>
          </cell>
          <cell r="T43">
            <v>13.025</v>
          </cell>
          <cell r="V43">
            <v>21.5</v>
          </cell>
          <cell r="X43">
            <v>5.1499999999999998E-5</v>
          </cell>
          <cell r="Y43">
            <v>0.18632699999999999</v>
          </cell>
          <cell r="AA43">
            <v>6.19E-5</v>
          </cell>
          <cell r="AB43">
            <v>0.22395419999999999</v>
          </cell>
          <cell r="AD43">
            <v>40000</v>
          </cell>
        </row>
        <row r="44">
          <cell r="A44" t="str">
            <v>KAT</v>
          </cell>
          <cell r="B44" t="str">
            <v>Katsuragi</v>
          </cell>
          <cell r="C44" t="str">
            <v>NYK</v>
          </cell>
          <cell r="D44">
            <v>3609</v>
          </cell>
          <cell r="E44">
            <v>3609</v>
          </cell>
          <cell r="F44">
            <v>50437</v>
          </cell>
          <cell r="G44">
            <v>13.975339429204766</v>
          </cell>
          <cell r="H44">
            <v>21375</v>
          </cell>
          <cell r="I44">
            <v>5.9226932668329173</v>
          </cell>
          <cell r="J44">
            <v>46240</v>
          </cell>
          <cell r="K44">
            <v>12.812413410917152</v>
          </cell>
          <cell r="L44">
            <v>4</v>
          </cell>
          <cell r="N44">
            <v>42557</v>
          </cell>
          <cell r="O44">
            <v>11.791909116098642</v>
          </cell>
          <cell r="P44">
            <v>292.14999999999998</v>
          </cell>
          <cell r="Q44">
            <v>292.14999999999998</v>
          </cell>
          <cell r="R44">
            <v>32.200000000000003</v>
          </cell>
          <cell r="T44">
            <v>13.025</v>
          </cell>
          <cell r="V44">
            <v>21.8</v>
          </cell>
          <cell r="X44">
            <v>4.8999999999999998E-5</v>
          </cell>
          <cell r="Y44">
            <v>0.176841</v>
          </cell>
          <cell r="AA44">
            <v>6.0100000000000004E-5</v>
          </cell>
          <cell r="AB44">
            <v>0.21690090000000001</v>
          </cell>
          <cell r="AD44">
            <v>40000</v>
          </cell>
        </row>
        <row r="45">
          <cell r="A45" t="str">
            <v>SAZ</v>
          </cell>
          <cell r="B45" t="str">
            <v>NYK Sandra Azul</v>
          </cell>
          <cell r="C45" t="str">
            <v>NYK</v>
          </cell>
          <cell r="D45">
            <v>4895</v>
          </cell>
          <cell r="F45">
            <v>60117</v>
          </cell>
          <cell r="G45">
            <v>12.281307456588355</v>
          </cell>
          <cell r="H45">
            <v>23180</v>
          </cell>
          <cell r="I45">
            <v>4.7354443309499485</v>
          </cell>
          <cell r="J45">
            <v>53010</v>
          </cell>
          <cell r="K45">
            <v>10.829417773237997</v>
          </cell>
          <cell r="L45">
            <v>6</v>
          </cell>
          <cell r="O45">
            <v>0</v>
          </cell>
          <cell r="P45">
            <v>299.95</v>
          </cell>
          <cell r="R45">
            <v>37.1</v>
          </cell>
          <cell r="T45">
            <v>13.026</v>
          </cell>
          <cell r="V45">
            <v>21.8</v>
          </cell>
          <cell r="X45">
            <v>3.912898876404494E-5</v>
          </cell>
          <cell r="Y45">
            <v>0.1915364</v>
          </cell>
          <cell r="AA45">
            <v>4.6586741573033704E-5</v>
          </cell>
          <cell r="AB45">
            <v>0.2280421</v>
          </cell>
          <cell r="AD45">
            <v>51700</v>
          </cell>
        </row>
        <row r="46">
          <cell r="A46" t="str">
            <v>NLT</v>
          </cell>
          <cell r="B46" t="str">
            <v>NYK Lodestar</v>
          </cell>
          <cell r="C46" t="str">
            <v>NYK</v>
          </cell>
          <cell r="D46">
            <v>6258</v>
          </cell>
          <cell r="F46">
            <v>75201</v>
          </cell>
          <cell r="G46">
            <v>12.016778523489933</v>
          </cell>
          <cell r="H46">
            <v>28409</v>
          </cell>
          <cell r="I46">
            <v>4.5396292745286031</v>
          </cell>
          <cell r="J46">
            <v>77737.45</v>
          </cell>
          <cell r="K46">
            <v>12.422091722595077</v>
          </cell>
          <cell r="L46">
            <v>7</v>
          </cell>
          <cell r="O46">
            <v>0</v>
          </cell>
          <cell r="P46">
            <v>299.85199999999998</v>
          </cell>
          <cell r="R46">
            <v>40</v>
          </cell>
          <cell r="T46">
            <v>14</v>
          </cell>
          <cell r="V46">
            <v>24.3</v>
          </cell>
          <cell r="X46">
            <v>4.6607015020773412E-5</v>
          </cell>
          <cell r="Y46">
            <v>0.2916667</v>
          </cell>
          <cell r="AA46">
            <v>5.8410083093640135E-5</v>
          </cell>
          <cell r="AB46">
            <v>0.36553029999999997</v>
          </cell>
          <cell r="AD46">
            <v>65400</v>
          </cell>
        </row>
        <row r="47">
          <cell r="A47" t="str">
            <v>NLO</v>
          </cell>
          <cell r="B47" t="str">
            <v>NYK Leo</v>
          </cell>
          <cell r="C47" t="str">
            <v>NYK</v>
          </cell>
          <cell r="D47">
            <v>6258</v>
          </cell>
          <cell r="F47">
            <v>75201</v>
          </cell>
          <cell r="G47">
            <v>12.016778523489933</v>
          </cell>
          <cell r="H47">
            <v>28409</v>
          </cell>
          <cell r="I47">
            <v>4.5396292745286031</v>
          </cell>
          <cell r="J47">
            <v>77737.45</v>
          </cell>
          <cell r="K47">
            <v>12.422091722595077</v>
          </cell>
          <cell r="L47">
            <v>7</v>
          </cell>
          <cell r="O47">
            <v>0</v>
          </cell>
          <cell r="P47">
            <v>299.85199999999998</v>
          </cell>
          <cell r="R47">
            <v>40</v>
          </cell>
          <cell r="T47">
            <v>14</v>
          </cell>
          <cell r="V47">
            <v>24.3</v>
          </cell>
          <cell r="X47">
            <v>4.6607015020773412E-5</v>
          </cell>
          <cell r="Y47">
            <v>0.2916667</v>
          </cell>
          <cell r="AA47">
            <v>5.8410083093640135E-5</v>
          </cell>
          <cell r="AB47">
            <v>0.36553029999999997</v>
          </cell>
          <cell r="AD47">
            <v>65400</v>
          </cell>
        </row>
        <row r="48">
          <cell r="A48" t="str">
            <v>NLX</v>
          </cell>
          <cell r="B48" t="str">
            <v>NYK Lynx</v>
          </cell>
          <cell r="C48" t="str">
            <v>NYK</v>
          </cell>
          <cell r="D48">
            <v>6258</v>
          </cell>
          <cell r="F48">
            <v>75201</v>
          </cell>
          <cell r="G48">
            <v>12.016778523489933</v>
          </cell>
          <cell r="H48">
            <v>28409</v>
          </cell>
          <cell r="I48">
            <v>4.5396292745286031</v>
          </cell>
          <cell r="J48">
            <v>77737.45</v>
          </cell>
          <cell r="K48">
            <v>12.422091722595077</v>
          </cell>
          <cell r="L48">
            <v>7</v>
          </cell>
          <cell r="O48">
            <v>0</v>
          </cell>
          <cell r="P48">
            <v>299.85199999999998</v>
          </cell>
          <cell r="R48">
            <v>40</v>
          </cell>
          <cell r="T48">
            <v>14</v>
          </cell>
          <cell r="V48">
            <v>24.3</v>
          </cell>
          <cell r="X48">
            <v>4.6607015020773412E-5</v>
          </cell>
          <cell r="Y48">
            <v>0.2916667</v>
          </cell>
          <cell r="AA48">
            <v>5.8410083093640135E-5</v>
          </cell>
          <cell r="AB48">
            <v>0.36553029999999997</v>
          </cell>
          <cell r="AD48">
            <v>65400</v>
          </cell>
        </row>
        <row r="49">
          <cell r="A49" t="str">
            <v>SBL</v>
          </cell>
          <cell r="B49" t="str">
            <v>NYK Sandra Blanca</v>
          </cell>
          <cell r="C49" t="str">
            <v>NYK</v>
          </cell>
          <cell r="D49">
            <v>4895</v>
          </cell>
          <cell r="F49">
            <v>60117</v>
          </cell>
          <cell r="G49">
            <v>12.281307456588355</v>
          </cell>
          <cell r="H49">
            <v>23180</v>
          </cell>
          <cell r="I49">
            <v>4.7354443309499485</v>
          </cell>
          <cell r="J49">
            <v>53010</v>
          </cell>
          <cell r="K49">
            <v>10.829417773237997</v>
          </cell>
          <cell r="L49">
            <v>6</v>
          </cell>
          <cell r="O49">
            <v>0</v>
          </cell>
          <cell r="P49">
            <v>299.95</v>
          </cell>
          <cell r="R49">
            <v>37.1</v>
          </cell>
          <cell r="T49">
            <v>13.026</v>
          </cell>
          <cell r="V49">
            <v>21.8</v>
          </cell>
          <cell r="X49">
            <v>3.912898876404494E-5</v>
          </cell>
          <cell r="Y49">
            <v>0.1915364</v>
          </cell>
          <cell r="AA49">
            <v>4.6586741573033704E-5</v>
          </cell>
          <cell r="AB49">
            <v>0.2280421</v>
          </cell>
          <cell r="AD49">
            <v>51700</v>
          </cell>
        </row>
        <row r="50">
          <cell r="A50" t="str">
            <v>PCY</v>
          </cell>
          <cell r="B50" t="str">
            <v>NYK Procyon</v>
          </cell>
          <cell r="C50" t="str">
            <v>NYK</v>
          </cell>
          <cell r="D50">
            <v>4895</v>
          </cell>
          <cell r="F50">
            <v>60117</v>
          </cell>
          <cell r="G50">
            <v>12.281307456588355</v>
          </cell>
          <cell r="H50">
            <v>23180</v>
          </cell>
          <cell r="I50">
            <v>4.7354443309499485</v>
          </cell>
          <cell r="J50">
            <v>53010</v>
          </cell>
          <cell r="K50">
            <v>10.829417773237997</v>
          </cell>
          <cell r="L50">
            <v>6</v>
          </cell>
          <cell r="O50">
            <v>0</v>
          </cell>
          <cell r="P50">
            <v>299.95</v>
          </cell>
          <cell r="R50">
            <v>37.1</v>
          </cell>
          <cell r="T50">
            <v>13.026</v>
          </cell>
          <cell r="V50">
            <v>21.8</v>
          </cell>
          <cell r="X50">
            <v>3.912898876404494E-5</v>
          </cell>
          <cell r="Y50">
            <v>0.1915364</v>
          </cell>
          <cell r="AA50">
            <v>4.6586741573033704E-5</v>
          </cell>
          <cell r="AB50">
            <v>0.2280421</v>
          </cell>
          <cell r="AD50">
            <v>51700</v>
          </cell>
        </row>
        <row r="51">
          <cell r="A51" t="str">
            <v>CAM</v>
          </cell>
          <cell r="B51" t="str">
            <v>California Mercury</v>
          </cell>
          <cell r="C51" t="str">
            <v>NYK</v>
          </cell>
          <cell r="D51">
            <v>2990</v>
          </cell>
          <cell r="E51">
            <v>2990</v>
          </cell>
          <cell r="F51">
            <v>41442</v>
          </cell>
          <cell r="G51">
            <v>13.86020066889632</v>
          </cell>
          <cell r="H51">
            <v>15149</v>
          </cell>
          <cell r="I51">
            <v>5.0665551839464884</v>
          </cell>
          <cell r="J51">
            <v>37097</v>
          </cell>
          <cell r="K51">
            <v>12.407023411371238</v>
          </cell>
          <cell r="L51">
            <v>4</v>
          </cell>
          <cell r="N51">
            <v>37302</v>
          </cell>
          <cell r="O51">
            <v>12.475585284280937</v>
          </cell>
          <cell r="P51">
            <v>247.85</v>
          </cell>
          <cell r="Q51">
            <v>247.85</v>
          </cell>
          <cell r="R51">
            <v>32.200000000000003</v>
          </cell>
          <cell r="T51">
            <v>11.519</v>
          </cell>
          <cell r="V51">
            <v>21</v>
          </cell>
          <cell r="X51">
            <v>5.3499999999999999E-5</v>
          </cell>
          <cell r="Y51">
            <v>0.159965</v>
          </cell>
          <cell r="AA51">
            <v>6.6199999999999996E-5</v>
          </cell>
          <cell r="AB51">
            <v>0.197938</v>
          </cell>
          <cell r="AD51">
            <v>30100</v>
          </cell>
        </row>
        <row r="52">
          <cell r="A52" t="str">
            <v>CAL</v>
          </cell>
          <cell r="B52" t="str">
            <v>California Luna</v>
          </cell>
          <cell r="C52" t="str">
            <v>NYK</v>
          </cell>
          <cell r="D52">
            <v>2916</v>
          </cell>
          <cell r="E52">
            <v>2916</v>
          </cell>
          <cell r="F52">
            <v>41110</v>
          </cell>
          <cell r="G52">
            <v>14.098079561042525</v>
          </cell>
          <cell r="H52">
            <v>13837</v>
          </cell>
          <cell r="I52">
            <v>4.7451989026063099</v>
          </cell>
          <cell r="J52">
            <v>41998</v>
          </cell>
          <cell r="K52">
            <v>14.402606310013718</v>
          </cell>
          <cell r="L52">
            <v>4</v>
          </cell>
          <cell r="N52">
            <v>34708</v>
          </cell>
          <cell r="O52">
            <v>11.902606310013718</v>
          </cell>
          <cell r="P52">
            <v>242.68</v>
          </cell>
          <cell r="Q52">
            <v>242.68</v>
          </cell>
          <cell r="R52">
            <v>32.200000000000003</v>
          </cell>
          <cell r="T52">
            <v>11.523</v>
          </cell>
          <cell r="V52">
            <v>21.1</v>
          </cell>
          <cell r="X52">
            <v>5.3099999999999996E-5</v>
          </cell>
          <cell r="Y52">
            <v>0.15483959999999999</v>
          </cell>
          <cell r="AA52">
            <v>6.6400000000000001E-5</v>
          </cell>
          <cell r="AB52">
            <v>0.1936224</v>
          </cell>
          <cell r="AD52">
            <v>30000</v>
          </cell>
        </row>
        <row r="53">
          <cell r="A53" t="str">
            <v>CAJ</v>
          </cell>
          <cell r="B53" t="str">
            <v>California Jupiter</v>
          </cell>
          <cell r="C53" t="str">
            <v>NYK</v>
          </cell>
          <cell r="D53">
            <v>2841</v>
          </cell>
          <cell r="E53">
            <v>2841</v>
          </cell>
          <cell r="F53">
            <v>41688</v>
          </cell>
          <cell r="G53">
            <v>14.673706441393875</v>
          </cell>
          <cell r="H53">
            <v>13913</v>
          </cell>
          <cell r="I53">
            <v>4.8972192889827522</v>
          </cell>
          <cell r="J53">
            <v>37048</v>
          </cell>
          <cell r="K53">
            <v>13.040478704681449</v>
          </cell>
          <cell r="L53">
            <v>4</v>
          </cell>
          <cell r="N53">
            <v>36284</v>
          </cell>
          <cell r="O53">
            <v>12.771559310102077</v>
          </cell>
          <cell r="P53">
            <v>248.46</v>
          </cell>
          <cell r="Q53">
            <v>248.46</v>
          </cell>
          <cell r="R53">
            <v>32.200000000000003</v>
          </cell>
          <cell r="T53">
            <v>11.519</v>
          </cell>
          <cell r="V53">
            <v>21.2</v>
          </cell>
          <cell r="X53">
            <v>5.2700000000000007E-5</v>
          </cell>
          <cell r="Y53">
            <v>0.14972070000000001</v>
          </cell>
          <cell r="AA53">
            <v>6.5400000000000004E-5</v>
          </cell>
          <cell r="AB53">
            <v>0.18580140000000001</v>
          </cell>
          <cell r="AD53">
            <v>29000</v>
          </cell>
        </row>
        <row r="54">
          <cell r="A54" t="str">
            <v>SPR</v>
          </cell>
          <cell r="B54" t="str">
            <v>NYK Springtide</v>
          </cell>
          <cell r="C54" t="str">
            <v>NYK</v>
          </cell>
          <cell r="D54">
            <v>2893</v>
          </cell>
          <cell r="E54">
            <v>2893</v>
          </cell>
          <cell r="F54">
            <v>43213</v>
          </cell>
          <cell r="G54">
            <v>14.937089526443138</v>
          </cell>
          <cell r="H54">
            <v>15446</v>
          </cell>
          <cell r="I54">
            <v>5.3390943657103351</v>
          </cell>
          <cell r="J54">
            <v>38943</v>
          </cell>
          <cell r="K54">
            <v>13.461113031455238</v>
          </cell>
          <cell r="L54">
            <v>4</v>
          </cell>
          <cell r="N54">
            <v>37764</v>
          </cell>
          <cell r="O54">
            <v>13.053577601106118</v>
          </cell>
          <cell r="P54">
            <v>253.28</v>
          </cell>
          <cell r="Q54">
            <v>253.28</v>
          </cell>
          <cell r="R54">
            <v>32.200000000000003</v>
          </cell>
          <cell r="T54">
            <v>11.52</v>
          </cell>
          <cell r="V54">
            <v>21.2</v>
          </cell>
          <cell r="X54">
            <v>5.4400000000000001E-5</v>
          </cell>
          <cell r="Y54">
            <v>0.1573792</v>
          </cell>
          <cell r="AA54">
            <v>6.5099999999999997E-5</v>
          </cell>
          <cell r="AB54">
            <v>0.18833430000000001</v>
          </cell>
          <cell r="AD54">
            <v>29500</v>
          </cell>
        </row>
        <row r="55">
          <cell r="A55" t="str">
            <v>STB</v>
          </cell>
          <cell r="B55" t="str">
            <v>NYK Surfwind (Santa Barbara)</v>
          </cell>
          <cell r="C55" t="str">
            <v>NYK</v>
          </cell>
          <cell r="D55">
            <v>2893</v>
          </cell>
          <cell r="E55">
            <v>2893</v>
          </cell>
          <cell r="F55">
            <v>43213</v>
          </cell>
          <cell r="G55">
            <v>14.937089526443138</v>
          </cell>
          <cell r="H55">
            <v>15446</v>
          </cell>
          <cell r="I55">
            <v>5.3390943657103351</v>
          </cell>
          <cell r="J55">
            <v>38943</v>
          </cell>
          <cell r="K55">
            <v>13.461113031455238</v>
          </cell>
          <cell r="L55">
            <v>4</v>
          </cell>
          <cell r="N55">
            <v>37764</v>
          </cell>
          <cell r="O55">
            <v>13.053577601106118</v>
          </cell>
          <cell r="P55">
            <v>253.28</v>
          </cell>
          <cell r="Q55">
            <v>253.28</v>
          </cell>
          <cell r="R55">
            <v>32.200000000000003</v>
          </cell>
          <cell r="T55">
            <v>11.52</v>
          </cell>
          <cell r="V55">
            <v>21.2</v>
          </cell>
          <cell r="X55">
            <v>5.4400000000000001E-5</v>
          </cell>
          <cell r="Y55">
            <v>0.1573792</v>
          </cell>
          <cell r="AA55">
            <v>6.5099999999999997E-5</v>
          </cell>
          <cell r="AB55">
            <v>0.18833430000000001</v>
          </cell>
          <cell r="AD55">
            <v>29500</v>
          </cell>
        </row>
        <row r="56">
          <cell r="A56" t="str">
            <v>STC</v>
          </cell>
          <cell r="B56" t="str">
            <v>NYK Sunrise (Santa Cruz)</v>
          </cell>
          <cell r="C56" t="str">
            <v>NYK</v>
          </cell>
          <cell r="D56">
            <v>2918</v>
          </cell>
          <cell r="E56">
            <v>2918</v>
          </cell>
          <cell r="F56">
            <v>43209</v>
          </cell>
          <cell r="G56">
            <v>14.807745030843042</v>
          </cell>
          <cell r="H56">
            <v>13357</v>
          </cell>
          <cell r="I56">
            <v>4.5774503084304321</v>
          </cell>
          <cell r="J56">
            <v>37954</v>
          </cell>
          <cell r="K56">
            <v>13.006854009595614</v>
          </cell>
          <cell r="L56">
            <v>4</v>
          </cell>
          <cell r="N56">
            <v>34299</v>
          </cell>
          <cell r="O56">
            <v>11.754283755997259</v>
          </cell>
          <cell r="P56">
            <v>251.5</v>
          </cell>
          <cell r="Q56">
            <v>251.5</v>
          </cell>
          <cell r="R56">
            <v>32.200000000000003</v>
          </cell>
          <cell r="T56">
            <v>11.525</v>
          </cell>
          <cell r="V56">
            <v>21.2</v>
          </cell>
          <cell r="X56">
            <v>5.4176285126799176E-5</v>
          </cell>
          <cell r="Y56">
            <v>0.15808639999999999</v>
          </cell>
          <cell r="AA56">
            <v>6.4832282385195338E-5</v>
          </cell>
          <cell r="AB56">
            <v>0.1891806</v>
          </cell>
          <cell r="AD56">
            <v>28500</v>
          </cell>
        </row>
        <row r="57">
          <cell r="A57" t="str">
            <v>STM</v>
          </cell>
          <cell r="B57" t="str">
            <v>NYK Seabreeze (Santa Monica)</v>
          </cell>
          <cell r="C57" t="str">
            <v>NYK</v>
          </cell>
          <cell r="D57">
            <v>2905</v>
          </cell>
          <cell r="E57">
            <v>2905</v>
          </cell>
          <cell r="F57">
            <v>43213</v>
          </cell>
          <cell r="G57">
            <v>14.875387263339071</v>
          </cell>
          <cell r="H57">
            <v>15446</v>
          </cell>
          <cell r="I57">
            <v>5.3170395869191047</v>
          </cell>
          <cell r="J57">
            <v>38943</v>
          </cell>
          <cell r="K57">
            <v>13.405507745266782</v>
          </cell>
          <cell r="L57">
            <v>4</v>
          </cell>
          <cell r="N57">
            <v>37764</v>
          </cell>
          <cell r="O57">
            <v>12.999655765920826</v>
          </cell>
          <cell r="P57">
            <v>253.28</v>
          </cell>
          <cell r="Q57">
            <v>253.28</v>
          </cell>
          <cell r="R57">
            <v>32.200000000000003</v>
          </cell>
          <cell r="T57">
            <v>11.52</v>
          </cell>
          <cell r="V57">
            <v>21.2</v>
          </cell>
          <cell r="X57">
            <v>5.4175283993115315E-5</v>
          </cell>
          <cell r="Y57">
            <v>0.1573792</v>
          </cell>
          <cell r="AA57">
            <v>6.4831084337349404E-5</v>
          </cell>
          <cell r="AB57">
            <v>0.18833430000000001</v>
          </cell>
          <cell r="AD57">
            <v>29500</v>
          </cell>
        </row>
        <row r="58">
          <cell r="A58" t="str">
            <v>STL</v>
          </cell>
          <cell r="B58" t="str">
            <v>NYK Starlight</v>
          </cell>
          <cell r="C58" t="str">
            <v>NYK</v>
          </cell>
          <cell r="D58">
            <v>2918</v>
          </cell>
          <cell r="E58">
            <v>2918</v>
          </cell>
          <cell r="F58">
            <v>43227</v>
          </cell>
          <cell r="G58">
            <v>14.813913639479095</v>
          </cell>
          <cell r="H58">
            <v>13357</v>
          </cell>
          <cell r="I58">
            <v>4.5774503084304321</v>
          </cell>
          <cell r="J58">
            <v>37954</v>
          </cell>
          <cell r="K58">
            <v>13.006854009595614</v>
          </cell>
          <cell r="L58">
            <v>4</v>
          </cell>
          <cell r="N58">
            <v>34308</v>
          </cell>
          <cell r="O58">
            <v>11.757368060315285</v>
          </cell>
          <cell r="P58">
            <v>251.5</v>
          </cell>
          <cell r="Q58">
            <v>251.5</v>
          </cell>
          <cell r="R58">
            <v>32.200000000000003</v>
          </cell>
          <cell r="T58">
            <v>11.525</v>
          </cell>
          <cell r="V58">
            <v>21.2</v>
          </cell>
          <cell r="X58">
            <v>5.4176285126799176E-5</v>
          </cell>
          <cell r="Y58">
            <v>0.15808639999999999</v>
          </cell>
          <cell r="AA58">
            <v>6.4832282385195338E-5</v>
          </cell>
          <cell r="AB58">
            <v>0.1891806</v>
          </cell>
          <cell r="AD58">
            <v>28500</v>
          </cell>
        </row>
        <row r="59">
          <cell r="A59" t="str">
            <v>CCH</v>
          </cell>
          <cell r="B59" t="str">
            <v>Cape Charles</v>
          </cell>
          <cell r="C59" t="str">
            <v>NYK</v>
          </cell>
          <cell r="D59">
            <v>2829</v>
          </cell>
          <cell r="E59">
            <v>2829</v>
          </cell>
          <cell r="F59">
            <v>41843</v>
          </cell>
          <cell r="G59">
            <v>14.790738776952987</v>
          </cell>
          <cell r="H59">
            <v>13967</v>
          </cell>
          <cell r="I59">
            <v>4.9370802403676208</v>
          </cell>
          <cell r="J59">
            <v>37283</v>
          </cell>
          <cell r="K59">
            <v>13.178861788617887</v>
          </cell>
          <cell r="L59">
            <v>4</v>
          </cell>
          <cell r="N59">
            <v>37635</v>
          </cell>
          <cell r="O59">
            <v>13.303287380699894</v>
          </cell>
          <cell r="P59">
            <v>248.46</v>
          </cell>
          <cell r="Q59">
            <v>248.46</v>
          </cell>
          <cell r="R59">
            <v>32.200000000000003</v>
          </cell>
          <cell r="T59">
            <v>11.529</v>
          </cell>
          <cell r="V59">
            <v>21.2</v>
          </cell>
          <cell r="X59">
            <v>5.8200000000000005E-5</v>
          </cell>
          <cell r="Y59">
            <v>0.16464780000000001</v>
          </cell>
          <cell r="AA59">
            <v>7.2799999999999994E-5</v>
          </cell>
          <cell r="AB59">
            <v>0.2059512</v>
          </cell>
          <cell r="AD59">
            <v>29000</v>
          </cell>
        </row>
        <row r="60">
          <cell r="A60" t="str">
            <v>CMY</v>
          </cell>
          <cell r="B60" t="str">
            <v>Cape May</v>
          </cell>
          <cell r="C60" t="str">
            <v>NYK</v>
          </cell>
          <cell r="D60">
            <v>2826</v>
          </cell>
          <cell r="E60">
            <v>2826</v>
          </cell>
          <cell r="F60">
            <v>42145</v>
          </cell>
          <cell r="G60">
            <v>14.913305024769993</v>
          </cell>
          <cell r="H60">
            <v>20190</v>
          </cell>
          <cell r="I60">
            <v>7.1443736730360934</v>
          </cell>
          <cell r="J60">
            <v>37288</v>
          </cell>
          <cell r="K60">
            <v>13.194621372965322</v>
          </cell>
          <cell r="L60">
            <v>4</v>
          </cell>
          <cell r="N60">
            <v>36951</v>
          </cell>
          <cell r="O60">
            <v>13.075371549893843</v>
          </cell>
          <cell r="P60">
            <v>248.09</v>
          </cell>
          <cell r="Q60">
            <v>248.09</v>
          </cell>
          <cell r="R60">
            <v>32.200000000000003</v>
          </cell>
          <cell r="T60">
            <v>11.528</v>
          </cell>
          <cell r="V60">
            <v>21.5</v>
          </cell>
          <cell r="X60">
            <v>5.5699999999999999E-5</v>
          </cell>
          <cell r="Y60">
            <v>0.1574082</v>
          </cell>
          <cell r="AA60">
            <v>6.8999999999999997E-5</v>
          </cell>
          <cell r="AB60">
            <v>0.194994</v>
          </cell>
          <cell r="AD60">
            <v>29000</v>
          </cell>
        </row>
        <row r="61">
          <cell r="A61" t="str">
            <v>NAT</v>
          </cell>
          <cell r="B61" t="str">
            <v>NYK Antares</v>
          </cell>
          <cell r="C61" t="str">
            <v>NYK</v>
          </cell>
          <cell r="D61">
            <v>6141</v>
          </cell>
          <cell r="F61">
            <v>75637</v>
          </cell>
          <cell r="G61">
            <v>12.316723660641589</v>
          </cell>
          <cell r="H61">
            <v>29588</v>
          </cell>
          <cell r="I61">
            <v>4.8181078000325677</v>
          </cell>
          <cell r="J61">
            <v>68302</v>
          </cell>
          <cell r="K61">
            <v>11.122292786191174</v>
          </cell>
          <cell r="L61">
            <v>7</v>
          </cell>
          <cell r="O61">
            <v>0</v>
          </cell>
          <cell r="P61">
            <v>299.89999999999998</v>
          </cell>
          <cell r="R61">
            <v>40</v>
          </cell>
          <cell r="T61">
            <v>14</v>
          </cell>
          <cell r="V61">
            <v>23.9</v>
          </cell>
          <cell r="X61">
            <v>4.3746458231558381E-5</v>
          </cell>
          <cell r="Y61">
            <v>0.26864700000000002</v>
          </cell>
          <cell r="AA61">
            <v>5.1967269174401565E-5</v>
          </cell>
          <cell r="AB61">
            <v>0.319131</v>
          </cell>
          <cell r="AD61">
            <v>66400</v>
          </cell>
        </row>
        <row r="62">
          <cell r="A62" t="str">
            <v>ADM</v>
          </cell>
          <cell r="B62" t="str">
            <v>NYK Andromeda</v>
          </cell>
          <cell r="C62" t="str">
            <v>NYK</v>
          </cell>
          <cell r="D62">
            <v>6141</v>
          </cell>
          <cell r="F62">
            <v>75637</v>
          </cell>
          <cell r="G62">
            <v>12.316723660641589</v>
          </cell>
          <cell r="H62">
            <v>29588</v>
          </cell>
          <cell r="I62">
            <v>4.8181078000325677</v>
          </cell>
          <cell r="J62">
            <v>68302</v>
          </cell>
          <cell r="K62">
            <v>11.122292786191174</v>
          </cell>
          <cell r="L62">
            <v>7</v>
          </cell>
          <cell r="O62">
            <v>0</v>
          </cell>
          <cell r="P62">
            <v>299.89999999999998</v>
          </cell>
          <cell r="R62">
            <v>40</v>
          </cell>
          <cell r="T62">
            <v>14</v>
          </cell>
          <cell r="V62">
            <v>23.9</v>
          </cell>
          <cell r="X62">
            <v>4.3746458231558381E-5</v>
          </cell>
          <cell r="Y62">
            <v>0.26864700000000002</v>
          </cell>
          <cell r="AA62">
            <v>5.1967269174401565E-5</v>
          </cell>
          <cell r="AB62">
            <v>0.319131</v>
          </cell>
          <cell r="AD62">
            <v>66400</v>
          </cell>
        </row>
        <row r="63">
          <cell r="A63" t="str">
            <v>CSR</v>
          </cell>
          <cell r="B63" t="str">
            <v>NYK Castor</v>
          </cell>
          <cell r="C63" t="str">
            <v>NYK</v>
          </cell>
          <cell r="D63">
            <v>6135</v>
          </cell>
          <cell r="F63">
            <v>76847</v>
          </cell>
          <cell r="G63">
            <v>12.52599837000815</v>
          </cell>
          <cell r="H63">
            <v>30006</v>
          </cell>
          <cell r="I63">
            <v>4.8909535452322741</v>
          </cell>
          <cell r="J63">
            <v>68259</v>
          </cell>
          <cell r="K63">
            <v>11.126161369193154</v>
          </cell>
          <cell r="L63">
            <v>7</v>
          </cell>
          <cell r="O63">
            <v>0</v>
          </cell>
          <cell r="P63">
            <v>299.89999999999998</v>
          </cell>
          <cell r="R63">
            <v>40</v>
          </cell>
          <cell r="T63">
            <v>14</v>
          </cell>
          <cell r="V63">
            <v>23.9</v>
          </cell>
          <cell r="X63">
            <v>4.4321923390383048E-5</v>
          </cell>
          <cell r="Y63">
            <v>0.27191500000000002</v>
          </cell>
          <cell r="AA63">
            <v>5.2759576202118992E-5</v>
          </cell>
          <cell r="AB63">
            <v>0.32368000000000002</v>
          </cell>
          <cell r="AD63">
            <v>67400</v>
          </cell>
        </row>
        <row r="64">
          <cell r="A64" t="str">
            <v>SRS</v>
          </cell>
          <cell r="B64" t="str">
            <v>NYK Sirius</v>
          </cell>
          <cell r="C64" t="str">
            <v>NYK</v>
          </cell>
          <cell r="D64">
            <v>6135</v>
          </cell>
          <cell r="F64">
            <v>76847</v>
          </cell>
          <cell r="G64">
            <v>12.52599837000815</v>
          </cell>
          <cell r="H64">
            <v>30006</v>
          </cell>
          <cell r="I64">
            <v>4.8909535452322741</v>
          </cell>
          <cell r="J64">
            <v>68259</v>
          </cell>
          <cell r="K64">
            <v>11.126161369193154</v>
          </cell>
          <cell r="L64">
            <v>7</v>
          </cell>
          <cell r="O64">
            <v>0</v>
          </cell>
          <cell r="P64">
            <v>299.89999999999998</v>
          </cell>
          <cell r="R64">
            <v>40</v>
          </cell>
          <cell r="T64">
            <v>14</v>
          </cell>
          <cell r="V64">
            <v>23.9</v>
          </cell>
          <cell r="X64">
            <v>4.4321923390383048E-5</v>
          </cell>
          <cell r="Y64">
            <v>0.27191500000000002</v>
          </cell>
          <cell r="AA64">
            <v>5.2759576202118992E-5</v>
          </cell>
          <cell r="AB64">
            <v>0.32368000000000002</v>
          </cell>
          <cell r="AD64">
            <v>67400</v>
          </cell>
        </row>
        <row r="65">
          <cell r="A65" t="str">
            <v>CAN</v>
          </cell>
          <cell r="B65" t="str">
            <v>NYK Canopus</v>
          </cell>
          <cell r="C65" t="str">
            <v>NYK</v>
          </cell>
          <cell r="D65">
            <v>6135</v>
          </cell>
          <cell r="F65">
            <v>76847</v>
          </cell>
          <cell r="G65">
            <v>12.52599837000815</v>
          </cell>
          <cell r="H65">
            <v>30006</v>
          </cell>
          <cell r="I65">
            <v>4.8909535452322741</v>
          </cell>
          <cell r="J65">
            <v>68259</v>
          </cell>
          <cell r="K65">
            <v>11.126161369193154</v>
          </cell>
          <cell r="L65">
            <v>7</v>
          </cell>
          <cell r="O65">
            <v>0</v>
          </cell>
          <cell r="P65">
            <v>299.89999999999998</v>
          </cell>
          <cell r="R65">
            <v>40</v>
          </cell>
          <cell r="T65">
            <v>14</v>
          </cell>
          <cell r="V65">
            <v>23.9</v>
          </cell>
          <cell r="X65">
            <v>4.4321923390383048E-5</v>
          </cell>
          <cell r="Y65">
            <v>0.27191500000000002</v>
          </cell>
          <cell r="AA65">
            <v>5.2759576202118992E-5</v>
          </cell>
          <cell r="AB65">
            <v>0.32368000000000002</v>
          </cell>
          <cell r="AD65">
            <v>67400</v>
          </cell>
        </row>
        <row r="66">
          <cell r="A66" t="str">
            <v>NAR</v>
          </cell>
          <cell r="B66" t="str">
            <v>NYK Artemis</v>
          </cell>
          <cell r="C66" t="str">
            <v>NYK</v>
          </cell>
          <cell r="D66">
            <v>6238</v>
          </cell>
          <cell r="F66">
            <v>75484</v>
          </cell>
          <cell r="G66">
            <v>12.100673292722027</v>
          </cell>
          <cell r="H66">
            <v>29555</v>
          </cell>
          <cell r="I66">
            <v>4.7378967617826229</v>
          </cell>
          <cell r="J66">
            <v>76535.91</v>
          </cell>
          <cell r="K66">
            <v>12.269302661109331</v>
          </cell>
          <cell r="L66">
            <v>7</v>
          </cell>
          <cell r="O66">
            <v>0</v>
          </cell>
          <cell r="P66">
            <v>299.89999999999998</v>
          </cell>
          <cell r="R66">
            <v>40</v>
          </cell>
          <cell r="T66">
            <v>14</v>
          </cell>
          <cell r="V66">
            <v>23.9</v>
          </cell>
          <cell r="X66">
            <v>4.5918162872715616E-5</v>
          </cell>
          <cell r="Y66">
            <v>0.28643750000000001</v>
          </cell>
          <cell r="AA66">
            <v>5.7228053863417763E-5</v>
          </cell>
          <cell r="AB66">
            <v>0.35698859999999999</v>
          </cell>
          <cell r="AD66">
            <v>66000</v>
          </cell>
        </row>
        <row r="67">
          <cell r="A67" t="str">
            <v>NAO</v>
          </cell>
          <cell r="B67" t="str">
            <v>NYK Apollo</v>
          </cell>
          <cell r="C67" t="str">
            <v>NYK</v>
          </cell>
          <cell r="D67">
            <v>6238</v>
          </cell>
          <cell r="F67">
            <v>75484</v>
          </cell>
          <cell r="G67">
            <v>12.100673292722027</v>
          </cell>
          <cell r="H67">
            <v>29555</v>
          </cell>
          <cell r="I67">
            <v>4.7378967617826229</v>
          </cell>
          <cell r="J67">
            <v>76535.91</v>
          </cell>
          <cell r="K67">
            <v>12.269302661109331</v>
          </cell>
          <cell r="L67">
            <v>7</v>
          </cell>
          <cell r="O67">
            <v>0</v>
          </cell>
          <cell r="P67">
            <v>299.89999999999998</v>
          </cell>
          <cell r="R67">
            <v>40</v>
          </cell>
          <cell r="T67">
            <v>14</v>
          </cell>
          <cell r="V67">
            <v>23.9</v>
          </cell>
          <cell r="X67">
            <v>4.5918162872715616E-5</v>
          </cell>
          <cell r="Y67">
            <v>0.28643750000000001</v>
          </cell>
          <cell r="AA67">
            <v>5.7228053863417763E-5</v>
          </cell>
          <cell r="AB67">
            <v>0.35698859999999999</v>
          </cell>
          <cell r="AD67">
            <v>66000</v>
          </cell>
        </row>
        <row r="68">
          <cell r="A68" t="str">
            <v>NAL</v>
          </cell>
          <cell r="B68" t="str">
            <v>NYK Atlas</v>
          </cell>
          <cell r="C68" t="str">
            <v>NYK</v>
          </cell>
          <cell r="D68">
            <v>6238</v>
          </cell>
          <cell r="F68">
            <v>75484</v>
          </cell>
          <cell r="G68">
            <v>12.100673292722027</v>
          </cell>
          <cell r="H68">
            <v>29555</v>
          </cell>
          <cell r="I68">
            <v>4.7378967617826229</v>
          </cell>
          <cell r="J68">
            <v>76535.91</v>
          </cell>
          <cell r="K68">
            <v>12.269302661109331</v>
          </cell>
          <cell r="L68">
            <v>7</v>
          </cell>
          <cell r="O68">
            <v>0</v>
          </cell>
          <cell r="P68">
            <v>299.89999999999998</v>
          </cell>
          <cell r="R68">
            <v>40</v>
          </cell>
          <cell r="T68">
            <v>14</v>
          </cell>
          <cell r="V68">
            <v>23.9</v>
          </cell>
          <cell r="X68">
            <v>4.5918162872715616E-5</v>
          </cell>
          <cell r="Y68">
            <v>0.28643750000000001</v>
          </cell>
          <cell r="AA68">
            <v>5.7228053863417763E-5</v>
          </cell>
          <cell r="AB68">
            <v>0.35698859999999999</v>
          </cell>
          <cell r="AD68">
            <v>66000</v>
          </cell>
        </row>
        <row r="69">
          <cell r="A69" t="str">
            <v>NLY</v>
          </cell>
          <cell r="B69" t="str">
            <v>NYK Lyra</v>
          </cell>
          <cell r="C69" t="str">
            <v>NYK</v>
          </cell>
          <cell r="D69">
            <v>6258</v>
          </cell>
          <cell r="F69">
            <v>75201</v>
          </cell>
          <cell r="G69">
            <v>12.016778523489933</v>
          </cell>
          <cell r="H69">
            <v>28409</v>
          </cell>
          <cell r="I69">
            <v>4.5396292745286031</v>
          </cell>
          <cell r="J69">
            <v>77737.45</v>
          </cell>
          <cell r="K69">
            <v>12.422091722595077</v>
          </cell>
          <cell r="L69">
            <v>7</v>
          </cell>
          <cell r="O69">
            <v>0</v>
          </cell>
          <cell r="P69">
            <v>299.85199999999998</v>
          </cell>
          <cell r="R69">
            <v>40</v>
          </cell>
          <cell r="T69">
            <v>14</v>
          </cell>
          <cell r="V69">
            <v>24.3</v>
          </cell>
          <cell r="X69">
            <v>4.6607015020773412E-5</v>
          </cell>
          <cell r="Y69">
            <v>0.2916667</v>
          </cell>
          <cell r="AA69">
            <v>5.8410083093640135E-5</v>
          </cell>
          <cell r="AB69">
            <v>0.36553029999999997</v>
          </cell>
          <cell r="AD69">
            <v>65400</v>
          </cell>
        </row>
        <row r="70">
          <cell r="A70" t="str">
            <v>NLR</v>
          </cell>
          <cell r="B70" t="str">
            <v>NYK Libra</v>
          </cell>
          <cell r="C70" t="str">
            <v>NYK</v>
          </cell>
          <cell r="D70">
            <v>6258</v>
          </cell>
          <cell r="F70">
            <v>75201</v>
          </cell>
          <cell r="G70">
            <v>12.016778523489933</v>
          </cell>
          <cell r="H70">
            <v>28409</v>
          </cell>
          <cell r="I70">
            <v>4.5396292745286031</v>
          </cell>
          <cell r="J70">
            <v>77737.45</v>
          </cell>
          <cell r="K70">
            <v>12.422091722595077</v>
          </cell>
          <cell r="L70">
            <v>7</v>
          </cell>
          <cell r="O70">
            <v>0</v>
          </cell>
          <cell r="P70">
            <v>299.85199999999998</v>
          </cell>
          <cell r="R70">
            <v>40</v>
          </cell>
          <cell r="T70">
            <v>14</v>
          </cell>
          <cell r="V70">
            <v>24.3</v>
          </cell>
          <cell r="X70">
            <v>4.6607015020773412E-5</v>
          </cell>
          <cell r="Y70">
            <v>0.2916667</v>
          </cell>
          <cell r="AA70">
            <v>5.8410083093640135E-5</v>
          </cell>
          <cell r="AB70">
            <v>0.36553029999999997</v>
          </cell>
          <cell r="AD70">
            <v>65400</v>
          </cell>
        </row>
        <row r="71">
          <cell r="A71" t="str">
            <v>NAE</v>
          </cell>
          <cell r="B71" t="str">
            <v>NYK Aphrodite</v>
          </cell>
          <cell r="C71" t="str">
            <v>NYK</v>
          </cell>
          <cell r="D71">
            <v>6238</v>
          </cell>
          <cell r="F71">
            <v>75484</v>
          </cell>
          <cell r="G71">
            <v>12.100673292722027</v>
          </cell>
          <cell r="H71">
            <v>29555</v>
          </cell>
          <cell r="I71">
            <v>4.7378967617826229</v>
          </cell>
          <cell r="J71">
            <v>76535.91</v>
          </cell>
          <cell r="K71">
            <v>12.269302661109331</v>
          </cell>
          <cell r="L71">
            <v>7</v>
          </cell>
          <cell r="O71">
            <v>0</v>
          </cell>
          <cell r="P71">
            <v>299.89999999999998</v>
          </cell>
          <cell r="R71">
            <v>40</v>
          </cell>
          <cell r="T71">
            <v>14</v>
          </cell>
          <cell r="V71">
            <v>23.9</v>
          </cell>
          <cell r="X71">
            <v>4.5918162872715616E-5</v>
          </cell>
          <cell r="Y71">
            <v>0.28643750000000001</v>
          </cell>
          <cell r="AA71">
            <v>5.7228053863417763E-5</v>
          </cell>
          <cell r="AB71">
            <v>0.35698859999999999</v>
          </cell>
          <cell r="AD71">
            <v>66000</v>
          </cell>
        </row>
        <row r="72">
          <cell r="A72" t="str">
            <v>NAH</v>
          </cell>
          <cell r="B72" t="str">
            <v>NYK Athena</v>
          </cell>
          <cell r="C72" t="str">
            <v>NYK</v>
          </cell>
          <cell r="D72">
            <v>6238</v>
          </cell>
          <cell r="F72">
            <v>75484</v>
          </cell>
          <cell r="G72">
            <v>12.100673292722027</v>
          </cell>
          <cell r="H72">
            <v>29555</v>
          </cell>
          <cell r="I72">
            <v>4.7378967617826229</v>
          </cell>
          <cell r="J72">
            <v>76535.91</v>
          </cell>
          <cell r="K72">
            <v>12.269302661109331</v>
          </cell>
          <cell r="L72">
            <v>7</v>
          </cell>
          <cell r="O72">
            <v>0</v>
          </cell>
          <cell r="P72">
            <v>299.89999999999998</v>
          </cell>
          <cell r="R72">
            <v>40</v>
          </cell>
          <cell r="T72">
            <v>14</v>
          </cell>
          <cell r="V72">
            <v>23.9</v>
          </cell>
          <cell r="X72">
            <v>4.5918162872715616E-5</v>
          </cell>
          <cell r="Y72">
            <v>0.28643750000000001</v>
          </cell>
          <cell r="AA72">
            <v>5.7228053863417763E-5</v>
          </cell>
          <cell r="AB72">
            <v>0.35698859999999999</v>
          </cell>
          <cell r="AD72">
            <v>66000</v>
          </cell>
        </row>
        <row r="73">
          <cell r="A73" t="str">
            <v>NAQ</v>
          </cell>
          <cell r="B73" t="str">
            <v>NYK Aquarius</v>
          </cell>
          <cell r="C73" t="str">
            <v>NYK</v>
          </cell>
          <cell r="D73">
            <v>6238</v>
          </cell>
          <cell r="F73">
            <v>75484</v>
          </cell>
          <cell r="G73">
            <v>12.100673292722027</v>
          </cell>
          <cell r="H73">
            <v>29555</v>
          </cell>
          <cell r="I73">
            <v>4.7378967617826229</v>
          </cell>
          <cell r="J73">
            <v>76535.91</v>
          </cell>
          <cell r="K73">
            <v>12.269302661109331</v>
          </cell>
          <cell r="L73">
            <v>7</v>
          </cell>
          <cell r="O73">
            <v>0</v>
          </cell>
          <cell r="P73">
            <v>299.89999999999998</v>
          </cell>
          <cell r="R73">
            <v>40</v>
          </cell>
          <cell r="T73">
            <v>14</v>
          </cell>
          <cell r="V73">
            <v>23.9</v>
          </cell>
          <cell r="X73">
            <v>4.5918162872715616E-5</v>
          </cell>
          <cell r="Y73">
            <v>0.28643750000000001</v>
          </cell>
          <cell r="AA73">
            <v>5.7228053863417763E-5</v>
          </cell>
          <cell r="AB73">
            <v>0.35698859999999999</v>
          </cell>
          <cell r="AD73">
            <v>66000</v>
          </cell>
        </row>
        <row r="74">
          <cell r="A74" t="str">
            <v>NAG</v>
          </cell>
          <cell r="B74" t="str">
            <v>NYK Argus</v>
          </cell>
          <cell r="C74" t="str">
            <v>NYK</v>
          </cell>
          <cell r="D74">
            <v>6238</v>
          </cell>
          <cell r="F74">
            <v>75484</v>
          </cell>
          <cell r="G74">
            <v>12.100673292722027</v>
          </cell>
          <cell r="H74">
            <v>29555</v>
          </cell>
          <cell r="I74">
            <v>4.7378967617826229</v>
          </cell>
          <cell r="J74">
            <v>76535.91</v>
          </cell>
          <cell r="K74">
            <v>12.269302661109331</v>
          </cell>
          <cell r="L74">
            <v>7</v>
          </cell>
          <cell r="O74">
            <v>0</v>
          </cell>
          <cell r="P74">
            <v>299.89999999999998</v>
          </cell>
          <cell r="R74">
            <v>40</v>
          </cell>
          <cell r="T74">
            <v>14</v>
          </cell>
          <cell r="V74">
            <v>23.9</v>
          </cell>
          <cell r="X74">
            <v>4.5918162872715616E-5</v>
          </cell>
          <cell r="Y74">
            <v>0.28643750000000001</v>
          </cell>
          <cell r="AA74">
            <v>5.7228053863417763E-5</v>
          </cell>
          <cell r="AB74">
            <v>0.35698859999999999</v>
          </cell>
          <cell r="AD74">
            <v>66000</v>
          </cell>
        </row>
        <row r="75">
          <cell r="A75" t="str">
            <v>NPG</v>
          </cell>
          <cell r="B75" t="str">
            <v>NYK Pegasus</v>
          </cell>
          <cell r="C75" t="str">
            <v>NYK</v>
          </cell>
          <cell r="D75">
            <v>6238</v>
          </cell>
          <cell r="F75">
            <v>76199</v>
          </cell>
          <cell r="G75">
            <v>12.215293363257455</v>
          </cell>
          <cell r="H75">
            <v>29780</v>
          </cell>
          <cell r="I75">
            <v>4.7739660147483169</v>
          </cell>
          <cell r="J75">
            <v>77639.59</v>
          </cell>
          <cell r="K75">
            <v>12.446231163834561</v>
          </cell>
          <cell r="L75">
            <v>7</v>
          </cell>
          <cell r="O75">
            <v>0</v>
          </cell>
          <cell r="P75">
            <v>299.95</v>
          </cell>
          <cell r="R75">
            <v>40</v>
          </cell>
          <cell r="T75">
            <v>14.023</v>
          </cell>
          <cell r="V75">
            <v>24</v>
          </cell>
          <cell r="X75">
            <v>4.5918162872715616E-5</v>
          </cell>
          <cell r="Y75">
            <v>0.28643750000000001</v>
          </cell>
          <cell r="AA75">
            <v>5.7228053863417763E-5</v>
          </cell>
          <cell r="AB75">
            <v>0.35698859999999999</v>
          </cell>
          <cell r="AD75">
            <v>66000</v>
          </cell>
        </row>
        <row r="76">
          <cell r="A76" t="str">
            <v>NPX</v>
          </cell>
          <cell r="B76" t="str">
            <v>NYK Phoenix</v>
          </cell>
          <cell r="C76" t="str">
            <v>NYK</v>
          </cell>
          <cell r="D76">
            <v>6238</v>
          </cell>
          <cell r="F76">
            <v>76199</v>
          </cell>
          <cell r="G76">
            <v>12.215293363257455</v>
          </cell>
          <cell r="H76">
            <v>29780</v>
          </cell>
          <cell r="I76">
            <v>4.7739660147483169</v>
          </cell>
          <cell r="J76">
            <v>77639.59</v>
          </cell>
          <cell r="K76">
            <v>12.446231163834561</v>
          </cell>
          <cell r="L76">
            <v>7</v>
          </cell>
          <cell r="O76">
            <v>0</v>
          </cell>
          <cell r="P76">
            <v>299.95</v>
          </cell>
          <cell r="R76">
            <v>40</v>
          </cell>
          <cell r="T76">
            <v>14.023</v>
          </cell>
          <cell r="V76">
            <v>24</v>
          </cell>
          <cell r="X76">
            <v>4.5918162872715616E-5</v>
          </cell>
          <cell r="Y76">
            <v>0.28643750000000001</v>
          </cell>
          <cell r="AA76">
            <v>5.7228053863417763E-5</v>
          </cell>
          <cell r="AB76">
            <v>0.35698859999999999</v>
          </cell>
          <cell r="AD76">
            <v>66000</v>
          </cell>
        </row>
        <row r="78">
          <cell r="A78" t="str">
            <v>CLB</v>
          </cell>
          <cell r="B78" t="str">
            <v>Colombo Bay</v>
          </cell>
          <cell r="C78" t="str">
            <v>PON</v>
          </cell>
          <cell r="D78">
            <v>4034</v>
          </cell>
          <cell r="E78">
            <v>4034</v>
          </cell>
          <cell r="F78">
            <v>50350</v>
          </cell>
          <cell r="G78">
            <v>12.481408031730293</v>
          </cell>
          <cell r="H78">
            <v>28369</v>
          </cell>
          <cell r="I78">
            <v>7.0324739712444222</v>
          </cell>
          <cell r="J78">
            <v>45429</v>
          </cell>
          <cell r="K78">
            <v>11.261527020327218</v>
          </cell>
          <cell r="L78">
            <v>5</v>
          </cell>
          <cell r="N78">
            <v>41236</v>
          </cell>
          <cell r="O78">
            <v>10.222112047595438</v>
          </cell>
          <cell r="P78">
            <v>292.2</v>
          </cell>
          <cell r="Q78">
            <v>292.2</v>
          </cell>
          <cell r="R78">
            <v>32.200000000000003</v>
          </cell>
          <cell r="T78">
            <v>13.03</v>
          </cell>
          <cell r="V78">
            <v>21.2</v>
          </cell>
          <cell r="X78">
            <v>5.001636093207734E-5</v>
          </cell>
          <cell r="Y78">
            <v>0.201766</v>
          </cell>
          <cell r="AA78">
            <v>6.096554288547347E-5</v>
          </cell>
          <cell r="AB78">
            <v>0.24593499999999999</v>
          </cell>
          <cell r="AD78">
            <v>42000</v>
          </cell>
        </row>
        <row r="79">
          <cell r="A79" t="str">
            <v>JEB</v>
          </cell>
          <cell r="B79" t="str">
            <v>Jervis Bay</v>
          </cell>
          <cell r="C79" t="str">
            <v>PON</v>
          </cell>
          <cell r="D79">
            <v>4034</v>
          </cell>
          <cell r="E79">
            <v>4034</v>
          </cell>
          <cell r="F79">
            <v>50350</v>
          </cell>
          <cell r="G79">
            <v>12.481408031730293</v>
          </cell>
          <cell r="H79">
            <v>28369</v>
          </cell>
          <cell r="I79">
            <v>7.0324739712444222</v>
          </cell>
          <cell r="J79">
            <v>45429</v>
          </cell>
          <cell r="K79">
            <v>11.261527020327218</v>
          </cell>
          <cell r="L79">
            <v>5</v>
          </cell>
          <cell r="N79">
            <v>43642</v>
          </cell>
          <cell r="O79">
            <v>10.818542389687655</v>
          </cell>
          <cell r="P79">
            <v>292.2</v>
          </cell>
          <cell r="Q79">
            <v>292.2</v>
          </cell>
          <cell r="R79">
            <v>32.200000000000003</v>
          </cell>
          <cell r="T79">
            <v>13.03</v>
          </cell>
          <cell r="V79">
            <v>21.2</v>
          </cell>
          <cell r="X79">
            <v>5.001636093207734E-5</v>
          </cell>
          <cell r="Y79">
            <v>0.201766</v>
          </cell>
          <cell r="AA79">
            <v>6.096554288547347E-5</v>
          </cell>
          <cell r="AB79">
            <v>0.24593499999999999</v>
          </cell>
          <cell r="AD79">
            <v>42000</v>
          </cell>
        </row>
        <row r="80">
          <cell r="A80" t="str">
            <v>NEB</v>
          </cell>
          <cell r="B80" t="str">
            <v>Newport Bay</v>
          </cell>
          <cell r="C80" t="str">
            <v>PON</v>
          </cell>
          <cell r="D80">
            <v>4034</v>
          </cell>
          <cell r="E80">
            <v>4034</v>
          </cell>
          <cell r="F80">
            <v>50350</v>
          </cell>
          <cell r="G80">
            <v>12.481408031730293</v>
          </cell>
          <cell r="H80">
            <v>28369</v>
          </cell>
          <cell r="I80">
            <v>7.0324739712444222</v>
          </cell>
          <cell r="J80">
            <v>45429</v>
          </cell>
          <cell r="K80">
            <v>11.261527020327218</v>
          </cell>
          <cell r="L80">
            <v>5</v>
          </cell>
          <cell r="N80">
            <v>43488</v>
          </cell>
          <cell r="O80">
            <v>10.780366881507188</v>
          </cell>
          <cell r="P80">
            <v>292.2</v>
          </cell>
          <cell r="Q80">
            <v>292.2</v>
          </cell>
          <cell r="R80">
            <v>32.200000000000003</v>
          </cell>
          <cell r="T80">
            <v>13.03</v>
          </cell>
          <cell r="V80">
            <v>21.2</v>
          </cell>
          <cell r="X80">
            <v>5.001636093207734E-5</v>
          </cell>
          <cell r="Y80">
            <v>0.201766</v>
          </cell>
          <cell r="AA80">
            <v>6.096554288547347E-5</v>
          </cell>
          <cell r="AB80">
            <v>0.24593499999999999</v>
          </cell>
          <cell r="AD80">
            <v>42000</v>
          </cell>
        </row>
        <row r="81">
          <cell r="A81" t="str">
            <v>ORB</v>
          </cell>
          <cell r="B81" t="str">
            <v>Oriental Bay</v>
          </cell>
          <cell r="C81" t="str">
            <v>PON</v>
          </cell>
          <cell r="D81">
            <v>4034</v>
          </cell>
          <cell r="E81">
            <v>4034</v>
          </cell>
          <cell r="F81">
            <v>50235</v>
          </cell>
          <cell r="G81">
            <v>12.452900347050074</v>
          </cell>
          <cell r="H81">
            <v>31795</v>
          </cell>
          <cell r="I81">
            <v>7.88175508180466</v>
          </cell>
          <cell r="J81">
            <v>46159</v>
          </cell>
          <cell r="K81">
            <v>11.442488844819039</v>
          </cell>
          <cell r="L81">
            <v>5</v>
          </cell>
          <cell r="N81">
            <v>42772</v>
          </cell>
          <cell r="O81">
            <v>10.602875557759049</v>
          </cell>
          <cell r="P81">
            <v>292.2</v>
          </cell>
          <cell r="Q81">
            <v>292.2</v>
          </cell>
          <cell r="R81">
            <v>32.200000000000003</v>
          </cell>
          <cell r="T81">
            <v>13.03</v>
          </cell>
          <cell r="V81">
            <v>21.2</v>
          </cell>
          <cell r="X81">
            <v>5.163609320773426E-5</v>
          </cell>
          <cell r="Y81">
            <v>0.20830000000000001</v>
          </cell>
          <cell r="AA81">
            <v>6.6264253842340107E-5</v>
          </cell>
          <cell r="AB81">
            <v>0.26730999999999999</v>
          </cell>
          <cell r="AD81">
            <v>42000</v>
          </cell>
        </row>
        <row r="82">
          <cell r="A82" t="str">
            <v>PEB</v>
          </cell>
          <cell r="B82" t="str">
            <v>Peninsular Bay</v>
          </cell>
          <cell r="C82" t="str">
            <v>PON</v>
          </cell>
          <cell r="D82">
            <v>4034</v>
          </cell>
          <cell r="E82">
            <v>4034</v>
          </cell>
          <cell r="F82">
            <v>50235</v>
          </cell>
          <cell r="G82">
            <v>12.452900347050074</v>
          </cell>
          <cell r="H82">
            <v>31795</v>
          </cell>
          <cell r="I82">
            <v>7.88175508180466</v>
          </cell>
          <cell r="J82">
            <v>46159</v>
          </cell>
          <cell r="K82">
            <v>11.442488844819039</v>
          </cell>
          <cell r="L82">
            <v>5</v>
          </cell>
          <cell r="N82">
            <v>43893</v>
          </cell>
          <cell r="O82">
            <v>10.880763510163609</v>
          </cell>
          <cell r="P82">
            <v>292.2</v>
          </cell>
          <cell r="Q82">
            <v>292.2</v>
          </cell>
          <cell r="R82">
            <v>32.200000000000003</v>
          </cell>
          <cell r="T82">
            <v>13.03</v>
          </cell>
          <cell r="V82">
            <v>21.2</v>
          </cell>
          <cell r="X82">
            <v>5.1636836886465047E-5</v>
          </cell>
          <cell r="Y82">
            <v>0.20830299999999999</v>
          </cell>
          <cell r="AA82">
            <v>6.6264253842340107E-5</v>
          </cell>
          <cell r="AB82">
            <v>0.26730999999999999</v>
          </cell>
          <cell r="AD82">
            <v>42000</v>
          </cell>
        </row>
        <row r="83">
          <cell r="A83" t="str">
            <v>PRO</v>
          </cell>
          <cell r="B83" t="str">
            <v>Providence Bay</v>
          </cell>
          <cell r="C83" t="str">
            <v>PON</v>
          </cell>
          <cell r="D83">
            <v>4034</v>
          </cell>
          <cell r="E83">
            <v>4034</v>
          </cell>
          <cell r="F83">
            <v>50350</v>
          </cell>
          <cell r="G83">
            <v>12.481408031730293</v>
          </cell>
          <cell r="H83">
            <v>28369</v>
          </cell>
          <cell r="I83">
            <v>7.0324739712444222</v>
          </cell>
          <cell r="J83">
            <v>45429</v>
          </cell>
          <cell r="K83">
            <v>11.261527020327218</v>
          </cell>
          <cell r="L83">
            <v>5</v>
          </cell>
          <cell r="N83">
            <v>42772</v>
          </cell>
          <cell r="O83">
            <v>10.602875557759049</v>
          </cell>
          <cell r="P83">
            <v>292.2</v>
          </cell>
          <cell r="Q83">
            <v>292.2</v>
          </cell>
          <cell r="R83">
            <v>32.200000000000003</v>
          </cell>
          <cell r="T83">
            <v>13.03</v>
          </cell>
          <cell r="V83">
            <v>21.2</v>
          </cell>
          <cell r="X83">
            <v>5.001636093207734E-5</v>
          </cell>
          <cell r="Y83">
            <v>0.201766</v>
          </cell>
          <cell r="AA83">
            <v>6.096554288547347E-5</v>
          </cell>
          <cell r="AB83">
            <v>0.24593499999999999</v>
          </cell>
          <cell r="AD83">
            <v>42000</v>
          </cell>
        </row>
        <row r="84">
          <cell r="A84" t="str">
            <v>REB</v>
          </cell>
          <cell r="B84" t="str">
            <v>Repulse Bay</v>
          </cell>
          <cell r="C84" t="str">
            <v>PON</v>
          </cell>
          <cell r="D84">
            <v>4034</v>
          </cell>
          <cell r="E84">
            <v>4034</v>
          </cell>
          <cell r="F84">
            <v>50350</v>
          </cell>
          <cell r="G84">
            <v>12.481408031730293</v>
          </cell>
          <cell r="H84">
            <v>28369</v>
          </cell>
          <cell r="I84">
            <v>7.0324739712444222</v>
          </cell>
          <cell r="J84">
            <v>45429</v>
          </cell>
          <cell r="K84">
            <v>11.261527020327218</v>
          </cell>
          <cell r="L84">
            <v>5</v>
          </cell>
          <cell r="N84">
            <v>43642</v>
          </cell>
          <cell r="O84">
            <v>10.818542389687655</v>
          </cell>
          <cell r="P84">
            <v>292.2</v>
          </cell>
          <cell r="Q84">
            <v>292.2</v>
          </cell>
          <cell r="R84">
            <v>32.200000000000003</v>
          </cell>
          <cell r="T84">
            <v>13.03</v>
          </cell>
          <cell r="V84">
            <v>21.2</v>
          </cell>
          <cell r="X84">
            <v>5.001636093207734E-5</v>
          </cell>
          <cell r="Y84">
            <v>0.201766</v>
          </cell>
          <cell r="AA84">
            <v>6.096554288547347E-5</v>
          </cell>
          <cell r="AB84">
            <v>0.24593499999999999</v>
          </cell>
          <cell r="AD84">
            <v>42000</v>
          </cell>
        </row>
        <row r="85">
          <cell r="A85" t="str">
            <v>SZB</v>
          </cell>
          <cell r="B85" t="str">
            <v>Shenzen Bay</v>
          </cell>
          <cell r="C85" t="str">
            <v>PON</v>
          </cell>
          <cell r="D85">
            <v>4034</v>
          </cell>
          <cell r="E85">
            <v>4034</v>
          </cell>
          <cell r="F85">
            <v>50350</v>
          </cell>
          <cell r="G85">
            <v>12.481408031730293</v>
          </cell>
          <cell r="H85">
            <v>28369</v>
          </cell>
          <cell r="I85">
            <v>7.0324739712444222</v>
          </cell>
          <cell r="J85">
            <v>45429</v>
          </cell>
          <cell r="K85">
            <v>11.261527020327218</v>
          </cell>
          <cell r="L85">
            <v>5</v>
          </cell>
          <cell r="N85">
            <v>42772</v>
          </cell>
          <cell r="O85">
            <v>10.602875557759049</v>
          </cell>
          <cell r="P85">
            <v>292.2</v>
          </cell>
          <cell r="Q85">
            <v>292.2</v>
          </cell>
          <cell r="R85">
            <v>32.200000000000003</v>
          </cell>
          <cell r="T85">
            <v>13.03</v>
          </cell>
          <cell r="V85">
            <v>21.2</v>
          </cell>
          <cell r="X85">
            <v>5.001636093207734E-5</v>
          </cell>
          <cell r="Y85">
            <v>0.201766</v>
          </cell>
          <cell r="AA85">
            <v>6.096554288547347E-5</v>
          </cell>
          <cell r="AB85">
            <v>0.24593499999999999</v>
          </cell>
          <cell r="AD85">
            <v>42000</v>
          </cell>
        </row>
        <row r="86">
          <cell r="A86" t="str">
            <v>SIB</v>
          </cell>
          <cell r="B86" t="str">
            <v>Singapore Bay</v>
          </cell>
          <cell r="C86" t="str">
            <v>PON</v>
          </cell>
          <cell r="D86">
            <v>4034</v>
          </cell>
          <cell r="E86">
            <v>4034</v>
          </cell>
          <cell r="F86">
            <v>50350</v>
          </cell>
          <cell r="G86">
            <v>12.481408031730293</v>
          </cell>
          <cell r="H86">
            <v>28369</v>
          </cell>
          <cell r="I86">
            <v>7.0324739712444222</v>
          </cell>
          <cell r="J86">
            <v>45429</v>
          </cell>
          <cell r="K86">
            <v>11.261527020327218</v>
          </cell>
          <cell r="L86">
            <v>5</v>
          </cell>
          <cell r="N86">
            <v>42772</v>
          </cell>
          <cell r="O86">
            <v>10.602875557759049</v>
          </cell>
          <cell r="P86">
            <v>292.2</v>
          </cell>
          <cell r="Q86">
            <v>292.2</v>
          </cell>
          <cell r="R86">
            <v>32.200000000000003</v>
          </cell>
          <cell r="T86">
            <v>13.03</v>
          </cell>
          <cell r="V86">
            <v>21.2</v>
          </cell>
          <cell r="X86">
            <v>5.001636093207734E-5</v>
          </cell>
          <cell r="Y86">
            <v>0.201766</v>
          </cell>
          <cell r="AA86">
            <v>6.096554288547347E-5</v>
          </cell>
          <cell r="AB86">
            <v>0.24593499999999999</v>
          </cell>
          <cell r="AD86">
            <v>42000</v>
          </cell>
        </row>
        <row r="87">
          <cell r="A87" t="str">
            <v>TAZ</v>
          </cell>
          <cell r="B87" t="str">
            <v>P&amp;O Nedlloyd Tasman</v>
          </cell>
          <cell r="C87" t="str">
            <v>PON</v>
          </cell>
          <cell r="D87">
            <v>5618</v>
          </cell>
          <cell r="F87">
            <v>66593</v>
          </cell>
          <cell r="G87">
            <v>11.853506585973657</v>
          </cell>
          <cell r="H87">
            <v>29689</v>
          </cell>
          <cell r="I87">
            <v>5.2846208615165535</v>
          </cell>
          <cell r="J87">
            <v>32000</v>
          </cell>
          <cell r="K87">
            <v>5.6959772160911353</v>
          </cell>
          <cell r="L87">
            <v>7</v>
          </cell>
          <cell r="O87">
            <v>0</v>
          </cell>
          <cell r="P87">
            <v>278.01</v>
          </cell>
          <cell r="R87">
            <v>40</v>
          </cell>
          <cell r="T87">
            <v>14</v>
          </cell>
          <cell r="V87">
            <v>24.3</v>
          </cell>
          <cell r="X87">
            <v>4.6279814880740476E-5</v>
          </cell>
          <cell r="Y87">
            <v>0.26</v>
          </cell>
          <cell r="AA87">
            <v>5.6959772160911357E-5</v>
          </cell>
          <cell r="AB87">
            <v>0.32</v>
          </cell>
          <cell r="AD87">
            <v>58000</v>
          </cell>
        </row>
        <row r="88">
          <cell r="A88" t="str">
            <v>PMR</v>
          </cell>
          <cell r="B88" t="str">
            <v>P&amp;O Nedlloyd Mercator</v>
          </cell>
          <cell r="C88" t="str">
            <v>PON</v>
          </cell>
          <cell r="D88">
            <v>5618</v>
          </cell>
          <cell r="F88">
            <v>66593</v>
          </cell>
          <cell r="G88">
            <v>11.853506585973657</v>
          </cell>
          <cell r="H88">
            <v>29689</v>
          </cell>
          <cell r="I88">
            <v>5.2846208615165535</v>
          </cell>
          <cell r="J88">
            <v>32000</v>
          </cell>
          <cell r="K88">
            <v>5.6959772160911353</v>
          </cell>
          <cell r="L88">
            <v>7</v>
          </cell>
          <cell r="O88">
            <v>0</v>
          </cell>
          <cell r="P88">
            <v>278.01</v>
          </cell>
          <cell r="R88">
            <v>40</v>
          </cell>
          <cell r="T88">
            <v>14</v>
          </cell>
          <cell r="V88">
            <v>24.3</v>
          </cell>
          <cell r="X88">
            <v>4.6279814880740476E-5</v>
          </cell>
          <cell r="Y88">
            <v>0.26</v>
          </cell>
          <cell r="AA88">
            <v>5.6959772160911357E-5</v>
          </cell>
          <cell r="AB88">
            <v>0.32</v>
          </cell>
          <cell r="AD88">
            <v>58000</v>
          </cell>
        </row>
        <row r="89">
          <cell r="A89" t="str">
            <v>PST</v>
          </cell>
          <cell r="B89" t="str">
            <v>P&amp;O Nedlloyd Seattle</v>
          </cell>
          <cell r="C89" t="str">
            <v>PON</v>
          </cell>
          <cell r="D89">
            <v>3459</v>
          </cell>
          <cell r="E89">
            <v>3459</v>
          </cell>
          <cell r="F89">
            <v>36028</v>
          </cell>
          <cell r="G89">
            <v>10.415727088753975</v>
          </cell>
          <cell r="H89">
            <v>16642</v>
          </cell>
          <cell r="I89">
            <v>4.811217114773056</v>
          </cell>
          <cell r="J89">
            <v>32155</v>
          </cell>
          <cell r="K89">
            <v>9.2960393177218847</v>
          </cell>
          <cell r="L89">
            <v>5</v>
          </cell>
          <cell r="N89">
            <v>29831</v>
          </cell>
          <cell r="O89">
            <v>8.6241688349233883</v>
          </cell>
          <cell r="P89">
            <v>246.45</v>
          </cell>
          <cell r="Q89">
            <v>246.45</v>
          </cell>
          <cell r="R89">
            <v>32.200000000000003</v>
          </cell>
          <cell r="T89">
            <v>13.028</v>
          </cell>
          <cell r="V89">
            <v>18.8</v>
          </cell>
          <cell r="X89">
            <v>5.306880601329864E-5</v>
          </cell>
          <cell r="Y89">
            <v>0.18356500000000001</v>
          </cell>
          <cell r="AA89">
            <v>6.5419485400404744E-5</v>
          </cell>
          <cell r="AB89">
            <v>0.22628599999999999</v>
          </cell>
          <cell r="AD89">
            <v>33500</v>
          </cell>
        </row>
        <row r="90">
          <cell r="A90" t="str">
            <v>NHK</v>
          </cell>
          <cell r="B90" t="str">
            <v>Nedlloyd HongKong</v>
          </cell>
          <cell r="C90" t="str">
            <v>PON</v>
          </cell>
          <cell r="D90">
            <v>4112</v>
          </cell>
          <cell r="F90">
            <v>56248</v>
          </cell>
          <cell r="G90">
            <v>13.678988326848248</v>
          </cell>
          <cell r="H90">
            <v>23535</v>
          </cell>
          <cell r="I90">
            <v>5.7234922178988326</v>
          </cell>
          <cell r="J90">
            <v>47144</v>
          </cell>
          <cell r="K90">
            <v>11.464980544747082</v>
          </cell>
          <cell r="L90">
            <v>5</v>
          </cell>
          <cell r="O90">
            <v>0</v>
          </cell>
          <cell r="P90">
            <v>279.12</v>
          </cell>
          <cell r="R90">
            <v>37.75</v>
          </cell>
          <cell r="T90">
            <v>13.032</v>
          </cell>
          <cell r="V90">
            <v>23.25</v>
          </cell>
          <cell r="X90">
            <v>4.918555447470817E-5</v>
          </cell>
          <cell r="Y90">
            <v>0.20225099999999999</v>
          </cell>
          <cell r="AA90">
            <v>5.984241245136187E-5</v>
          </cell>
          <cell r="AB90">
            <v>0.24607200000000001</v>
          </cell>
          <cell r="AD90">
            <v>44500</v>
          </cell>
        </row>
        <row r="91">
          <cell r="A91" t="str">
            <v>NHS</v>
          </cell>
          <cell r="B91" t="str">
            <v>Nedlloyd Honshu</v>
          </cell>
          <cell r="C91" t="str">
            <v>PON</v>
          </cell>
          <cell r="D91">
            <v>4112</v>
          </cell>
          <cell r="F91">
            <v>56248</v>
          </cell>
          <cell r="G91">
            <v>13.678988326848248</v>
          </cell>
          <cell r="H91">
            <v>23535</v>
          </cell>
          <cell r="I91">
            <v>5.7234922178988326</v>
          </cell>
          <cell r="J91">
            <v>47144</v>
          </cell>
          <cell r="K91">
            <v>11.464980544747082</v>
          </cell>
          <cell r="L91">
            <v>5</v>
          </cell>
          <cell r="O91">
            <v>0</v>
          </cell>
          <cell r="P91">
            <v>279.12</v>
          </cell>
          <cell r="R91">
            <v>37.75</v>
          </cell>
          <cell r="T91">
            <v>13.032</v>
          </cell>
          <cell r="V91">
            <v>23.25</v>
          </cell>
          <cell r="X91">
            <v>4.918555447470817E-5</v>
          </cell>
          <cell r="Y91">
            <v>0.20225099999999999</v>
          </cell>
          <cell r="AA91">
            <v>5.984241245136187E-5</v>
          </cell>
          <cell r="AB91">
            <v>0.24607200000000001</v>
          </cell>
          <cell r="AD91">
            <v>44500</v>
          </cell>
        </row>
        <row r="92">
          <cell r="A92" t="str">
            <v>AFR</v>
          </cell>
          <cell r="B92" t="str">
            <v>Nedlloyd Africa</v>
          </cell>
          <cell r="C92" t="str">
            <v>PON</v>
          </cell>
          <cell r="D92">
            <v>3341</v>
          </cell>
          <cell r="E92">
            <v>3341</v>
          </cell>
          <cell r="F92">
            <v>48508</v>
          </cell>
          <cell r="G92">
            <v>14.51900628554325</v>
          </cell>
          <cell r="H92">
            <v>20825</v>
          </cell>
          <cell r="I92">
            <v>6.233163723436097</v>
          </cell>
          <cell r="J92">
            <v>41540</v>
          </cell>
          <cell r="K92">
            <v>12.433403172702784</v>
          </cell>
          <cell r="L92">
            <v>5</v>
          </cell>
          <cell r="N92">
            <v>39993</v>
          </cell>
          <cell r="O92">
            <v>11.970368153247531</v>
          </cell>
          <cell r="P92">
            <v>266</v>
          </cell>
          <cell r="Q92">
            <v>266</v>
          </cell>
          <cell r="R92">
            <v>32.24</v>
          </cell>
          <cell r="T92">
            <v>13.029</v>
          </cell>
          <cell r="V92">
            <v>23.25</v>
          </cell>
          <cell r="X92">
            <v>6.4539060161628256E-5</v>
          </cell>
          <cell r="Y92">
            <v>0.21562500000000001</v>
          </cell>
          <cell r="AA92">
            <v>8.1126908111343903E-5</v>
          </cell>
          <cell r="AB92">
            <v>0.27104499999999998</v>
          </cell>
          <cell r="AD92">
            <v>35500</v>
          </cell>
        </row>
        <row r="93">
          <cell r="A93" t="str">
            <v>AME</v>
          </cell>
          <cell r="B93" t="str">
            <v>Nedlloyd America</v>
          </cell>
          <cell r="C93" t="str">
            <v>PON</v>
          </cell>
          <cell r="D93">
            <v>3341</v>
          </cell>
          <cell r="E93">
            <v>3341</v>
          </cell>
          <cell r="F93">
            <v>48508</v>
          </cell>
          <cell r="G93">
            <v>14.51900628554325</v>
          </cell>
          <cell r="H93">
            <v>20825</v>
          </cell>
          <cell r="I93">
            <v>6.233163723436097</v>
          </cell>
          <cell r="J93">
            <v>41540</v>
          </cell>
          <cell r="K93">
            <v>12.433403172702784</v>
          </cell>
          <cell r="L93">
            <v>5</v>
          </cell>
          <cell r="N93">
            <v>39993</v>
          </cell>
          <cell r="O93">
            <v>11.970368153247531</v>
          </cell>
          <cell r="P93">
            <v>266</v>
          </cell>
          <cell r="Q93">
            <v>266</v>
          </cell>
          <cell r="R93">
            <v>32.24</v>
          </cell>
          <cell r="T93">
            <v>13.029</v>
          </cell>
          <cell r="V93">
            <v>23.25</v>
          </cell>
          <cell r="X93">
            <v>6.4539060161628256E-5</v>
          </cell>
          <cell r="Y93">
            <v>0.21562500000000001</v>
          </cell>
          <cell r="AA93">
            <v>8.1126908111343903E-5</v>
          </cell>
          <cell r="AB93">
            <v>0.27104499999999998</v>
          </cell>
          <cell r="AD93">
            <v>35500</v>
          </cell>
        </row>
        <row r="94">
          <cell r="A94" t="str">
            <v>ASI</v>
          </cell>
          <cell r="B94" t="str">
            <v>Nedlloyd Asia</v>
          </cell>
          <cell r="C94" t="str">
            <v>PON</v>
          </cell>
          <cell r="D94">
            <v>3341</v>
          </cell>
          <cell r="E94">
            <v>3341</v>
          </cell>
          <cell r="F94">
            <v>48508</v>
          </cell>
          <cell r="G94">
            <v>14.51900628554325</v>
          </cell>
          <cell r="H94">
            <v>20825</v>
          </cell>
          <cell r="I94">
            <v>6.233163723436097</v>
          </cell>
          <cell r="J94">
            <v>41540</v>
          </cell>
          <cell r="K94">
            <v>12.433403172702784</v>
          </cell>
          <cell r="L94">
            <v>5</v>
          </cell>
          <cell r="N94">
            <v>39993</v>
          </cell>
          <cell r="O94">
            <v>11.970368153247531</v>
          </cell>
          <cell r="P94">
            <v>266</v>
          </cell>
          <cell r="Q94">
            <v>266</v>
          </cell>
          <cell r="R94">
            <v>32.24</v>
          </cell>
          <cell r="T94">
            <v>13.029</v>
          </cell>
          <cell r="V94">
            <v>23.25</v>
          </cell>
          <cell r="X94">
            <v>6.4539060161628256E-5</v>
          </cell>
          <cell r="Y94">
            <v>0.21562500000000001</v>
          </cell>
          <cell r="AA94">
            <v>8.1126908111343903E-5</v>
          </cell>
          <cell r="AB94">
            <v>0.27104499999999998</v>
          </cell>
          <cell r="AD94">
            <v>35500</v>
          </cell>
        </row>
        <row r="95">
          <cell r="A95" t="str">
            <v>EUR</v>
          </cell>
          <cell r="B95" t="str">
            <v>Nedlloyd Europa</v>
          </cell>
          <cell r="C95" t="str">
            <v>PON</v>
          </cell>
          <cell r="D95">
            <v>3341</v>
          </cell>
          <cell r="E95">
            <v>3341</v>
          </cell>
          <cell r="F95">
            <v>48508</v>
          </cell>
          <cell r="G95">
            <v>14.51900628554325</v>
          </cell>
          <cell r="H95">
            <v>20825</v>
          </cell>
          <cell r="I95">
            <v>6.233163723436097</v>
          </cell>
          <cell r="J95">
            <v>41540</v>
          </cell>
          <cell r="K95">
            <v>12.433403172702784</v>
          </cell>
          <cell r="L95">
            <v>5</v>
          </cell>
          <cell r="N95">
            <v>39993</v>
          </cell>
          <cell r="O95">
            <v>11.970368153247531</v>
          </cell>
          <cell r="P95">
            <v>266</v>
          </cell>
          <cell r="Q95">
            <v>266</v>
          </cell>
          <cell r="R95">
            <v>32.24</v>
          </cell>
          <cell r="T95">
            <v>13.029</v>
          </cell>
          <cell r="V95">
            <v>23.25</v>
          </cell>
          <cell r="X95">
            <v>6.4539060161628256E-5</v>
          </cell>
          <cell r="Y95">
            <v>0.21562500000000001</v>
          </cell>
          <cell r="AA95">
            <v>8.1126908111343903E-5</v>
          </cell>
          <cell r="AB95">
            <v>0.27104499999999998</v>
          </cell>
          <cell r="AD95">
            <v>35500</v>
          </cell>
        </row>
        <row r="96">
          <cell r="A96" t="str">
            <v>OCE</v>
          </cell>
          <cell r="B96" t="str">
            <v>Nedlloyd Oceania</v>
          </cell>
          <cell r="C96" t="str">
            <v>PON</v>
          </cell>
          <cell r="D96">
            <v>3341</v>
          </cell>
          <cell r="E96">
            <v>3341</v>
          </cell>
          <cell r="F96">
            <v>48508</v>
          </cell>
          <cell r="G96">
            <v>14.51900628554325</v>
          </cell>
          <cell r="H96">
            <v>20825</v>
          </cell>
          <cell r="I96">
            <v>6.233163723436097</v>
          </cell>
          <cell r="J96">
            <v>41540</v>
          </cell>
          <cell r="K96">
            <v>12.433403172702784</v>
          </cell>
          <cell r="L96">
            <v>5</v>
          </cell>
          <cell r="N96">
            <v>39993</v>
          </cell>
          <cell r="O96">
            <v>11.970368153247531</v>
          </cell>
          <cell r="P96">
            <v>266</v>
          </cell>
          <cell r="Q96">
            <v>266</v>
          </cell>
          <cell r="R96">
            <v>32.24</v>
          </cell>
          <cell r="T96">
            <v>13.029</v>
          </cell>
          <cell r="V96">
            <v>23.25</v>
          </cell>
          <cell r="X96">
            <v>6.4539060161628256E-5</v>
          </cell>
          <cell r="Y96">
            <v>0.21562500000000001</v>
          </cell>
          <cell r="AA96">
            <v>8.1126908111343903E-5</v>
          </cell>
          <cell r="AB96">
            <v>0.27104499999999998</v>
          </cell>
          <cell r="AD96">
            <v>35500</v>
          </cell>
        </row>
        <row r="97">
          <cell r="A97" t="str">
            <v>SOT</v>
          </cell>
          <cell r="B97" t="str">
            <v>P&amp;O Nedlloyd Southampton</v>
          </cell>
          <cell r="C97" t="str">
            <v>PON</v>
          </cell>
          <cell r="D97">
            <v>6930</v>
          </cell>
          <cell r="F97">
            <v>80942</v>
          </cell>
          <cell r="G97">
            <v>11.67994227994228</v>
          </cell>
          <cell r="H97">
            <v>48880</v>
          </cell>
          <cell r="I97">
            <v>7.0533910533910538</v>
          </cell>
          <cell r="J97">
            <v>70922</v>
          </cell>
          <cell r="K97">
            <v>10.234054834054835</v>
          </cell>
          <cell r="L97">
            <v>7</v>
          </cell>
          <cell r="O97">
            <v>0</v>
          </cell>
          <cell r="P97">
            <v>299</v>
          </cell>
          <cell r="R97">
            <v>42.8</v>
          </cell>
          <cell r="T97">
            <v>14.03</v>
          </cell>
          <cell r="V97">
            <v>24.4</v>
          </cell>
          <cell r="X97">
            <v>4.2010678210678209E-5</v>
          </cell>
          <cell r="Y97">
            <v>0.291134</v>
          </cell>
          <cell r="AA97">
            <v>5.0833044733044735E-5</v>
          </cell>
          <cell r="AB97">
            <v>0.352273</v>
          </cell>
          <cell r="AD97">
            <v>72000</v>
          </cell>
        </row>
        <row r="98">
          <cell r="A98" t="str">
            <v>KBE</v>
          </cell>
          <cell r="B98" t="str">
            <v>P&amp;O Nedlloyd Kobe</v>
          </cell>
          <cell r="C98" t="str">
            <v>PON</v>
          </cell>
          <cell r="D98">
            <v>6930</v>
          </cell>
          <cell r="F98">
            <v>80942</v>
          </cell>
          <cell r="G98">
            <v>11.67994227994228</v>
          </cell>
          <cell r="H98">
            <v>48880</v>
          </cell>
          <cell r="I98">
            <v>7.0533910533910538</v>
          </cell>
          <cell r="J98">
            <v>70922</v>
          </cell>
          <cell r="K98">
            <v>10.234054834054835</v>
          </cell>
          <cell r="L98">
            <v>7</v>
          </cell>
          <cell r="O98">
            <v>0</v>
          </cell>
          <cell r="P98">
            <v>299</v>
          </cell>
          <cell r="R98">
            <v>42.8</v>
          </cell>
          <cell r="T98">
            <v>14.03</v>
          </cell>
          <cell r="V98">
            <v>24.4</v>
          </cell>
          <cell r="X98">
            <v>4.2010678210678209E-5</v>
          </cell>
          <cell r="Y98">
            <v>0.291134</v>
          </cell>
          <cell r="AA98">
            <v>5.0833044733044735E-5</v>
          </cell>
          <cell r="AB98">
            <v>0.352273</v>
          </cell>
          <cell r="AD98">
            <v>72000</v>
          </cell>
        </row>
        <row r="99">
          <cell r="A99" t="str">
            <v>ROT</v>
          </cell>
          <cell r="B99" t="str">
            <v>P&amp;O Nedlloyd Rotterdam</v>
          </cell>
          <cell r="C99" t="str">
            <v>PON</v>
          </cell>
          <cell r="D99">
            <v>6930</v>
          </cell>
          <cell r="F99">
            <v>80942</v>
          </cell>
          <cell r="G99">
            <v>11.67994227994228</v>
          </cell>
          <cell r="H99">
            <v>48880</v>
          </cell>
          <cell r="I99">
            <v>7.0533910533910538</v>
          </cell>
          <cell r="J99">
            <v>70922</v>
          </cell>
          <cell r="K99">
            <v>10.234054834054835</v>
          </cell>
          <cell r="L99">
            <v>7</v>
          </cell>
          <cell r="O99">
            <v>0</v>
          </cell>
          <cell r="P99">
            <v>299</v>
          </cell>
          <cell r="R99">
            <v>42.8</v>
          </cell>
          <cell r="T99">
            <v>14.03</v>
          </cell>
          <cell r="V99">
            <v>24.4</v>
          </cell>
          <cell r="X99">
            <v>4.2010678210678209E-5</v>
          </cell>
          <cell r="Y99">
            <v>0.291134</v>
          </cell>
          <cell r="AA99">
            <v>5.0833044733044735E-5</v>
          </cell>
          <cell r="AB99">
            <v>0.352273</v>
          </cell>
          <cell r="AD99">
            <v>72000</v>
          </cell>
        </row>
        <row r="100">
          <cell r="A100" t="str">
            <v>KLN</v>
          </cell>
          <cell r="B100" t="str">
            <v>P&amp;O Nedlloyd Kowloon</v>
          </cell>
          <cell r="C100" t="str">
            <v>PON</v>
          </cell>
          <cell r="D100">
            <v>6930</v>
          </cell>
          <cell r="F100">
            <v>80942</v>
          </cell>
          <cell r="G100">
            <v>11.67994227994228</v>
          </cell>
          <cell r="H100">
            <v>48880</v>
          </cell>
          <cell r="I100">
            <v>7.0533910533910538</v>
          </cell>
          <cell r="J100">
            <v>70922</v>
          </cell>
          <cell r="K100">
            <v>10.234054834054835</v>
          </cell>
          <cell r="L100">
            <v>7</v>
          </cell>
          <cell r="O100">
            <v>0</v>
          </cell>
          <cell r="P100">
            <v>299</v>
          </cell>
          <cell r="R100">
            <v>42.8</v>
          </cell>
          <cell r="T100">
            <v>14.03</v>
          </cell>
          <cell r="V100">
            <v>24.4</v>
          </cell>
          <cell r="X100">
            <v>4.2010678210678209E-5</v>
          </cell>
          <cell r="Y100">
            <v>0.291134</v>
          </cell>
          <cell r="AA100">
            <v>5.0833044733044735E-5</v>
          </cell>
          <cell r="AB100">
            <v>0.352273</v>
          </cell>
          <cell r="AD100">
            <v>72000</v>
          </cell>
        </row>
        <row r="101">
          <cell r="A101" t="str">
            <v>PCH</v>
          </cell>
          <cell r="B101" t="str">
            <v>P&amp;O Nedlloyd Chicago</v>
          </cell>
          <cell r="C101" t="str">
            <v>PON</v>
          </cell>
          <cell r="D101">
            <v>3324</v>
          </cell>
          <cell r="E101">
            <v>3324</v>
          </cell>
          <cell r="F101">
            <v>37653</v>
          </cell>
          <cell r="G101">
            <v>11.327617328519855</v>
          </cell>
          <cell r="H101">
            <v>20488</v>
          </cell>
          <cell r="I101">
            <v>6.1636582430806257</v>
          </cell>
          <cell r="J101">
            <v>32157</v>
          </cell>
          <cell r="K101">
            <v>9.6741877256317697</v>
          </cell>
          <cell r="L101">
            <v>5</v>
          </cell>
          <cell r="N101">
            <v>20488</v>
          </cell>
          <cell r="O101">
            <v>6.1636582430806257</v>
          </cell>
          <cell r="P101">
            <v>242.81</v>
          </cell>
          <cell r="Q101">
            <v>242.81</v>
          </cell>
          <cell r="R101">
            <v>32.200000000000003</v>
          </cell>
          <cell r="T101">
            <v>13.028</v>
          </cell>
          <cell r="V101">
            <v>16.350000000000001</v>
          </cell>
          <cell r="X101">
            <v>5.5224127557160051E-5</v>
          </cell>
          <cell r="Y101">
            <v>0.18356500000000001</v>
          </cell>
          <cell r="AA101">
            <v>6.8076413959085438E-5</v>
          </cell>
          <cell r="AB101">
            <v>0.22628599999999999</v>
          </cell>
          <cell r="AD101">
            <v>32500</v>
          </cell>
        </row>
        <row r="102">
          <cell r="A102" t="str">
            <v>PVS</v>
          </cell>
          <cell r="B102" t="str">
            <v>P&amp;O Nedlloyd Vespuchi</v>
          </cell>
          <cell r="C102" t="str">
            <v>PON</v>
          </cell>
          <cell r="D102">
            <v>5642</v>
          </cell>
          <cell r="F102">
            <v>65900</v>
          </cell>
          <cell r="G102">
            <v>11.680255228642325</v>
          </cell>
          <cell r="H102">
            <v>29000</v>
          </cell>
          <cell r="I102">
            <v>5.140021269053527</v>
          </cell>
          <cell r="J102">
            <v>67000</v>
          </cell>
          <cell r="K102">
            <v>11.875221552640907</v>
          </cell>
          <cell r="L102">
            <v>5</v>
          </cell>
          <cell r="O102">
            <v>0</v>
          </cell>
          <cell r="P102">
            <v>278.01</v>
          </cell>
          <cell r="R102">
            <v>40</v>
          </cell>
          <cell r="T102">
            <v>14</v>
          </cell>
          <cell r="V102">
            <v>24.3</v>
          </cell>
          <cell r="X102">
            <v>4.5824175824175823E-5</v>
          </cell>
          <cell r="Y102">
            <v>0.25853999999999999</v>
          </cell>
          <cell r="AA102">
            <v>5.4693371144984049E-5</v>
          </cell>
          <cell r="AB102">
            <v>0.30858000000000002</v>
          </cell>
          <cell r="AD102">
            <v>61000</v>
          </cell>
        </row>
        <row r="103">
          <cell r="A103" t="str">
            <v>PGL</v>
          </cell>
          <cell r="B103" t="str">
            <v>P&amp;O Nedlloyd Magellan</v>
          </cell>
          <cell r="C103" t="str">
            <v>PON</v>
          </cell>
          <cell r="D103">
            <v>5642</v>
          </cell>
          <cell r="F103">
            <v>65900</v>
          </cell>
          <cell r="G103">
            <v>11.680255228642325</v>
          </cell>
          <cell r="H103">
            <v>29000</v>
          </cell>
          <cell r="I103">
            <v>5.140021269053527</v>
          </cell>
          <cell r="J103">
            <v>67000</v>
          </cell>
          <cell r="K103">
            <v>11.875221552640907</v>
          </cell>
          <cell r="L103">
            <v>5</v>
          </cell>
          <cell r="O103">
            <v>0</v>
          </cell>
          <cell r="P103">
            <v>278.01</v>
          </cell>
          <cell r="R103">
            <v>40</v>
          </cell>
          <cell r="T103">
            <v>14</v>
          </cell>
          <cell r="V103">
            <v>24.3</v>
          </cell>
          <cell r="X103">
            <v>4.5824175824175823E-5</v>
          </cell>
          <cell r="Y103">
            <v>0.25853999999999999</v>
          </cell>
          <cell r="AA103">
            <v>5.4693371144984049E-5</v>
          </cell>
          <cell r="AB103">
            <v>0.30858000000000002</v>
          </cell>
          <cell r="AD103">
            <v>61000</v>
          </cell>
        </row>
        <row r="104">
          <cell r="A104" t="str">
            <v>PTO</v>
          </cell>
          <cell r="B104" t="str">
            <v>P&amp;O Nedlloyd Torres</v>
          </cell>
          <cell r="C104" t="str">
            <v>PON</v>
          </cell>
          <cell r="D104">
            <v>5642</v>
          </cell>
          <cell r="F104">
            <v>65900</v>
          </cell>
          <cell r="G104">
            <v>11.680255228642325</v>
          </cell>
          <cell r="H104">
            <v>29000</v>
          </cell>
          <cell r="I104">
            <v>5.140021269053527</v>
          </cell>
          <cell r="J104">
            <v>67000</v>
          </cell>
          <cell r="K104">
            <v>11.875221552640907</v>
          </cell>
          <cell r="L104">
            <v>5</v>
          </cell>
          <cell r="O104">
            <v>0</v>
          </cell>
          <cell r="P104">
            <v>278.01</v>
          </cell>
          <cell r="R104">
            <v>40</v>
          </cell>
          <cell r="T104">
            <v>14</v>
          </cell>
          <cell r="V104">
            <v>24.3</v>
          </cell>
          <cell r="X104">
            <v>4.5824175824175823E-5</v>
          </cell>
          <cell r="Y104">
            <v>0.25853999999999999</v>
          </cell>
          <cell r="AA104">
            <v>5.4693371144984049E-5</v>
          </cell>
          <cell r="AB104">
            <v>0.30858000000000002</v>
          </cell>
          <cell r="AD104">
            <v>61000</v>
          </cell>
        </row>
        <row r="105">
          <cell r="A105" t="str">
            <v>PHD</v>
          </cell>
          <cell r="B105" t="str">
            <v>P&amp;O Nedlloyd Hudson</v>
          </cell>
          <cell r="C105" t="str">
            <v>PON</v>
          </cell>
          <cell r="D105">
            <v>5618</v>
          </cell>
          <cell r="F105">
            <v>66593</v>
          </cell>
          <cell r="G105">
            <v>11.853506585973657</v>
          </cell>
          <cell r="H105">
            <v>29689</v>
          </cell>
          <cell r="I105">
            <v>5.2846208615165535</v>
          </cell>
          <cell r="J105">
            <v>67712</v>
          </cell>
          <cell r="K105">
            <v>12.052687789248843</v>
          </cell>
          <cell r="L105">
            <v>7</v>
          </cell>
          <cell r="O105">
            <v>0</v>
          </cell>
          <cell r="P105">
            <v>278.01</v>
          </cell>
          <cell r="R105">
            <v>40</v>
          </cell>
          <cell r="T105">
            <v>14</v>
          </cell>
          <cell r="V105">
            <v>24.3</v>
          </cell>
          <cell r="X105">
            <v>4.6279814880740476E-5</v>
          </cell>
          <cell r="Y105">
            <v>0.26</v>
          </cell>
          <cell r="AA105">
            <v>5.6959772160911357E-5</v>
          </cell>
          <cell r="AB105">
            <v>0.32</v>
          </cell>
          <cell r="AD105">
            <v>58000</v>
          </cell>
        </row>
        <row r="106">
          <cell r="A106" t="str">
            <v>PDK</v>
          </cell>
          <cell r="B106" t="str">
            <v>P&amp;O Nedlloyd Drake</v>
          </cell>
          <cell r="C106" t="str">
            <v>PON</v>
          </cell>
          <cell r="D106">
            <v>5618</v>
          </cell>
          <cell r="F106">
            <v>66593</v>
          </cell>
          <cell r="G106">
            <v>11.853506585973657</v>
          </cell>
          <cell r="H106">
            <v>29689</v>
          </cell>
          <cell r="I106">
            <v>5.2846208615165535</v>
          </cell>
          <cell r="J106">
            <v>67712</v>
          </cell>
          <cell r="K106">
            <v>12.052687789248843</v>
          </cell>
          <cell r="L106">
            <v>7</v>
          </cell>
          <cell r="O106">
            <v>0</v>
          </cell>
          <cell r="P106">
            <v>278.01</v>
          </cell>
          <cell r="R106">
            <v>40</v>
          </cell>
          <cell r="T106">
            <v>14</v>
          </cell>
          <cell r="V106">
            <v>24.3</v>
          </cell>
          <cell r="X106">
            <v>4.6279814880740476E-5</v>
          </cell>
          <cell r="Y106">
            <v>0.26</v>
          </cell>
          <cell r="AA106">
            <v>5.6959772160911357E-5</v>
          </cell>
          <cell r="AB106">
            <v>0.32</v>
          </cell>
          <cell r="AD106">
            <v>58000</v>
          </cell>
        </row>
        <row r="107">
          <cell r="A107" t="str">
            <v>PBZ</v>
          </cell>
          <cell r="B107" t="str">
            <v>P&amp;O Nedlloyd Barentsz</v>
          </cell>
          <cell r="C107" t="str">
            <v>PON</v>
          </cell>
          <cell r="D107">
            <v>5618</v>
          </cell>
          <cell r="F107">
            <v>66593</v>
          </cell>
          <cell r="G107">
            <v>11.853506585973657</v>
          </cell>
          <cell r="H107">
            <v>29689</v>
          </cell>
          <cell r="I107">
            <v>5.2846208615165535</v>
          </cell>
          <cell r="J107">
            <v>66526</v>
          </cell>
          <cell r="K107">
            <v>11.841580633677465</v>
          </cell>
          <cell r="L107">
            <v>7</v>
          </cell>
          <cell r="O107">
            <v>0</v>
          </cell>
          <cell r="P107">
            <v>278.01</v>
          </cell>
          <cell r="R107">
            <v>40</v>
          </cell>
          <cell r="T107">
            <v>14</v>
          </cell>
          <cell r="V107">
            <v>24.3</v>
          </cell>
          <cell r="X107">
            <v>4.6279814880740476E-5</v>
          </cell>
          <cell r="Y107">
            <v>0.26</v>
          </cell>
          <cell r="AA107">
            <v>5.6959772160911357E-5</v>
          </cell>
          <cell r="AB107">
            <v>0.32</v>
          </cell>
          <cell r="AD107">
            <v>58000</v>
          </cell>
        </row>
        <row r="108">
          <cell r="A108" t="str">
            <v>SYN</v>
          </cell>
          <cell r="B108" t="str">
            <v>P&amp;O Nedlloyd Sydney</v>
          </cell>
          <cell r="C108" t="str">
            <v>PON</v>
          </cell>
          <cell r="D108">
            <v>2720</v>
          </cell>
          <cell r="E108">
            <v>2720</v>
          </cell>
          <cell r="F108">
            <v>31333</v>
          </cell>
          <cell r="G108">
            <v>11.519485294117647</v>
          </cell>
          <cell r="H108">
            <v>18650</v>
          </cell>
          <cell r="I108">
            <v>6.8566176470588234</v>
          </cell>
          <cell r="J108">
            <v>32595</v>
          </cell>
          <cell r="K108">
            <v>11.983455882352942</v>
          </cell>
          <cell r="L108">
            <v>5</v>
          </cell>
          <cell r="N108">
            <v>27515</v>
          </cell>
          <cell r="O108">
            <v>10.115808823529411</v>
          </cell>
          <cell r="P108">
            <v>210.1</v>
          </cell>
          <cell r="Q108">
            <v>210.11</v>
          </cell>
          <cell r="R108">
            <v>32.26</v>
          </cell>
          <cell r="T108">
            <v>12.5</v>
          </cell>
          <cell r="V108">
            <v>19.399999999999999</v>
          </cell>
          <cell r="X108">
            <v>6.6176470588235288E-5</v>
          </cell>
          <cell r="Y108">
            <v>0.18</v>
          </cell>
          <cell r="AA108">
            <v>8.0882352941176477E-5</v>
          </cell>
          <cell r="AB108">
            <v>0.22</v>
          </cell>
          <cell r="AD108">
            <v>31500</v>
          </cell>
        </row>
        <row r="109">
          <cell r="A109" t="str">
            <v>JKR</v>
          </cell>
          <cell r="B109" t="str">
            <v>P&amp;O Nedlloyd Jakarta</v>
          </cell>
          <cell r="C109" t="str">
            <v>PON</v>
          </cell>
          <cell r="D109">
            <v>2720</v>
          </cell>
          <cell r="E109">
            <v>2720</v>
          </cell>
          <cell r="F109">
            <v>31333</v>
          </cell>
          <cell r="G109">
            <v>11.519485294117647</v>
          </cell>
          <cell r="H109">
            <v>18650</v>
          </cell>
          <cell r="I109">
            <v>6.8566176470588234</v>
          </cell>
          <cell r="J109">
            <v>32595</v>
          </cell>
          <cell r="K109">
            <v>11.983455882352942</v>
          </cell>
          <cell r="L109">
            <v>5</v>
          </cell>
          <cell r="N109">
            <v>27610</v>
          </cell>
          <cell r="O109">
            <v>10.150735294117647</v>
          </cell>
          <cell r="P109">
            <v>210.1</v>
          </cell>
          <cell r="Q109">
            <v>210.11</v>
          </cell>
          <cell r="R109">
            <v>32.26</v>
          </cell>
          <cell r="T109">
            <v>12.5</v>
          </cell>
          <cell r="V109">
            <v>19.399999999999999</v>
          </cell>
          <cell r="X109">
            <v>6.6176470588235288E-5</v>
          </cell>
          <cell r="Y109">
            <v>0.18</v>
          </cell>
          <cell r="AA109">
            <v>8.0882352941176477E-5</v>
          </cell>
          <cell r="AB109">
            <v>0.22</v>
          </cell>
          <cell r="AD109">
            <v>31500</v>
          </cell>
        </row>
        <row r="110">
          <cell r="A110" t="str">
            <v>GNO</v>
          </cell>
          <cell r="B110" t="str">
            <v>P&amp;O Nedlloyd Genoa</v>
          </cell>
          <cell r="C110" t="str">
            <v>PON</v>
          </cell>
          <cell r="D110">
            <v>2720</v>
          </cell>
          <cell r="E110">
            <v>2720</v>
          </cell>
          <cell r="F110">
            <v>31333</v>
          </cell>
          <cell r="G110">
            <v>11.519485294117647</v>
          </cell>
          <cell r="H110">
            <v>18650</v>
          </cell>
          <cell r="I110">
            <v>6.8566176470588234</v>
          </cell>
          <cell r="J110">
            <v>32595</v>
          </cell>
          <cell r="K110">
            <v>11.983455882352942</v>
          </cell>
          <cell r="L110">
            <v>5</v>
          </cell>
          <cell r="N110">
            <v>27607</v>
          </cell>
          <cell r="O110">
            <v>10.149632352941177</v>
          </cell>
          <cell r="P110">
            <v>210.1</v>
          </cell>
          <cell r="Q110">
            <v>210.11</v>
          </cell>
          <cell r="R110">
            <v>32.26</v>
          </cell>
          <cell r="T110">
            <v>12.5</v>
          </cell>
          <cell r="V110">
            <v>19.399999999999999</v>
          </cell>
          <cell r="X110">
            <v>6.6176470588235288E-5</v>
          </cell>
          <cell r="Y110">
            <v>0.18</v>
          </cell>
          <cell r="AA110">
            <v>8.0882352941176477E-5</v>
          </cell>
          <cell r="AB110">
            <v>0.22</v>
          </cell>
          <cell r="AD110">
            <v>31500</v>
          </cell>
        </row>
        <row r="111">
          <cell r="A111" t="str">
            <v>GTC</v>
          </cell>
          <cell r="B111" t="str">
            <v>P&amp;O Nedlloyd Cartagena</v>
          </cell>
          <cell r="C111" t="str">
            <v>PON</v>
          </cell>
          <cell r="D111">
            <v>3908</v>
          </cell>
          <cell r="X111">
            <v>6.6176470588235288E-5</v>
          </cell>
          <cell r="Y111">
            <v>0.18</v>
          </cell>
          <cell r="AA111">
            <v>8.0882352941176477E-5</v>
          </cell>
          <cell r="AB111">
            <v>0.22</v>
          </cell>
          <cell r="AD111">
            <v>41500</v>
          </cell>
        </row>
        <row r="112">
          <cell r="A112" t="str">
            <v>MAR</v>
          </cell>
          <cell r="B112" t="str">
            <v>P&amp;O Nedlloyd Marseille</v>
          </cell>
          <cell r="C112" t="str">
            <v>PON</v>
          </cell>
          <cell r="D112">
            <v>2720</v>
          </cell>
          <cell r="E112">
            <v>2720</v>
          </cell>
          <cell r="F112">
            <v>31333</v>
          </cell>
          <cell r="G112">
            <v>11.519485294117647</v>
          </cell>
          <cell r="H112">
            <v>18650</v>
          </cell>
          <cell r="I112">
            <v>6.8566176470588234</v>
          </cell>
          <cell r="J112">
            <v>32595</v>
          </cell>
          <cell r="K112">
            <v>11.983455882352942</v>
          </cell>
          <cell r="L112">
            <v>5</v>
          </cell>
          <cell r="N112">
            <v>27610</v>
          </cell>
          <cell r="O112">
            <v>10.150735294117647</v>
          </cell>
          <cell r="P112">
            <v>210.1</v>
          </cell>
          <cell r="Q112">
            <v>210.11</v>
          </cell>
          <cell r="R112">
            <v>32.26</v>
          </cell>
          <cell r="T112">
            <v>12.5</v>
          </cell>
          <cell r="V112">
            <v>19.399999999999999</v>
          </cell>
          <cell r="X112">
            <v>6.6176470588235288E-5</v>
          </cell>
          <cell r="Y112">
            <v>0.18</v>
          </cell>
          <cell r="AA112">
            <v>8.0882352941176477E-5</v>
          </cell>
          <cell r="AB112">
            <v>0.22</v>
          </cell>
          <cell r="AD112">
            <v>31500</v>
          </cell>
        </row>
        <row r="113">
          <cell r="A113" t="str">
            <v>NWK</v>
          </cell>
          <cell r="B113" t="str">
            <v>P&amp;O Nedlloyd Newark</v>
          </cell>
          <cell r="C113" t="str">
            <v>PON</v>
          </cell>
          <cell r="D113">
            <v>2720</v>
          </cell>
          <cell r="E113">
            <v>2720</v>
          </cell>
          <cell r="F113">
            <v>31730</v>
          </cell>
          <cell r="G113">
            <v>11.665441176470589</v>
          </cell>
          <cell r="H113">
            <v>19976</v>
          </cell>
          <cell r="I113">
            <v>7.3441176470588232</v>
          </cell>
          <cell r="J113">
            <v>33348</v>
          </cell>
          <cell r="K113">
            <v>12.260294117647058</v>
          </cell>
          <cell r="L113">
            <v>5</v>
          </cell>
          <cell r="N113">
            <v>27558</v>
          </cell>
          <cell r="O113">
            <v>10.131617647058823</v>
          </cell>
          <cell r="P113">
            <v>192.5</v>
          </cell>
          <cell r="Q113">
            <v>210.11</v>
          </cell>
          <cell r="R113">
            <v>32.25</v>
          </cell>
          <cell r="T113">
            <v>12.8</v>
          </cell>
          <cell r="V113">
            <v>21.2</v>
          </cell>
          <cell r="X113">
            <v>6.5716911764705883E-5</v>
          </cell>
          <cell r="Y113">
            <v>0.17874999999999999</v>
          </cell>
          <cell r="AA113">
            <v>7.3111617647058822E-5</v>
          </cell>
          <cell r="AB113">
            <v>0.1988636</v>
          </cell>
          <cell r="AD113">
            <v>30000</v>
          </cell>
        </row>
        <row r="114">
          <cell r="A114" t="str">
            <v>PSY</v>
          </cell>
          <cell r="B114" t="str">
            <v>P&amp;O Nedlloyd Stuyvesant</v>
          </cell>
          <cell r="C114" t="str">
            <v>PON</v>
          </cell>
          <cell r="D114">
            <v>6978</v>
          </cell>
          <cell r="F114">
            <v>80619</v>
          </cell>
          <cell r="G114">
            <v>11.553310404127258</v>
          </cell>
          <cell r="H114">
            <v>47457</v>
          </cell>
          <cell r="I114">
            <v>6.8009458297506447</v>
          </cell>
          <cell r="J114">
            <v>70922</v>
          </cell>
          <cell r="K114">
            <v>10.163657208369161</v>
          </cell>
          <cell r="L114">
            <v>7</v>
          </cell>
          <cell r="O114">
            <v>0</v>
          </cell>
          <cell r="P114">
            <v>299.99</v>
          </cell>
          <cell r="R114">
            <v>42.8</v>
          </cell>
          <cell r="T114">
            <v>14</v>
          </cell>
          <cell r="V114">
            <v>24.5</v>
          </cell>
          <cell r="X114">
            <v>4.3622115672759962E-5</v>
          </cell>
          <cell r="Y114">
            <v>0.304395123164519</v>
          </cell>
          <cell r="AA114">
            <v>5.2782888822295478E-5</v>
          </cell>
          <cell r="AB114">
            <v>0.36831899820197783</v>
          </cell>
          <cell r="AD114">
            <v>74000</v>
          </cell>
        </row>
        <row r="115">
          <cell r="A115" t="str">
            <v>PSH</v>
          </cell>
          <cell r="B115" t="str">
            <v>P&amp;O Nedlloyd Shackleton</v>
          </cell>
          <cell r="C115" t="str">
            <v>PON</v>
          </cell>
          <cell r="D115">
            <v>6978</v>
          </cell>
          <cell r="F115">
            <v>80619</v>
          </cell>
          <cell r="G115">
            <v>11.553310404127258</v>
          </cell>
          <cell r="H115">
            <v>47457</v>
          </cell>
          <cell r="I115">
            <v>6.8009458297506447</v>
          </cell>
          <cell r="J115">
            <v>70922</v>
          </cell>
          <cell r="K115">
            <v>10.163657208369161</v>
          </cell>
          <cell r="L115">
            <v>7</v>
          </cell>
          <cell r="O115">
            <v>0</v>
          </cell>
          <cell r="P115">
            <v>299.99</v>
          </cell>
          <cell r="R115">
            <v>42.8</v>
          </cell>
          <cell r="T115">
            <v>14</v>
          </cell>
          <cell r="V115">
            <v>24.5</v>
          </cell>
          <cell r="X115">
            <v>4.3622115672759962E-5</v>
          </cell>
          <cell r="Y115">
            <v>0.304395123164519</v>
          </cell>
          <cell r="AA115">
            <v>5.2782888822295478E-5</v>
          </cell>
          <cell r="AB115">
            <v>0.36831899820197783</v>
          </cell>
          <cell r="AD115">
            <v>74000</v>
          </cell>
        </row>
        <row r="116">
          <cell r="A116" t="str">
            <v>PCK</v>
          </cell>
          <cell r="B116" t="str">
            <v>P&amp;O Nedlloyd Cook</v>
          </cell>
          <cell r="C116" t="str">
            <v>PON</v>
          </cell>
          <cell r="D116">
            <v>6978</v>
          </cell>
          <cell r="F116">
            <v>80619</v>
          </cell>
          <cell r="G116">
            <v>11.553310404127258</v>
          </cell>
          <cell r="H116">
            <v>47457</v>
          </cell>
          <cell r="I116">
            <v>6.8009458297506447</v>
          </cell>
          <cell r="J116">
            <v>70922</v>
          </cell>
          <cell r="K116">
            <v>10.163657208369161</v>
          </cell>
          <cell r="L116">
            <v>7</v>
          </cell>
          <cell r="O116">
            <v>0</v>
          </cell>
          <cell r="P116">
            <v>299.99</v>
          </cell>
          <cell r="R116">
            <v>42.8</v>
          </cell>
          <cell r="T116">
            <v>14</v>
          </cell>
          <cell r="V116">
            <v>24.5</v>
          </cell>
          <cell r="X116">
            <v>4.3622115672759962E-5</v>
          </cell>
          <cell r="Y116">
            <v>0.304395123164519</v>
          </cell>
          <cell r="AA116">
            <v>5.2782888822295478E-5</v>
          </cell>
          <cell r="AB116">
            <v>0.36831899820197783</v>
          </cell>
          <cell r="AD116">
            <v>74000</v>
          </cell>
        </row>
        <row r="117">
          <cell r="A117" t="str">
            <v>PNH</v>
          </cell>
          <cell r="B117" t="str">
            <v>P&amp;O Nedlloyd Houtman</v>
          </cell>
          <cell r="C117" t="str">
            <v>PON</v>
          </cell>
          <cell r="D117">
            <v>6978</v>
          </cell>
          <cell r="F117">
            <v>80619</v>
          </cell>
          <cell r="G117">
            <v>11.553310404127258</v>
          </cell>
          <cell r="H117">
            <v>47457</v>
          </cell>
          <cell r="I117">
            <v>6.8009458297506447</v>
          </cell>
          <cell r="J117">
            <v>70922</v>
          </cell>
          <cell r="K117">
            <v>10.163657208369161</v>
          </cell>
          <cell r="L117">
            <v>7</v>
          </cell>
          <cell r="O117">
            <v>0</v>
          </cell>
          <cell r="P117">
            <v>299.99</v>
          </cell>
          <cell r="R117">
            <v>42.8</v>
          </cell>
          <cell r="T117">
            <v>14</v>
          </cell>
          <cell r="V117">
            <v>24.5</v>
          </cell>
          <cell r="X117">
            <v>4.3622115672759962E-5</v>
          </cell>
          <cell r="Y117">
            <v>0.304395123164519</v>
          </cell>
          <cell r="AA117">
            <v>5.2782888822295478E-5</v>
          </cell>
          <cell r="AB117">
            <v>0.36831899820197783</v>
          </cell>
          <cell r="AD117">
            <v>74000</v>
          </cell>
        </row>
        <row r="119">
          <cell r="A119" t="str">
            <v>OBT</v>
          </cell>
          <cell r="B119" t="str">
            <v>OOCL Britain</v>
          </cell>
          <cell r="C119" t="str">
            <v>OOL</v>
          </cell>
          <cell r="D119">
            <v>5400</v>
          </cell>
          <cell r="F119">
            <v>66046</v>
          </cell>
          <cell r="G119">
            <v>12.230740740740741</v>
          </cell>
          <cell r="H119">
            <v>30540</v>
          </cell>
          <cell r="I119">
            <v>5.6555555555555559</v>
          </cell>
          <cell r="J119">
            <v>55527</v>
          </cell>
          <cell r="K119">
            <v>10.282777777777778</v>
          </cell>
          <cell r="L119">
            <v>5</v>
          </cell>
          <cell r="O119">
            <v>0</v>
          </cell>
          <cell r="P119">
            <v>276.02</v>
          </cell>
          <cell r="R119">
            <v>40</v>
          </cell>
          <cell r="T119">
            <v>14</v>
          </cell>
          <cell r="V119">
            <v>24.3</v>
          </cell>
          <cell r="X119">
            <v>4.8000000000000001E-5</v>
          </cell>
          <cell r="Y119">
            <v>0.25919999999999999</v>
          </cell>
          <cell r="AA119">
            <v>5.7000000000000003E-5</v>
          </cell>
          <cell r="AB119">
            <v>0.30780000000000002</v>
          </cell>
          <cell r="AD119">
            <v>56700</v>
          </cell>
        </row>
        <row r="120">
          <cell r="A120" t="str">
            <v>ONL</v>
          </cell>
          <cell r="B120" t="str">
            <v>OOCL Netherlands</v>
          </cell>
          <cell r="C120" t="str">
            <v>OOL</v>
          </cell>
          <cell r="D120">
            <v>5400</v>
          </cell>
          <cell r="F120">
            <v>66086</v>
          </cell>
          <cell r="G120">
            <v>12.238148148148149</v>
          </cell>
          <cell r="H120">
            <v>30853</v>
          </cell>
          <cell r="I120">
            <v>5.7135185185185184</v>
          </cell>
          <cell r="J120">
            <v>55555</v>
          </cell>
          <cell r="K120">
            <v>10.287962962962963</v>
          </cell>
          <cell r="L120">
            <v>6</v>
          </cell>
          <cell r="O120">
            <v>0</v>
          </cell>
          <cell r="P120">
            <v>276</v>
          </cell>
          <cell r="R120">
            <v>40</v>
          </cell>
          <cell r="T120">
            <v>14</v>
          </cell>
          <cell r="V120">
            <v>24.3</v>
          </cell>
          <cell r="X120">
            <v>4.8000000000000001E-5</v>
          </cell>
          <cell r="Y120">
            <v>0.25919999999999999</v>
          </cell>
          <cell r="AA120">
            <v>5.7000000000000003E-5</v>
          </cell>
          <cell r="AB120">
            <v>0.30780000000000002</v>
          </cell>
          <cell r="AD120">
            <v>56700</v>
          </cell>
        </row>
        <row r="121">
          <cell r="A121" t="str">
            <v>OSG</v>
          </cell>
          <cell r="B121" t="str">
            <v>OOCL Singapore</v>
          </cell>
          <cell r="C121" t="str">
            <v>OOL</v>
          </cell>
          <cell r="D121">
            <v>5400</v>
          </cell>
          <cell r="F121">
            <v>66086</v>
          </cell>
          <cell r="G121">
            <v>12.238148148148149</v>
          </cell>
          <cell r="H121">
            <v>30853</v>
          </cell>
          <cell r="I121">
            <v>5.7135185185185184</v>
          </cell>
          <cell r="J121">
            <v>55555</v>
          </cell>
          <cell r="K121">
            <v>10.287962962962963</v>
          </cell>
          <cell r="L121">
            <v>6</v>
          </cell>
          <cell r="O121">
            <v>0</v>
          </cell>
          <cell r="P121">
            <v>276.02</v>
          </cell>
          <cell r="R121">
            <v>40</v>
          </cell>
          <cell r="T121">
            <v>14</v>
          </cell>
          <cell r="V121">
            <v>24.3</v>
          </cell>
          <cell r="X121">
            <v>4.8000000000000001E-5</v>
          </cell>
          <cell r="Y121">
            <v>0.25919999999999999</v>
          </cell>
          <cell r="AA121">
            <v>5.7000000000000003E-5</v>
          </cell>
          <cell r="AB121">
            <v>0.30780000000000002</v>
          </cell>
          <cell r="AD121">
            <v>56700</v>
          </cell>
        </row>
        <row r="122">
          <cell r="A122" t="str">
            <v>OHK</v>
          </cell>
          <cell r="B122" t="str">
            <v>OOCL Hong Kong</v>
          </cell>
          <cell r="C122" t="str">
            <v>OOL</v>
          </cell>
          <cell r="D122">
            <v>5400</v>
          </cell>
          <cell r="F122">
            <v>66046</v>
          </cell>
          <cell r="G122">
            <v>12.230740740740741</v>
          </cell>
          <cell r="H122">
            <v>30540</v>
          </cell>
          <cell r="I122">
            <v>5.6555555555555559</v>
          </cell>
          <cell r="J122">
            <v>55527</v>
          </cell>
          <cell r="K122">
            <v>10.282777777777778</v>
          </cell>
          <cell r="L122">
            <v>5</v>
          </cell>
          <cell r="O122">
            <v>0</v>
          </cell>
          <cell r="P122">
            <v>276.02</v>
          </cell>
          <cell r="R122">
            <v>40</v>
          </cell>
          <cell r="T122">
            <v>14</v>
          </cell>
          <cell r="V122">
            <v>24.3</v>
          </cell>
          <cell r="X122">
            <v>4.8000000000000001E-5</v>
          </cell>
          <cell r="Y122">
            <v>0.25919999999999999</v>
          </cell>
          <cell r="AA122">
            <v>5.7000000000000003E-5</v>
          </cell>
          <cell r="AB122">
            <v>0.30780000000000002</v>
          </cell>
          <cell r="AD122">
            <v>56700</v>
          </cell>
        </row>
        <row r="123">
          <cell r="A123" t="str">
            <v>OCI</v>
          </cell>
          <cell r="B123" t="str">
            <v>OOCL  China</v>
          </cell>
          <cell r="C123" t="str">
            <v>OOL</v>
          </cell>
          <cell r="D123">
            <v>5400</v>
          </cell>
          <cell r="F123">
            <v>66046</v>
          </cell>
          <cell r="G123">
            <v>12.230740740740741</v>
          </cell>
          <cell r="H123">
            <v>30540</v>
          </cell>
          <cell r="I123">
            <v>5.6555555555555559</v>
          </cell>
          <cell r="J123">
            <v>55527</v>
          </cell>
          <cell r="K123">
            <v>10.282777777777778</v>
          </cell>
          <cell r="L123">
            <v>5</v>
          </cell>
          <cell r="O123">
            <v>0</v>
          </cell>
          <cell r="P123">
            <v>276.02</v>
          </cell>
          <cell r="R123">
            <v>40</v>
          </cell>
          <cell r="T123">
            <v>14</v>
          </cell>
          <cell r="V123">
            <v>24.3</v>
          </cell>
          <cell r="X123">
            <v>4.8000000000000001E-5</v>
          </cell>
          <cell r="Y123">
            <v>0.25919999999999999</v>
          </cell>
          <cell r="AA123">
            <v>5.7000000000000003E-5</v>
          </cell>
          <cell r="AB123">
            <v>0.30780000000000002</v>
          </cell>
          <cell r="AD123">
            <v>56700</v>
          </cell>
        </row>
        <row r="124">
          <cell r="A124" t="str">
            <v>OAE</v>
          </cell>
          <cell r="B124" t="str">
            <v>OOCL America</v>
          </cell>
          <cell r="C124" t="str">
            <v>OOL</v>
          </cell>
          <cell r="D124">
            <v>5400</v>
          </cell>
          <cell r="F124">
            <v>66046</v>
          </cell>
          <cell r="G124">
            <v>12.230740740740741</v>
          </cell>
          <cell r="H124">
            <v>30540</v>
          </cell>
          <cell r="I124">
            <v>5.6555555555555559</v>
          </cell>
          <cell r="J124">
            <v>55527</v>
          </cell>
          <cell r="K124">
            <v>10.282777777777778</v>
          </cell>
          <cell r="L124">
            <v>5</v>
          </cell>
          <cell r="O124">
            <v>0</v>
          </cell>
          <cell r="P124">
            <v>276.02</v>
          </cell>
          <cell r="R124">
            <v>40</v>
          </cell>
          <cell r="T124">
            <v>14</v>
          </cell>
          <cell r="V124">
            <v>24.3</v>
          </cell>
          <cell r="X124">
            <v>4.8000000000000001E-5</v>
          </cell>
          <cell r="Y124">
            <v>0.25919999999999999</v>
          </cell>
          <cell r="AA124">
            <v>5.7000000000000003E-5</v>
          </cell>
          <cell r="AB124">
            <v>0.30780000000000002</v>
          </cell>
          <cell r="AD124">
            <v>56700</v>
          </cell>
        </row>
        <row r="125">
          <cell r="A125" t="str">
            <v>OJP</v>
          </cell>
          <cell r="B125" t="str">
            <v>OOCL Japan</v>
          </cell>
          <cell r="C125" t="str">
            <v>OOL</v>
          </cell>
          <cell r="D125">
            <v>5400</v>
          </cell>
          <cell r="F125">
            <v>66046</v>
          </cell>
          <cell r="G125">
            <v>12.230740740740741</v>
          </cell>
          <cell r="H125">
            <v>30540</v>
          </cell>
          <cell r="I125">
            <v>5.6555555555555559</v>
          </cell>
          <cell r="J125">
            <v>55527</v>
          </cell>
          <cell r="K125">
            <v>10.282777777777778</v>
          </cell>
          <cell r="L125">
            <v>5</v>
          </cell>
          <cell r="O125">
            <v>0</v>
          </cell>
          <cell r="P125">
            <v>276.02</v>
          </cell>
          <cell r="R125">
            <v>40</v>
          </cell>
          <cell r="T125">
            <v>14</v>
          </cell>
          <cell r="V125">
            <v>24.3</v>
          </cell>
          <cell r="X125">
            <v>4.8000000000000001E-5</v>
          </cell>
          <cell r="Y125">
            <v>0.25919999999999999</v>
          </cell>
          <cell r="AA125">
            <v>5.7000000000000003E-5</v>
          </cell>
          <cell r="AB125">
            <v>0.30780000000000002</v>
          </cell>
          <cell r="AD125">
            <v>56700</v>
          </cell>
        </row>
        <row r="126">
          <cell r="A126" t="str">
            <v>OCF</v>
          </cell>
          <cell r="B126" t="str">
            <v>OOCL California</v>
          </cell>
          <cell r="C126" t="str">
            <v>OOL</v>
          </cell>
          <cell r="D126">
            <v>5400</v>
          </cell>
          <cell r="F126">
            <v>66046</v>
          </cell>
          <cell r="G126">
            <v>12.230740740740741</v>
          </cell>
          <cell r="H126">
            <v>30540</v>
          </cell>
          <cell r="I126">
            <v>5.6555555555555559</v>
          </cell>
          <cell r="J126">
            <v>55527</v>
          </cell>
          <cell r="K126">
            <v>10.282777777777778</v>
          </cell>
          <cell r="L126">
            <v>5</v>
          </cell>
          <cell r="O126">
            <v>0</v>
          </cell>
          <cell r="P126">
            <v>276.02</v>
          </cell>
          <cell r="R126">
            <v>40</v>
          </cell>
          <cell r="T126">
            <v>14</v>
          </cell>
          <cell r="V126">
            <v>24.3</v>
          </cell>
          <cell r="X126">
            <v>4.8000000000000001E-5</v>
          </cell>
          <cell r="Y126">
            <v>0.25919999999999999</v>
          </cell>
          <cell r="AA126">
            <v>5.7000000000000003E-5</v>
          </cell>
          <cell r="AB126">
            <v>0.30780000000000002</v>
          </cell>
          <cell r="AD126">
            <v>56700</v>
          </cell>
        </row>
        <row r="127">
          <cell r="A127" t="str">
            <v>ONW</v>
          </cell>
          <cell r="B127" t="str">
            <v>OOCL New York</v>
          </cell>
          <cell r="C127" t="str">
            <v>OOL</v>
          </cell>
          <cell r="D127">
            <v>5738</v>
          </cell>
          <cell r="F127">
            <v>66289</v>
          </cell>
          <cell r="G127">
            <v>11.552631578947368</v>
          </cell>
          <cell r="H127">
            <v>33238</v>
          </cell>
          <cell r="I127">
            <v>5.7926106657371905</v>
          </cell>
          <cell r="J127">
            <v>58093</v>
          </cell>
          <cell r="K127">
            <v>10.124259323806204</v>
          </cell>
          <cell r="L127">
            <v>7</v>
          </cell>
          <cell r="O127">
            <v>0</v>
          </cell>
          <cell r="P127">
            <v>277</v>
          </cell>
          <cell r="R127">
            <v>40</v>
          </cell>
          <cell r="T127">
            <v>14</v>
          </cell>
          <cell r="V127">
            <v>24.3</v>
          </cell>
          <cell r="X127">
            <v>4.5057511327988847E-5</v>
          </cell>
          <cell r="Y127">
            <v>0.25853999999999999</v>
          </cell>
          <cell r="AA127">
            <v>5.3778319972115724E-5</v>
          </cell>
          <cell r="AB127">
            <v>0.30858000000000002</v>
          </cell>
          <cell r="AD127">
            <v>60720</v>
          </cell>
        </row>
        <row r="128">
          <cell r="A128" t="str">
            <v>OSH</v>
          </cell>
          <cell r="B128" t="str">
            <v>OOCL Shanghai</v>
          </cell>
          <cell r="C128" t="str">
            <v>OOL</v>
          </cell>
          <cell r="D128">
            <v>5738</v>
          </cell>
          <cell r="F128">
            <v>66289</v>
          </cell>
          <cell r="G128">
            <v>11.552631578947368</v>
          </cell>
          <cell r="H128">
            <v>33238</v>
          </cell>
          <cell r="I128">
            <v>5.7926106657371905</v>
          </cell>
          <cell r="J128">
            <v>58093</v>
          </cell>
          <cell r="K128">
            <v>10.124259323806204</v>
          </cell>
          <cell r="L128">
            <v>7</v>
          </cell>
          <cell r="O128">
            <v>0</v>
          </cell>
          <cell r="P128">
            <v>277</v>
          </cell>
          <cell r="R128">
            <v>40</v>
          </cell>
          <cell r="T128">
            <v>14</v>
          </cell>
          <cell r="V128">
            <v>24.3</v>
          </cell>
          <cell r="X128">
            <v>4.5057511327988847E-5</v>
          </cell>
          <cell r="Y128">
            <v>0.25853999999999999</v>
          </cell>
          <cell r="AA128">
            <v>5.3778319972115724E-5</v>
          </cell>
          <cell r="AB128">
            <v>0.30858000000000002</v>
          </cell>
          <cell r="AD128">
            <v>60720</v>
          </cell>
        </row>
        <row r="129">
          <cell r="A129" t="str">
            <v>OLA</v>
          </cell>
          <cell r="B129" t="str">
            <v>OOCL Los Angeles</v>
          </cell>
          <cell r="C129" t="str">
            <v>OOL</v>
          </cell>
          <cell r="D129">
            <v>5738</v>
          </cell>
          <cell r="F129">
            <v>66289</v>
          </cell>
          <cell r="G129">
            <v>11.552631578947368</v>
          </cell>
          <cell r="H129">
            <v>33238</v>
          </cell>
          <cell r="I129">
            <v>5.7926106657371905</v>
          </cell>
          <cell r="J129">
            <v>58093</v>
          </cell>
          <cell r="K129">
            <v>10.124259323806204</v>
          </cell>
          <cell r="L129">
            <v>7</v>
          </cell>
          <cell r="O129">
            <v>0</v>
          </cell>
          <cell r="P129">
            <v>277</v>
          </cell>
          <cell r="R129">
            <v>40</v>
          </cell>
          <cell r="T129">
            <v>14</v>
          </cell>
          <cell r="V129">
            <v>24.3</v>
          </cell>
          <cell r="X129">
            <v>4.5057511327988847E-5</v>
          </cell>
          <cell r="Y129">
            <v>0.25853999999999999</v>
          </cell>
          <cell r="AA129">
            <v>5.3778319972115724E-5</v>
          </cell>
          <cell r="AB129">
            <v>0.30858000000000002</v>
          </cell>
          <cell r="AD129">
            <v>60720</v>
          </cell>
        </row>
        <row r="130">
          <cell r="A130" t="str">
            <v>OMY</v>
          </cell>
          <cell r="B130" t="str">
            <v>OOCL Malaysia</v>
          </cell>
          <cell r="C130" t="str">
            <v>OOL</v>
          </cell>
          <cell r="D130">
            <v>5738</v>
          </cell>
          <cell r="F130">
            <v>66289</v>
          </cell>
          <cell r="G130">
            <v>11.552631578947368</v>
          </cell>
          <cell r="H130">
            <v>33238</v>
          </cell>
          <cell r="I130">
            <v>5.7926106657371905</v>
          </cell>
          <cell r="J130">
            <v>58093</v>
          </cell>
          <cell r="K130">
            <v>10.124259323806204</v>
          </cell>
          <cell r="L130">
            <v>7</v>
          </cell>
          <cell r="O130">
            <v>0</v>
          </cell>
          <cell r="P130">
            <v>277</v>
          </cell>
          <cell r="R130">
            <v>40</v>
          </cell>
          <cell r="T130">
            <v>14</v>
          </cell>
          <cell r="V130">
            <v>24.3</v>
          </cell>
          <cell r="X130">
            <v>4.5057511327988847E-5</v>
          </cell>
          <cell r="Y130">
            <v>0.25853999999999999</v>
          </cell>
          <cell r="AA130">
            <v>5.5500000000000001E-5</v>
          </cell>
          <cell r="AB130">
            <v>0.30858000000000002</v>
          </cell>
          <cell r="AD130">
            <v>60720</v>
          </cell>
        </row>
        <row r="131">
          <cell r="A131" t="str">
            <v>OFR</v>
          </cell>
          <cell r="B131" t="str">
            <v>OOCL Fair</v>
          </cell>
          <cell r="C131" t="str">
            <v>OOL</v>
          </cell>
          <cell r="D131">
            <v>2880</v>
          </cell>
          <cell r="E131">
            <v>2880</v>
          </cell>
          <cell r="F131">
            <v>40980</v>
          </cell>
          <cell r="G131">
            <v>14.229166666666666</v>
          </cell>
          <cell r="H131">
            <v>23885</v>
          </cell>
          <cell r="I131">
            <v>8.2934027777777786</v>
          </cell>
          <cell r="J131">
            <v>35311</v>
          </cell>
          <cell r="K131">
            <v>12.260763888888889</v>
          </cell>
          <cell r="L131">
            <v>5</v>
          </cell>
          <cell r="N131">
            <v>36836</v>
          </cell>
          <cell r="O131">
            <v>12.790277777777778</v>
          </cell>
          <cell r="P131">
            <v>242</v>
          </cell>
          <cell r="Q131">
            <v>242</v>
          </cell>
          <cell r="R131">
            <v>32.200000000000003</v>
          </cell>
          <cell r="T131">
            <v>12.52</v>
          </cell>
          <cell r="V131">
            <v>21.1</v>
          </cell>
          <cell r="X131">
            <v>6.4999999999999994E-5</v>
          </cell>
          <cell r="Y131">
            <v>0.18719999999999998</v>
          </cell>
          <cell r="AD131">
            <v>32120</v>
          </cell>
        </row>
        <row r="132">
          <cell r="A132" t="str">
            <v>OFY</v>
          </cell>
          <cell r="B132" t="str">
            <v>OOCL Fidelity</v>
          </cell>
          <cell r="C132" t="str">
            <v>OOL</v>
          </cell>
          <cell r="D132">
            <v>2880</v>
          </cell>
          <cell r="E132">
            <v>2880</v>
          </cell>
          <cell r="F132">
            <v>40980</v>
          </cell>
          <cell r="G132">
            <v>14.229166666666666</v>
          </cell>
          <cell r="H132">
            <v>23885</v>
          </cell>
          <cell r="I132">
            <v>8.2934027777777786</v>
          </cell>
          <cell r="J132">
            <v>35311</v>
          </cell>
          <cell r="K132">
            <v>12.260763888888889</v>
          </cell>
          <cell r="L132">
            <v>5</v>
          </cell>
          <cell r="N132">
            <v>36792</v>
          </cell>
          <cell r="O132">
            <v>12.775</v>
          </cell>
          <cell r="P132">
            <v>241</v>
          </cell>
          <cell r="Q132">
            <v>241</v>
          </cell>
          <cell r="R132">
            <v>32.200000000000003</v>
          </cell>
          <cell r="T132">
            <v>12.52</v>
          </cell>
          <cell r="V132">
            <v>21.1</v>
          </cell>
          <cell r="X132">
            <v>6.4999999999999994E-5</v>
          </cell>
          <cell r="Y132">
            <v>0.18719999999999998</v>
          </cell>
          <cell r="AD132">
            <v>32120</v>
          </cell>
        </row>
        <row r="133">
          <cell r="A133" t="str">
            <v>OFT</v>
          </cell>
          <cell r="B133" t="str">
            <v>OOCL Fortune</v>
          </cell>
          <cell r="C133" t="str">
            <v>OOL</v>
          </cell>
          <cell r="D133">
            <v>2880</v>
          </cell>
          <cell r="E133">
            <v>2880</v>
          </cell>
          <cell r="F133">
            <v>40978</v>
          </cell>
          <cell r="G133">
            <v>14.228472222222223</v>
          </cell>
          <cell r="H133">
            <v>23885</v>
          </cell>
          <cell r="I133">
            <v>8.2934027777777786</v>
          </cell>
          <cell r="J133">
            <v>35313</v>
          </cell>
          <cell r="K133">
            <v>12.261458333333334</v>
          </cell>
          <cell r="L133">
            <v>5</v>
          </cell>
          <cell r="N133">
            <v>36789</v>
          </cell>
          <cell r="O133">
            <v>12.773958333333333</v>
          </cell>
          <cell r="P133">
            <v>241</v>
          </cell>
          <cell r="Q133">
            <v>241</v>
          </cell>
          <cell r="R133">
            <v>32.200000000000003</v>
          </cell>
          <cell r="T133">
            <v>12.52</v>
          </cell>
          <cell r="V133">
            <v>21.1</v>
          </cell>
          <cell r="X133">
            <v>6.4999999999999994E-5</v>
          </cell>
          <cell r="Y133">
            <v>0.18719999999999998</v>
          </cell>
          <cell r="AD133">
            <v>32120</v>
          </cell>
        </row>
        <row r="134">
          <cell r="A134" t="str">
            <v>OFA</v>
          </cell>
          <cell r="B134" t="str">
            <v>OOCL Faith</v>
          </cell>
          <cell r="C134" t="str">
            <v>OOL</v>
          </cell>
          <cell r="D134">
            <v>2880</v>
          </cell>
          <cell r="E134">
            <v>2880</v>
          </cell>
          <cell r="F134">
            <v>40980</v>
          </cell>
          <cell r="G134">
            <v>14.229166666666666</v>
          </cell>
          <cell r="H134">
            <v>23885</v>
          </cell>
          <cell r="I134">
            <v>8.2934027777777786</v>
          </cell>
          <cell r="J134">
            <v>35311</v>
          </cell>
          <cell r="K134">
            <v>12.260763888888889</v>
          </cell>
          <cell r="L134">
            <v>5</v>
          </cell>
          <cell r="N134">
            <v>36739</v>
          </cell>
          <cell r="O134">
            <v>12.756597222222222</v>
          </cell>
          <cell r="P134">
            <v>241</v>
          </cell>
          <cell r="Q134">
            <v>241</v>
          </cell>
          <cell r="R134">
            <v>32.200000000000003</v>
          </cell>
          <cell r="T134">
            <v>12.52</v>
          </cell>
          <cell r="V134">
            <v>21.1</v>
          </cell>
          <cell r="X134">
            <v>6.4999999999999994E-5</v>
          </cell>
          <cell r="Y134">
            <v>0.18719999999999998</v>
          </cell>
          <cell r="AD134">
            <v>32120</v>
          </cell>
        </row>
        <row r="135">
          <cell r="A135" t="str">
            <v>OFD</v>
          </cell>
          <cell r="B135" t="str">
            <v>OOCL Freedom</v>
          </cell>
          <cell r="C135" t="str">
            <v>OOL</v>
          </cell>
          <cell r="D135">
            <v>2880</v>
          </cell>
          <cell r="E135">
            <v>2880</v>
          </cell>
          <cell r="F135">
            <v>40978</v>
          </cell>
          <cell r="G135">
            <v>14.228472222222223</v>
          </cell>
          <cell r="H135">
            <v>23885</v>
          </cell>
          <cell r="I135">
            <v>8.2934027777777786</v>
          </cell>
          <cell r="J135">
            <v>35319</v>
          </cell>
          <cell r="K135">
            <v>12.263541666666667</v>
          </cell>
          <cell r="L135">
            <v>5</v>
          </cell>
          <cell r="N135">
            <v>36820</v>
          </cell>
          <cell r="O135">
            <v>12.784722222222221</v>
          </cell>
          <cell r="P135">
            <v>241</v>
          </cell>
          <cell r="Q135">
            <v>241</v>
          </cell>
          <cell r="R135">
            <v>32.200000000000003</v>
          </cell>
          <cell r="T135">
            <v>12.52</v>
          </cell>
          <cell r="V135">
            <v>21.1</v>
          </cell>
          <cell r="X135">
            <v>6.4999999999999994E-5</v>
          </cell>
          <cell r="Y135">
            <v>0.18719999999999998</v>
          </cell>
          <cell r="AD135">
            <v>32120</v>
          </cell>
        </row>
        <row r="136">
          <cell r="A136" t="str">
            <v>OFH</v>
          </cell>
          <cell r="B136" t="str">
            <v>OOCL Friendship</v>
          </cell>
          <cell r="C136" t="str">
            <v>OOL</v>
          </cell>
          <cell r="D136">
            <v>2930</v>
          </cell>
          <cell r="E136">
            <v>2880</v>
          </cell>
          <cell r="F136">
            <v>42023</v>
          </cell>
          <cell r="G136">
            <v>14.342320819112627</v>
          </cell>
          <cell r="H136">
            <v>21112</v>
          </cell>
          <cell r="I136">
            <v>7.2054607508532422</v>
          </cell>
          <cell r="J136">
            <v>37083</v>
          </cell>
          <cell r="K136">
            <v>12.656313993174061</v>
          </cell>
          <cell r="L136">
            <v>5</v>
          </cell>
          <cell r="N136">
            <v>37665</v>
          </cell>
          <cell r="O136">
            <v>12.854948805460751</v>
          </cell>
          <cell r="P136">
            <v>249</v>
          </cell>
          <cell r="Q136">
            <v>249</v>
          </cell>
          <cell r="R136">
            <v>32.200000000000003</v>
          </cell>
          <cell r="T136">
            <v>12.52</v>
          </cell>
          <cell r="V136">
            <v>21.1</v>
          </cell>
          <cell r="X136">
            <v>6.4999999999999994E-5</v>
          </cell>
          <cell r="Y136">
            <v>0.19044999999999998</v>
          </cell>
          <cell r="AD136">
            <v>33120</v>
          </cell>
        </row>
        <row r="137">
          <cell r="A137" t="str">
            <v>OCG</v>
          </cell>
          <cell r="B137" t="str">
            <v>OOCL Chicago</v>
          </cell>
          <cell r="C137" t="str">
            <v>OOL</v>
          </cell>
          <cell r="D137">
            <v>5720</v>
          </cell>
          <cell r="F137">
            <v>66677</v>
          </cell>
          <cell r="G137">
            <v>11.656818181818181</v>
          </cell>
          <cell r="H137">
            <v>39516</v>
          </cell>
          <cell r="I137">
            <v>6.9083916083916082</v>
          </cell>
          <cell r="J137">
            <v>68961</v>
          </cell>
          <cell r="K137">
            <v>12.056118881118881</v>
          </cell>
          <cell r="L137">
            <v>6</v>
          </cell>
          <cell r="O137">
            <v>0</v>
          </cell>
          <cell r="P137">
            <v>277</v>
          </cell>
          <cell r="R137">
            <v>40</v>
          </cell>
          <cell r="T137">
            <v>14</v>
          </cell>
          <cell r="V137">
            <v>24.3</v>
          </cell>
          <cell r="X137">
            <v>4.5199300699300697E-5</v>
          </cell>
          <cell r="Y137">
            <v>0.25853999999999999</v>
          </cell>
          <cell r="AA137">
            <v>5.394755244755245E-5</v>
          </cell>
          <cell r="AB137">
            <v>0.30858000000000002</v>
          </cell>
          <cell r="AD137">
            <v>62350</v>
          </cell>
        </row>
        <row r="138">
          <cell r="A138" t="str">
            <v>OFN</v>
          </cell>
          <cell r="B138" t="str">
            <v>OOCL France</v>
          </cell>
          <cell r="C138" t="str">
            <v>OOL</v>
          </cell>
          <cell r="D138">
            <v>5738</v>
          </cell>
          <cell r="F138">
            <v>66289</v>
          </cell>
          <cell r="G138">
            <v>11.552631578947368</v>
          </cell>
          <cell r="H138">
            <v>33238</v>
          </cell>
          <cell r="I138">
            <v>5.7926106657371905</v>
          </cell>
          <cell r="J138">
            <v>58093</v>
          </cell>
          <cell r="K138">
            <v>10.124259323806204</v>
          </cell>
          <cell r="L138">
            <v>7</v>
          </cell>
          <cell r="O138">
            <v>0</v>
          </cell>
          <cell r="P138">
            <v>277</v>
          </cell>
          <cell r="R138">
            <v>40</v>
          </cell>
          <cell r="T138">
            <v>14</v>
          </cell>
          <cell r="V138">
            <v>24.3</v>
          </cell>
          <cell r="X138">
            <v>4.5057511327988847E-5</v>
          </cell>
          <cell r="Y138">
            <v>0.25853999999999999</v>
          </cell>
          <cell r="AA138">
            <v>5.3778319972115724E-5</v>
          </cell>
          <cell r="AB138">
            <v>0.30858000000000002</v>
          </cell>
          <cell r="AD138">
            <v>60720</v>
          </cell>
        </row>
        <row r="139">
          <cell r="A139" t="str">
            <v>OGM</v>
          </cell>
          <cell r="B139" t="str">
            <v>OOCL Germany</v>
          </cell>
          <cell r="C139" t="str">
            <v>OOL</v>
          </cell>
          <cell r="D139">
            <v>5738</v>
          </cell>
          <cell r="F139">
            <v>66289</v>
          </cell>
          <cell r="G139">
            <v>11.552631578947368</v>
          </cell>
          <cell r="H139">
            <v>33238</v>
          </cell>
          <cell r="I139">
            <v>5.7926106657371905</v>
          </cell>
          <cell r="J139">
            <v>58093</v>
          </cell>
          <cell r="K139">
            <v>10.124259323806204</v>
          </cell>
          <cell r="L139">
            <v>7</v>
          </cell>
          <cell r="O139">
            <v>0</v>
          </cell>
          <cell r="P139">
            <v>277</v>
          </cell>
          <cell r="R139">
            <v>40</v>
          </cell>
          <cell r="T139">
            <v>14</v>
          </cell>
          <cell r="V139">
            <v>24.3</v>
          </cell>
          <cell r="X139">
            <v>4.5057511327988847E-5</v>
          </cell>
          <cell r="Y139">
            <v>0.25853999999999999</v>
          </cell>
          <cell r="AA139">
            <v>5.3778319972115724E-5</v>
          </cell>
          <cell r="AB139">
            <v>0.30858000000000002</v>
          </cell>
          <cell r="AD139">
            <v>60720</v>
          </cell>
        </row>
        <row r="140">
          <cell r="A140" t="str">
            <v>OKE</v>
          </cell>
          <cell r="B140" t="str">
            <v>OOCL Korea</v>
          </cell>
          <cell r="C140" t="str">
            <v>OOL</v>
          </cell>
          <cell r="D140">
            <v>5770</v>
          </cell>
          <cell r="F140">
            <v>66289</v>
          </cell>
          <cell r="G140">
            <v>11.488561525129983</v>
          </cell>
          <cell r="H140">
            <v>33238</v>
          </cell>
          <cell r="I140">
            <v>5.7604852686308492</v>
          </cell>
          <cell r="J140">
            <v>58093</v>
          </cell>
          <cell r="K140">
            <v>10.068110918544194</v>
          </cell>
          <cell r="L140">
            <v>7</v>
          </cell>
          <cell r="O140">
            <v>0</v>
          </cell>
          <cell r="P140">
            <v>277</v>
          </cell>
          <cell r="R140">
            <v>40</v>
          </cell>
          <cell r="T140">
            <v>14</v>
          </cell>
          <cell r="V140">
            <v>24.3</v>
          </cell>
          <cell r="X140">
            <v>4.4807625649913347E-5</v>
          </cell>
          <cell r="Y140">
            <v>0.25853999999999999</v>
          </cell>
          <cell r="AA140">
            <v>5.3480069324090125E-5</v>
          </cell>
          <cell r="AB140">
            <v>0.30858000000000002</v>
          </cell>
          <cell r="AD140">
            <v>60720</v>
          </cell>
        </row>
        <row r="141">
          <cell r="A141" t="str">
            <v>OTH</v>
          </cell>
          <cell r="B141" t="str">
            <v>OOCL Thailand</v>
          </cell>
          <cell r="C141" t="str">
            <v>OOL</v>
          </cell>
          <cell r="D141">
            <v>5770</v>
          </cell>
          <cell r="F141">
            <v>66289</v>
          </cell>
          <cell r="G141">
            <v>11.488561525129983</v>
          </cell>
          <cell r="H141">
            <v>33238</v>
          </cell>
          <cell r="I141">
            <v>5.7604852686308492</v>
          </cell>
          <cell r="J141">
            <v>58093</v>
          </cell>
          <cell r="K141">
            <v>10.068110918544194</v>
          </cell>
          <cell r="L141">
            <v>7</v>
          </cell>
          <cell r="O141">
            <v>0</v>
          </cell>
          <cell r="P141">
            <v>277</v>
          </cell>
          <cell r="R141">
            <v>40</v>
          </cell>
          <cell r="T141">
            <v>14</v>
          </cell>
          <cell r="V141">
            <v>24.3</v>
          </cell>
          <cell r="X141">
            <v>4.4807625649913347E-5</v>
          </cell>
          <cell r="Y141">
            <v>0.25853999999999999</v>
          </cell>
          <cell r="AA141">
            <v>5.3480069324090125E-5</v>
          </cell>
          <cell r="AB141">
            <v>0.30858000000000002</v>
          </cell>
          <cell r="AD141">
            <v>60720</v>
          </cell>
        </row>
        <row r="142">
          <cell r="A142" t="str">
            <v>OSF</v>
          </cell>
          <cell r="B142" t="str">
            <v>OOCL San Francisco</v>
          </cell>
          <cell r="C142" t="str">
            <v>OOL</v>
          </cell>
          <cell r="D142">
            <v>5720</v>
          </cell>
          <cell r="F142">
            <v>66677</v>
          </cell>
          <cell r="G142">
            <v>11.656818181818181</v>
          </cell>
          <cell r="H142">
            <v>39516</v>
          </cell>
          <cell r="I142">
            <v>6.9083916083916082</v>
          </cell>
          <cell r="J142">
            <v>68961</v>
          </cell>
          <cell r="K142">
            <v>12.056118881118881</v>
          </cell>
          <cell r="L142">
            <v>6</v>
          </cell>
          <cell r="O142">
            <v>0</v>
          </cell>
          <cell r="P142">
            <v>277.39999999999998</v>
          </cell>
          <cell r="R142">
            <v>40</v>
          </cell>
          <cell r="T142">
            <v>14</v>
          </cell>
          <cell r="V142">
            <v>24.3</v>
          </cell>
          <cell r="X142">
            <v>4.5199300699300697E-5</v>
          </cell>
          <cell r="Y142">
            <v>0.25853999999999999</v>
          </cell>
          <cell r="AA142">
            <v>5.394755244755245E-5</v>
          </cell>
          <cell r="AB142">
            <v>0.30858000000000002</v>
          </cell>
          <cell r="AD142">
            <v>62350</v>
          </cell>
        </row>
        <row r="143">
          <cell r="A143" t="str">
            <v>OSZ</v>
          </cell>
          <cell r="B143" t="str">
            <v>OOCL Shezhen</v>
          </cell>
          <cell r="C143" t="str">
            <v>OOL</v>
          </cell>
          <cell r="D143">
            <v>7859</v>
          </cell>
          <cell r="F143">
            <v>89097</v>
          </cell>
          <cell r="G143">
            <v>11.336938541799212</v>
          </cell>
          <cell r="H143">
            <v>37326</v>
          </cell>
          <cell r="I143">
            <v>4.7494592187301183</v>
          </cell>
          <cell r="J143">
            <v>78500</v>
          </cell>
          <cell r="K143">
            <v>9.9885481613436831</v>
          </cell>
          <cell r="L143">
            <v>7</v>
          </cell>
          <cell r="O143">
            <v>0</v>
          </cell>
          <cell r="P143">
            <v>322.971</v>
          </cell>
          <cell r="R143">
            <v>42.8</v>
          </cell>
          <cell r="T143">
            <v>14.5</v>
          </cell>
          <cell r="V143">
            <v>24.6</v>
          </cell>
          <cell r="X143">
            <v>3.3456928362387073E-5</v>
          </cell>
          <cell r="Y143">
            <v>0.26293800000000001</v>
          </cell>
          <cell r="AA143">
            <v>4.0973151800483522E-5</v>
          </cell>
          <cell r="AB143">
            <v>0.32200800000000002</v>
          </cell>
          <cell r="AD143">
            <v>87500</v>
          </cell>
        </row>
        <row r="144">
          <cell r="A144" t="str">
            <v>OLB</v>
          </cell>
          <cell r="B144" t="str">
            <v>OOCL Long Beach</v>
          </cell>
          <cell r="C144" t="str">
            <v>OOL</v>
          </cell>
          <cell r="D144">
            <v>7859</v>
          </cell>
          <cell r="F144">
            <v>89097</v>
          </cell>
          <cell r="G144">
            <v>11.336938541799212</v>
          </cell>
          <cell r="H144">
            <v>37326</v>
          </cell>
          <cell r="I144">
            <v>4.7494592187301183</v>
          </cell>
          <cell r="J144">
            <v>78500</v>
          </cell>
          <cell r="K144">
            <v>9.9885481613436831</v>
          </cell>
          <cell r="L144">
            <v>7</v>
          </cell>
          <cell r="O144">
            <v>0</v>
          </cell>
          <cell r="P144">
            <v>322.971</v>
          </cell>
          <cell r="R144">
            <v>42.8</v>
          </cell>
          <cell r="T144">
            <v>14.5</v>
          </cell>
          <cell r="V144">
            <v>24.6</v>
          </cell>
          <cell r="X144">
            <v>3.3456928362387073E-5</v>
          </cell>
          <cell r="Y144">
            <v>0.26293800000000001</v>
          </cell>
          <cell r="AA144">
            <v>4.0973151800483522E-5</v>
          </cell>
          <cell r="AB144">
            <v>0.32200800000000002</v>
          </cell>
          <cell r="AD144">
            <v>87500</v>
          </cell>
        </row>
        <row r="145">
          <cell r="A145" t="str">
            <v>ORT</v>
          </cell>
          <cell r="B145" t="str">
            <v>OOCL Rotterdam</v>
          </cell>
          <cell r="C145" t="str">
            <v>OOL</v>
          </cell>
          <cell r="D145">
            <v>7859</v>
          </cell>
          <cell r="F145">
            <v>89097</v>
          </cell>
          <cell r="G145">
            <v>11.336938541799212</v>
          </cell>
          <cell r="H145">
            <v>37326</v>
          </cell>
          <cell r="I145">
            <v>4.7494592187301183</v>
          </cell>
          <cell r="J145">
            <v>78500</v>
          </cell>
          <cell r="K145">
            <v>9.9885481613436831</v>
          </cell>
          <cell r="L145">
            <v>7</v>
          </cell>
          <cell r="O145">
            <v>0</v>
          </cell>
          <cell r="P145">
            <v>322.971</v>
          </cell>
          <cell r="R145">
            <v>42.8</v>
          </cell>
          <cell r="T145">
            <v>14.5</v>
          </cell>
          <cell r="V145">
            <v>24.6</v>
          </cell>
          <cell r="X145">
            <v>3.3456928362387073E-5</v>
          </cell>
          <cell r="Y145">
            <v>0.26293800000000001</v>
          </cell>
          <cell r="AA145">
            <v>4.0973151800483522E-5</v>
          </cell>
          <cell r="AB145">
            <v>0.32200800000000002</v>
          </cell>
          <cell r="AD145">
            <v>87500</v>
          </cell>
        </row>
        <row r="146">
          <cell r="A146" t="str">
            <v>OHB</v>
          </cell>
          <cell r="B146" t="str">
            <v>OOCL Hamburg</v>
          </cell>
          <cell r="C146" t="str">
            <v>OOL</v>
          </cell>
          <cell r="D146">
            <v>7859</v>
          </cell>
          <cell r="F146">
            <v>89097</v>
          </cell>
          <cell r="G146">
            <v>11.336938541799212</v>
          </cell>
          <cell r="H146">
            <v>37326</v>
          </cell>
          <cell r="I146">
            <v>4.7494592187301183</v>
          </cell>
          <cell r="J146">
            <v>78500</v>
          </cell>
          <cell r="K146">
            <v>9.9885481613436831</v>
          </cell>
          <cell r="L146">
            <v>7</v>
          </cell>
          <cell r="O146">
            <v>0</v>
          </cell>
          <cell r="P146">
            <v>322.971</v>
          </cell>
          <cell r="R146">
            <v>42.8</v>
          </cell>
          <cell r="T146">
            <v>14.5</v>
          </cell>
          <cell r="V146">
            <v>24.6</v>
          </cell>
          <cell r="X146">
            <v>3.3456928362387073E-5</v>
          </cell>
          <cell r="Y146">
            <v>0.26293800000000001</v>
          </cell>
          <cell r="AA146">
            <v>4.0973151800483522E-5</v>
          </cell>
          <cell r="AB146">
            <v>0.32200800000000002</v>
          </cell>
          <cell r="AD146">
            <v>87500</v>
          </cell>
        </row>
        <row r="147">
          <cell r="A147" t="str">
            <v>OQD</v>
          </cell>
          <cell r="B147" t="str">
            <v>OOCL Qingdao</v>
          </cell>
          <cell r="C147" t="str">
            <v>OOL</v>
          </cell>
          <cell r="D147">
            <v>7859</v>
          </cell>
          <cell r="F147">
            <v>89097</v>
          </cell>
          <cell r="G147">
            <v>11.336938541799212</v>
          </cell>
          <cell r="H147">
            <v>37326</v>
          </cell>
          <cell r="I147">
            <v>4.7494592187301183</v>
          </cell>
          <cell r="J147">
            <v>78500</v>
          </cell>
          <cell r="K147">
            <v>9.9885481613436831</v>
          </cell>
          <cell r="L147">
            <v>7</v>
          </cell>
          <cell r="O147">
            <v>0</v>
          </cell>
          <cell r="P147">
            <v>322.971</v>
          </cell>
          <cell r="R147">
            <v>42.8</v>
          </cell>
          <cell r="T147">
            <v>14.5</v>
          </cell>
          <cell r="V147">
            <v>24.6</v>
          </cell>
          <cell r="X147">
            <v>3.3456928362387073E-5</v>
          </cell>
          <cell r="Y147">
            <v>0.26293800000000001</v>
          </cell>
          <cell r="AA147">
            <v>4.0973151800483522E-5</v>
          </cell>
          <cell r="AB147">
            <v>0.32200800000000002</v>
          </cell>
          <cell r="AD147">
            <v>87500</v>
          </cell>
        </row>
        <row r="148">
          <cell r="A148" t="str">
            <v>ONB</v>
          </cell>
          <cell r="B148" t="str">
            <v>OOCL Ningbo</v>
          </cell>
          <cell r="C148" t="str">
            <v>OOL</v>
          </cell>
          <cell r="D148">
            <v>7859</v>
          </cell>
          <cell r="F148">
            <v>89097</v>
          </cell>
          <cell r="G148">
            <v>11.336938541799212</v>
          </cell>
          <cell r="H148">
            <v>37326</v>
          </cell>
          <cell r="I148">
            <v>4.7494592187301183</v>
          </cell>
          <cell r="J148">
            <v>78500</v>
          </cell>
          <cell r="K148">
            <v>9.9885481613436831</v>
          </cell>
          <cell r="L148">
            <v>7</v>
          </cell>
          <cell r="O148">
            <v>0</v>
          </cell>
          <cell r="P148">
            <v>322.971</v>
          </cell>
          <cell r="R148">
            <v>42.8</v>
          </cell>
          <cell r="T148">
            <v>14.5</v>
          </cell>
          <cell r="V148">
            <v>24.6</v>
          </cell>
          <cell r="X148">
            <v>3.3456928362387073E-5</v>
          </cell>
          <cell r="Y148">
            <v>0.26293800000000001</v>
          </cell>
          <cell r="AA148">
            <v>4.0973151800483522E-5</v>
          </cell>
          <cell r="AB148">
            <v>0.32200800000000002</v>
          </cell>
          <cell r="AD148">
            <v>87500</v>
          </cell>
        </row>
        <row r="150">
          <cell r="A150" t="str">
            <v>BPG</v>
          </cell>
          <cell r="B150" t="str">
            <v>Bunga Pelangi</v>
          </cell>
          <cell r="C150" t="str">
            <v>MIS</v>
          </cell>
          <cell r="D150">
            <v>4400</v>
          </cell>
          <cell r="F150">
            <v>53521</v>
          </cell>
          <cell r="G150">
            <v>12.163863636363637</v>
          </cell>
          <cell r="H150">
            <v>22417</v>
          </cell>
          <cell r="I150">
            <v>5.0947727272727272</v>
          </cell>
          <cell r="J150">
            <v>42851</v>
          </cell>
          <cell r="K150">
            <v>9.7388636363636358</v>
          </cell>
          <cell r="L150">
            <v>5</v>
          </cell>
          <cell r="O150">
            <v>0</v>
          </cell>
          <cell r="P150">
            <v>275</v>
          </cell>
          <cell r="R150">
            <v>37.1</v>
          </cell>
          <cell r="T150">
            <v>13.6</v>
          </cell>
          <cell r="V150">
            <v>21.7</v>
          </cell>
          <cell r="X150">
            <v>5.2294090909090908E-5</v>
          </cell>
          <cell r="Y150">
            <v>0.23009399999999999</v>
          </cell>
          <cell r="AA150">
            <v>6.3069772727272728E-5</v>
          </cell>
          <cell r="AB150">
            <v>0.277507</v>
          </cell>
          <cell r="AD150">
            <v>46650</v>
          </cell>
        </row>
        <row r="151">
          <cell r="A151" t="str">
            <v>BPD</v>
          </cell>
          <cell r="B151" t="str">
            <v>Bunga Pelangi Dua</v>
          </cell>
          <cell r="C151" t="str">
            <v>MIS</v>
          </cell>
          <cell r="D151">
            <v>4400</v>
          </cell>
          <cell r="F151">
            <v>53379</v>
          </cell>
          <cell r="G151">
            <v>12.131590909090908</v>
          </cell>
          <cell r="H151">
            <v>31584</v>
          </cell>
          <cell r="I151">
            <v>7.1781818181818178</v>
          </cell>
          <cell r="J151">
            <v>44728</v>
          </cell>
          <cell r="K151">
            <v>10.165454545454546</v>
          </cell>
          <cell r="L151">
            <v>5</v>
          </cell>
          <cell r="O151">
            <v>0</v>
          </cell>
          <cell r="P151">
            <v>276</v>
          </cell>
          <cell r="R151">
            <v>37.1</v>
          </cell>
          <cell r="T151">
            <v>13.6</v>
          </cell>
          <cell r="V151">
            <v>21.7</v>
          </cell>
          <cell r="X151">
            <v>5.2294090909090908E-5</v>
          </cell>
          <cell r="Y151">
            <v>0.23009399999999999</v>
          </cell>
          <cell r="AA151">
            <v>6.3069772727272728E-5</v>
          </cell>
          <cell r="AB151">
            <v>0.277507</v>
          </cell>
          <cell r="AD151">
            <v>46650</v>
          </cell>
        </row>
        <row r="152">
          <cell r="A152" t="str">
            <v>BRS</v>
          </cell>
          <cell r="B152" t="str">
            <v>Bunga Raya Satu</v>
          </cell>
          <cell r="C152" t="str">
            <v>MIS</v>
          </cell>
          <cell r="D152">
            <v>3500</v>
          </cell>
          <cell r="E152">
            <v>3500</v>
          </cell>
          <cell r="F152">
            <v>39582</v>
          </cell>
          <cell r="G152">
            <v>11.309142857142858</v>
          </cell>
          <cell r="H152">
            <v>23040</v>
          </cell>
          <cell r="I152">
            <v>6.5828571428571427</v>
          </cell>
          <cell r="J152">
            <v>35867</v>
          </cell>
          <cell r="K152">
            <v>10.247714285714286</v>
          </cell>
          <cell r="L152">
            <v>6</v>
          </cell>
          <cell r="N152">
            <v>34866</v>
          </cell>
          <cell r="O152">
            <v>9.9617142857142849</v>
          </cell>
          <cell r="P152">
            <v>258</v>
          </cell>
          <cell r="Q152">
            <v>258</v>
          </cell>
          <cell r="R152">
            <v>32.25</v>
          </cell>
          <cell r="T152">
            <v>12.019</v>
          </cell>
          <cell r="V152">
            <v>19.3</v>
          </cell>
          <cell r="X152">
            <v>6.3440857142857141E-5</v>
          </cell>
          <cell r="Y152">
            <v>0.22204299999999999</v>
          </cell>
          <cell r="AA152">
            <v>7.9304285714285711E-5</v>
          </cell>
          <cell r="AB152">
            <v>0.27756500000000001</v>
          </cell>
          <cell r="AD152">
            <v>37950</v>
          </cell>
        </row>
        <row r="153">
          <cell r="A153" t="str">
            <v>BRD</v>
          </cell>
          <cell r="B153" t="str">
            <v>Bunga Raya Dua</v>
          </cell>
          <cell r="C153" t="str">
            <v>MIS</v>
          </cell>
          <cell r="D153">
            <v>3500</v>
          </cell>
          <cell r="E153">
            <v>3500</v>
          </cell>
          <cell r="F153">
            <v>39582</v>
          </cell>
          <cell r="G153">
            <v>11.309142857142858</v>
          </cell>
          <cell r="H153">
            <v>23040</v>
          </cell>
          <cell r="I153">
            <v>6.5828571428571427</v>
          </cell>
          <cell r="J153">
            <v>35867</v>
          </cell>
          <cell r="K153">
            <v>10.247714285714286</v>
          </cell>
          <cell r="L153">
            <v>6</v>
          </cell>
          <cell r="N153">
            <v>34866</v>
          </cell>
          <cell r="O153">
            <v>9.9617142857142849</v>
          </cell>
          <cell r="P153">
            <v>258</v>
          </cell>
          <cell r="Q153">
            <v>258</v>
          </cell>
          <cell r="R153">
            <v>32.25</v>
          </cell>
          <cell r="T153">
            <v>12.019</v>
          </cell>
          <cell r="V153">
            <v>19.3</v>
          </cell>
          <cell r="X153">
            <v>6.3440857142857141E-5</v>
          </cell>
          <cell r="Y153">
            <v>0.22204299999999999</v>
          </cell>
          <cell r="AA153">
            <v>7.9304285714285711E-5</v>
          </cell>
          <cell r="AB153">
            <v>0.27756500000000001</v>
          </cell>
          <cell r="AD153">
            <v>37950</v>
          </cell>
        </row>
        <row r="156">
          <cell r="A156" t="str">
            <v>GAVS</v>
          </cell>
          <cell r="B156" t="str">
            <v>G A Virtual Ship</v>
          </cell>
          <cell r="D156">
            <v>4955.95</v>
          </cell>
          <cell r="F156">
            <v>60294.485714285714</v>
          </cell>
          <cell r="G156">
            <v>12.166080310391694</v>
          </cell>
          <cell r="H156">
            <v>28157.957142857143</v>
          </cell>
          <cell r="I156">
            <v>5.6816467363183936</v>
          </cell>
          <cell r="J156">
            <v>54775.084928571436</v>
          </cell>
          <cell r="K156">
            <v>11.05238852865171</v>
          </cell>
          <cell r="L156">
            <v>5.85</v>
          </cell>
          <cell r="N156">
            <v>39896.955223880599</v>
          </cell>
          <cell r="O156">
            <v>10.894631947472886</v>
          </cell>
          <cell r="P156">
            <v>281.48839999999996</v>
          </cell>
          <cell r="Q156">
            <v>268.67417910447779</v>
          </cell>
          <cell r="R156">
            <v>36.512642857142858</v>
          </cell>
          <cell r="T156">
            <v>13.437178571428563</v>
          </cell>
          <cell r="V156">
            <v>22.733571428571462</v>
          </cell>
          <cell r="X156">
            <v>4.8900000000000003E-5</v>
          </cell>
          <cell r="Y156">
            <v>0.24234388780470054</v>
          </cell>
          <cell r="AA156">
            <v>5.91E-5</v>
          </cell>
          <cell r="AB156">
            <v>0.29836582755826785</v>
          </cell>
          <cell r="AD156">
            <v>52904.857142857145</v>
          </cell>
        </row>
      </sheetData>
      <sheetData sheetId="1" refreshError="1"/>
      <sheetData sheetId="2" refreshError="1"/>
      <sheetData sheetId="3" refreshError="1"/>
      <sheetData sheetId="4" refreshError="1">
        <row r="5">
          <cell r="A5" t="str">
            <v>ANR</v>
          </cell>
          <cell r="B5" t="str">
            <v>EUR</v>
          </cell>
          <cell r="C5">
            <v>0.8196</v>
          </cell>
        </row>
        <row r="6">
          <cell r="A6" t="str">
            <v>HAL</v>
          </cell>
          <cell r="B6" t="str">
            <v>CND</v>
          </cell>
          <cell r="C6">
            <v>1.3117000000000001</v>
          </cell>
        </row>
        <row r="7">
          <cell r="A7" t="str">
            <v>VAN</v>
          </cell>
          <cell r="B7" t="str">
            <v>CND</v>
          </cell>
          <cell r="C7">
            <v>1.3117000000000001</v>
          </cell>
        </row>
        <row r="8">
          <cell r="A8" t="str">
            <v>DLC</v>
          </cell>
          <cell r="B8" t="str">
            <v>RMB</v>
          </cell>
          <cell r="C8">
            <v>8.2767999999999997</v>
          </cell>
        </row>
        <row r="9">
          <cell r="A9" t="str">
            <v>TXG</v>
          </cell>
          <cell r="B9" t="str">
            <v>RMB</v>
          </cell>
          <cell r="C9">
            <v>8.2767999999999997</v>
          </cell>
        </row>
        <row r="10">
          <cell r="A10" t="str">
            <v>NGB</v>
          </cell>
          <cell r="B10" t="str">
            <v>RMB</v>
          </cell>
          <cell r="C10">
            <v>8.2767999999999997</v>
          </cell>
        </row>
        <row r="11">
          <cell r="A11" t="str">
            <v>SHA</v>
          </cell>
          <cell r="B11" t="str">
            <v>RMB</v>
          </cell>
          <cell r="C11">
            <v>8.2767999999999997</v>
          </cell>
        </row>
        <row r="12">
          <cell r="A12" t="str">
            <v>SHK</v>
          </cell>
          <cell r="B12" t="str">
            <v>RMB</v>
          </cell>
          <cell r="C12">
            <v>8.2767999999999997</v>
          </cell>
        </row>
        <row r="13">
          <cell r="A13" t="str">
            <v>TAO</v>
          </cell>
          <cell r="B13" t="str">
            <v>RMB</v>
          </cell>
          <cell r="C13">
            <v>8.2767999999999997</v>
          </cell>
        </row>
        <row r="14">
          <cell r="A14" t="str">
            <v>XMN</v>
          </cell>
          <cell r="B14" t="str">
            <v>RMB</v>
          </cell>
          <cell r="C14">
            <v>8.2767999999999997</v>
          </cell>
        </row>
        <row r="15">
          <cell r="A15" t="str">
            <v>YTN</v>
          </cell>
          <cell r="B15" t="str">
            <v>RMB</v>
          </cell>
          <cell r="C15">
            <v>8.2767999999999997</v>
          </cell>
        </row>
        <row r="16">
          <cell r="A16" t="str">
            <v>FOS</v>
          </cell>
          <cell r="B16" t="str">
            <v>EUR</v>
          </cell>
          <cell r="C16">
            <v>0.8196</v>
          </cell>
        </row>
        <row r="17">
          <cell r="A17" t="str">
            <v>LEH</v>
          </cell>
          <cell r="B17" t="str">
            <v>EUR</v>
          </cell>
          <cell r="C17">
            <v>0.8196</v>
          </cell>
        </row>
        <row r="18">
          <cell r="A18" t="str">
            <v>BRV</v>
          </cell>
          <cell r="B18" t="str">
            <v>EUR</v>
          </cell>
          <cell r="C18">
            <v>0.8196</v>
          </cell>
        </row>
        <row r="19">
          <cell r="A19" t="str">
            <v>HAM</v>
          </cell>
          <cell r="B19" t="str">
            <v>EUR</v>
          </cell>
          <cell r="C19">
            <v>0.8196</v>
          </cell>
        </row>
        <row r="20">
          <cell r="A20" t="str">
            <v>GIB</v>
          </cell>
          <cell r="B20" t="str">
            <v>GIB</v>
          </cell>
          <cell r="C20">
            <v>0.54830000000000001</v>
          </cell>
        </row>
        <row r="21">
          <cell r="A21" t="str">
            <v>HKG</v>
          </cell>
          <cell r="B21" t="str">
            <v>HKD</v>
          </cell>
          <cell r="C21">
            <v>7.7991000000000001</v>
          </cell>
        </row>
        <row r="22">
          <cell r="A22" t="str">
            <v>JKT</v>
          </cell>
          <cell r="B22" t="str">
            <v>USD</v>
          </cell>
          <cell r="C22">
            <v>1</v>
          </cell>
        </row>
        <row r="23">
          <cell r="A23" t="str">
            <v>SPE</v>
          </cell>
          <cell r="B23" t="str">
            <v>EUR</v>
          </cell>
          <cell r="C23">
            <v>0.8196</v>
          </cell>
        </row>
        <row r="24">
          <cell r="A24" t="str">
            <v>GIT</v>
          </cell>
          <cell r="B24" t="str">
            <v>EUR</v>
          </cell>
          <cell r="C24">
            <v>0.8196</v>
          </cell>
        </row>
        <row r="25">
          <cell r="A25" t="str">
            <v>CAG</v>
          </cell>
          <cell r="B25" t="str">
            <v>EUR</v>
          </cell>
          <cell r="C25">
            <v>0.8196</v>
          </cell>
        </row>
        <row r="26">
          <cell r="A26" t="str">
            <v>HKT</v>
          </cell>
          <cell r="B26" t="str">
            <v>JPY</v>
          </cell>
          <cell r="C26">
            <v>110.223</v>
          </cell>
        </row>
        <row r="27">
          <cell r="A27" t="str">
            <v>NGO</v>
          </cell>
          <cell r="B27" t="str">
            <v>JPY</v>
          </cell>
          <cell r="C27">
            <v>110.223</v>
          </cell>
        </row>
        <row r="28">
          <cell r="A28" t="str">
            <v>SDS</v>
          </cell>
          <cell r="B28" t="str">
            <v>JPY</v>
          </cell>
          <cell r="C28">
            <v>110.223</v>
          </cell>
        </row>
        <row r="29">
          <cell r="A29" t="str">
            <v>SMZ</v>
          </cell>
          <cell r="B29" t="str">
            <v>JPY</v>
          </cell>
          <cell r="C29">
            <v>110.223</v>
          </cell>
        </row>
        <row r="30">
          <cell r="A30" t="str">
            <v>TYO</v>
          </cell>
          <cell r="B30" t="str">
            <v>JPY</v>
          </cell>
          <cell r="C30">
            <v>110.223</v>
          </cell>
        </row>
        <row r="31">
          <cell r="A31" t="str">
            <v>UKB</v>
          </cell>
          <cell r="B31" t="str">
            <v>JPY</v>
          </cell>
          <cell r="C31">
            <v>110.223</v>
          </cell>
        </row>
        <row r="32">
          <cell r="A32" t="str">
            <v>YOK</v>
          </cell>
          <cell r="B32" t="str">
            <v>JPY</v>
          </cell>
          <cell r="C32">
            <v>110.223</v>
          </cell>
        </row>
        <row r="33">
          <cell r="A33" t="str">
            <v>PUS</v>
          </cell>
          <cell r="B33" t="str">
            <v>KRW</v>
          </cell>
          <cell r="C33">
            <v>1160.0899999999999</v>
          </cell>
        </row>
        <row r="34">
          <cell r="A34" t="str">
            <v>PKG</v>
          </cell>
          <cell r="B34" t="str">
            <v>MYR</v>
          </cell>
          <cell r="C34">
            <v>3.8</v>
          </cell>
        </row>
        <row r="35">
          <cell r="A35" t="str">
            <v>MAR</v>
          </cell>
          <cell r="B35" t="str">
            <v>LM</v>
          </cell>
          <cell r="C35">
            <v>0.3493</v>
          </cell>
        </row>
        <row r="36">
          <cell r="A36" t="str">
            <v>ATM</v>
          </cell>
          <cell r="B36" t="str">
            <v>MEX</v>
          </cell>
          <cell r="C36">
            <v>11.3886</v>
          </cell>
        </row>
        <row r="37">
          <cell r="A37" t="str">
            <v>VER</v>
          </cell>
          <cell r="B37" t="str">
            <v>MEX</v>
          </cell>
          <cell r="C37">
            <v>11.3886</v>
          </cell>
        </row>
        <row r="38">
          <cell r="A38" t="str">
            <v>RTM</v>
          </cell>
          <cell r="B38" t="str">
            <v>EUR</v>
          </cell>
          <cell r="C38">
            <v>0.8196</v>
          </cell>
        </row>
        <row r="39">
          <cell r="A39" t="str">
            <v>JED</v>
          </cell>
          <cell r="B39" t="str">
            <v>SAR</v>
          </cell>
          <cell r="C39">
            <v>3.7502</v>
          </cell>
        </row>
        <row r="40">
          <cell r="A40" t="str">
            <v>PSD</v>
          </cell>
          <cell r="B40" t="str">
            <v>SDR</v>
          </cell>
          <cell r="C40">
            <v>0.68169999999999997</v>
          </cell>
        </row>
        <row r="41">
          <cell r="A41" t="str">
            <v>SUZ</v>
          </cell>
          <cell r="B41" t="str">
            <v>SDR</v>
          </cell>
          <cell r="C41">
            <v>0.68169999999999997</v>
          </cell>
        </row>
        <row r="42">
          <cell r="A42" t="str">
            <v>SIN</v>
          </cell>
          <cell r="B42" t="str">
            <v>SGD</v>
          </cell>
          <cell r="C42">
            <v>1.7144999999999999</v>
          </cell>
        </row>
        <row r="43">
          <cell r="A43" t="str">
            <v>BCN</v>
          </cell>
          <cell r="B43" t="str">
            <v>EUR</v>
          </cell>
          <cell r="C43">
            <v>0.8196</v>
          </cell>
        </row>
        <row r="44">
          <cell r="A44" t="str">
            <v>KEL</v>
          </cell>
          <cell r="B44" t="str">
            <v>TWD</v>
          </cell>
          <cell r="C44">
            <v>34</v>
          </cell>
        </row>
        <row r="45">
          <cell r="A45" t="str">
            <v>KHH</v>
          </cell>
          <cell r="B45" t="str">
            <v>TWD</v>
          </cell>
          <cell r="C45">
            <v>34</v>
          </cell>
        </row>
        <row r="46">
          <cell r="A46" t="str">
            <v>LCH</v>
          </cell>
          <cell r="B46" t="str">
            <v>BAHT</v>
          </cell>
          <cell r="C46">
            <v>41.45</v>
          </cell>
        </row>
        <row r="47">
          <cell r="A47" t="str">
            <v>JEA</v>
          </cell>
          <cell r="B47" t="str">
            <v>AED</v>
          </cell>
          <cell r="C47">
            <v>3.673</v>
          </cell>
        </row>
        <row r="48">
          <cell r="A48" t="str">
            <v>SOU</v>
          </cell>
          <cell r="B48" t="str">
            <v>GBP</v>
          </cell>
          <cell r="C48">
            <v>0.54830000000000001</v>
          </cell>
        </row>
        <row r="49">
          <cell r="A49" t="str">
            <v>THP</v>
          </cell>
          <cell r="B49" t="str">
            <v>GBP</v>
          </cell>
          <cell r="C49">
            <v>0.54830000000000001</v>
          </cell>
        </row>
        <row r="50">
          <cell r="A50" t="str">
            <v>CHS</v>
          </cell>
          <cell r="B50" t="str">
            <v>USD</v>
          </cell>
          <cell r="C50">
            <v>1</v>
          </cell>
        </row>
        <row r="51">
          <cell r="A51" t="str">
            <v>CMB</v>
          </cell>
          <cell r="B51" t="str">
            <v>USD</v>
          </cell>
          <cell r="C51">
            <v>1</v>
          </cell>
        </row>
        <row r="52">
          <cell r="A52" t="str">
            <v>DAM</v>
          </cell>
          <cell r="B52" t="str">
            <v>USD</v>
          </cell>
          <cell r="C52">
            <v>1</v>
          </cell>
        </row>
        <row r="53">
          <cell r="A53" t="str">
            <v>HOU</v>
          </cell>
          <cell r="B53" t="str">
            <v>USD</v>
          </cell>
          <cell r="C53">
            <v>1</v>
          </cell>
        </row>
        <row r="54">
          <cell r="A54" t="str">
            <v>LAX</v>
          </cell>
          <cell r="B54" t="str">
            <v>USD</v>
          </cell>
          <cell r="C54">
            <v>1</v>
          </cell>
        </row>
        <row r="55">
          <cell r="A55" t="str">
            <v>LGB</v>
          </cell>
          <cell r="B55" t="str">
            <v>USD</v>
          </cell>
          <cell r="C55">
            <v>1</v>
          </cell>
        </row>
        <row r="56">
          <cell r="A56" t="str">
            <v>MIA</v>
          </cell>
          <cell r="B56" t="str">
            <v>USD</v>
          </cell>
          <cell r="C56">
            <v>1</v>
          </cell>
        </row>
        <row r="57">
          <cell r="A57" t="str">
            <v>MIT</v>
          </cell>
          <cell r="B57" t="str">
            <v>USD</v>
          </cell>
          <cell r="C57">
            <v>1</v>
          </cell>
        </row>
        <row r="58">
          <cell r="A58" t="str">
            <v>MSY</v>
          </cell>
          <cell r="B58" t="str">
            <v>USD</v>
          </cell>
          <cell r="C58">
            <v>1</v>
          </cell>
        </row>
        <row r="59">
          <cell r="A59" t="str">
            <v>NYC</v>
          </cell>
          <cell r="B59" t="str">
            <v>USD</v>
          </cell>
          <cell r="C59">
            <v>1</v>
          </cell>
        </row>
        <row r="60">
          <cell r="A60" t="str">
            <v>OAK</v>
          </cell>
          <cell r="B60" t="str">
            <v>USD</v>
          </cell>
          <cell r="C60">
            <v>1</v>
          </cell>
        </row>
        <row r="61">
          <cell r="A61" t="str">
            <v>ORF</v>
          </cell>
          <cell r="B61" t="str">
            <v>USD</v>
          </cell>
          <cell r="C61">
            <v>1</v>
          </cell>
        </row>
        <row r="62">
          <cell r="A62" t="str">
            <v>PAN</v>
          </cell>
          <cell r="B62" t="str">
            <v>USD</v>
          </cell>
          <cell r="C62">
            <v>1</v>
          </cell>
        </row>
        <row r="63">
          <cell r="A63" t="str">
            <v>SAV</v>
          </cell>
          <cell r="B63" t="str">
            <v>USD</v>
          </cell>
          <cell r="C63">
            <v>1</v>
          </cell>
        </row>
        <row r="64">
          <cell r="A64" t="str">
            <v>SEA</v>
          </cell>
          <cell r="B64" t="str">
            <v>USD</v>
          </cell>
          <cell r="C64">
            <v>1</v>
          </cell>
        </row>
        <row r="66">
          <cell r="B66" t="str">
            <v>INR</v>
          </cell>
          <cell r="C66" t="e">
            <v>#DIV/0!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(2)"/>
      <sheetName val="운항가능 (3)"/>
      <sheetName val="현행 VSP"/>
      <sheetName val="VSL PARTICULARS"/>
      <sheetName val="SC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대공문"/>
      <sheetName val="학교기부"/>
      <sheetName val="xxxxxx"/>
      <sheetName val="0327∼"/>
      <sheetName val="0406∼0414"/>
      <sheetName val="0415∼"/>
      <sheetName val="0424-0504"/>
      <sheetName val="0506-0514"/>
      <sheetName val="0515-0523"/>
      <sheetName val="0524-0602"/>
      <sheetName val="0603-0614"/>
      <sheetName val="0615-"/>
      <sheetName val="회장님"/>
      <sheetName val="시장동향 (4)"/>
      <sheetName val="카메라"/>
      <sheetName val="경제성분석"/>
      <sheetName val="한계원가"/>
      <sheetName val="출자한도"/>
      <sheetName val="유화"/>
      <sheetName val="3110-2"/>
      <sheetName val="Exchange Rates-GA"/>
      <sheetName val="Shipdata"/>
      <sheetName val="수입"/>
      <sheetName val="VSL PARTICULARS"/>
      <sheetName val="검사현황"/>
      <sheetName val="년도별실"/>
      <sheetName val="업무계획1"/>
      <sheetName val="제품현황"/>
      <sheetName val="차수"/>
      <sheetName val="B_CHART"/>
      <sheetName val="DRAFTSURVEY "/>
      <sheetName val="지사"/>
      <sheetName val="생  산"/>
      <sheetName val="재료비"/>
      <sheetName val="년도별 매출"/>
      <sheetName val="9-1차이내역"/>
      <sheetName val="MacroA"/>
      <sheetName val="상반기손익차2총괄"/>
      <sheetName val="DISTANZ3"/>
      <sheetName val="출자현황"/>
      <sheetName val="F.TYPE PNW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학교기부"/>
      <sheetName val="VSL PARTICULARS"/>
      <sheetName val="유화"/>
      <sheetName val="Exchange Rates-GA"/>
      <sheetName val="Shi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"/>
      <sheetName val="**_x0000__x0000_"/>
      <sheetName val="Restructuring plan"/>
      <sheetName val="PV Matrix - Exit X"/>
      <sheetName val="i&amp;a"/>
      <sheetName val="BS"/>
      <sheetName val="CF"/>
      <sheetName val="P&amp;L"/>
      <sheetName val="Mgt Ac"/>
      <sheetName val="SS-I"/>
      <sheetName val="KL-I"/>
      <sheetName val="Debt Schedule"/>
      <sheetName val="Debt Output "/>
      <sheetName val="FX &amp; Int Allocation"/>
      <sheetName val="HO&amp;GC"/>
      <sheetName val="Capex&amp;Tax"/>
      <sheetName val="SS-P"/>
      <sheetName val="Plsm"/>
      <sheetName val="KL-P"/>
      <sheetName val="Data area"/>
      <sheetName val="1999 Dev. Est Prod"/>
      <sheetName val="Revenue Calc"/>
      <sheetName val="Net swap "/>
      <sheetName val="Ha Summary"/>
      <sheetName val="Production"/>
      <sheetName val="Index"/>
      <sheetName val="Ratios"/>
      <sheetName val="Net worth"/>
      <sheetName val="debt"/>
      <sheetName val="DISTTB"/>
      <sheetName val="INOBTB"/>
      <sheetName val="LSIP Restructuring plan"/>
      <sheetName val="data_Page1_1_2"/>
      <sheetName val="data_Page1_1_3"/>
      <sheetName val="data_Page1_1_4"/>
      <sheetName val="유통망계획"/>
      <sheetName val="차수"/>
      <sheetName val="학교기부"/>
      <sheetName val=" 견적서"/>
      <sheetName val="ins"/>
      <sheetName val="FRT_O"/>
      <sheetName val="FAB_I"/>
      <sheetName val="전제"/>
      <sheetName val="Exchange Rates-GA"/>
      <sheetName val="Shipdata"/>
      <sheetName val="Capex"/>
      <sheetName val="Scenarios"/>
      <sheetName val="Assumptions"/>
      <sheetName val="유화"/>
      <sheetName val="MacroA"/>
      <sheetName val="VSL PARTICULARS"/>
      <sheetName val="신고서.전"/>
      <sheetName val="B_CHART"/>
    </sheetNames>
    <sheetDataSet>
      <sheetData sheetId="0" refreshError="1">
        <row r="82">
          <cell r="J82">
            <v>1</v>
          </cell>
          <cell r="K82">
            <v>1</v>
          </cell>
          <cell r="L82">
            <v>1.03</v>
          </cell>
          <cell r="M82">
            <v>1.0815000000000001</v>
          </cell>
          <cell r="N82">
            <v>1.1355750000000002</v>
          </cell>
          <cell r="O82">
            <v>1.1923537500000003</v>
          </cell>
          <cell r="P82">
            <v>1.2519714375000004</v>
          </cell>
          <cell r="Q82">
            <v>1.3145700093750006</v>
          </cell>
          <cell r="R82">
            <v>1.3802985098437506</v>
          </cell>
          <cell r="S82">
            <v>1.4493134353359383</v>
          </cell>
          <cell r="T82">
            <v>1.5217791071027353</v>
          </cell>
          <cell r="U82">
            <v>1.5978680624578723</v>
          </cell>
          <cell r="V82">
            <v>1.677761465580766</v>
          </cell>
          <cell r="W82">
            <v>1.7616495388598044</v>
          </cell>
          <cell r="X82">
            <v>1.8497320158027946</v>
          </cell>
          <cell r="Y82">
            <v>1.9422186165929343</v>
          </cell>
          <cell r="Z82">
            <v>2.039329547422581</v>
          </cell>
          <cell r="AA82">
            <v>2.1412960247937103</v>
          </cell>
          <cell r="AB82">
            <v>2.2483608260333958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T"/>
      <sheetName val="Month-wise TEUS"/>
      <sheetName val="TEUs 2010"/>
      <sheetName val="2010  Revenue Analysis"/>
      <sheetName val="Revenue 2010"/>
      <sheetName val="Assumption Summary"/>
      <sheetName val="Fin Tests &amp; KPI's"/>
      <sheetName val="Inf Cost"/>
      <sheetName val="Graphs"/>
      <sheetName val="P&amp;L"/>
      <sheetName val="P&amp;L GCT"/>
      <sheetName val="Balance Sheet"/>
      <sheetName val="Cash Flow"/>
      <sheetName val="Fin Returns Cumulative"/>
      <sheetName val="Fin Returns Inc'l (CT)"/>
      <sheetName val="Fin Returns Inc'l (SPS)"/>
      <sheetName val="Personnel Costs"/>
      <sheetName val="Validation lists"/>
      <sheetName val="CT Personnel Costs"/>
      <sheetName val="CT Salary Costs"/>
      <sheetName val="CT Staff Costs"/>
      <sheetName val="SPS Salary Levels"/>
      <sheetName val="CT Head Count"/>
      <sheetName val="CT Variable Model"/>
      <sheetName val="GC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H4" t="e">
            <v>#REF!</v>
          </cell>
        </row>
      </sheetData>
      <sheetData sheetId="17">
        <row r="6">
          <cell r="AC6">
            <v>12</v>
          </cell>
          <cell r="AD6" t="str">
            <v>January</v>
          </cell>
        </row>
        <row r="7">
          <cell r="AC7">
            <v>11</v>
          </cell>
          <cell r="AD7" t="str">
            <v>February</v>
          </cell>
        </row>
        <row r="8">
          <cell r="AC8">
            <v>10</v>
          </cell>
          <cell r="AD8" t="str">
            <v>March</v>
          </cell>
        </row>
        <row r="9">
          <cell r="AC9">
            <v>9</v>
          </cell>
          <cell r="AD9" t="str">
            <v>April</v>
          </cell>
        </row>
        <row r="10">
          <cell r="AC10">
            <v>8</v>
          </cell>
          <cell r="AD10" t="str">
            <v>May</v>
          </cell>
        </row>
        <row r="11">
          <cell r="AC11">
            <v>7</v>
          </cell>
          <cell r="AD11" t="str">
            <v>June</v>
          </cell>
        </row>
        <row r="12">
          <cell r="AC12">
            <v>6</v>
          </cell>
          <cell r="AD12" t="str">
            <v>July</v>
          </cell>
        </row>
        <row r="13">
          <cell r="AC13">
            <v>5</v>
          </cell>
          <cell r="AD13" t="str">
            <v>August</v>
          </cell>
        </row>
        <row r="14">
          <cell r="AC14">
            <v>4</v>
          </cell>
          <cell r="AD14" t="str">
            <v>September</v>
          </cell>
        </row>
        <row r="15">
          <cell r="AC15">
            <v>3</v>
          </cell>
          <cell r="AD15" t="str">
            <v>October</v>
          </cell>
        </row>
        <row r="16">
          <cell r="AC16">
            <v>2</v>
          </cell>
          <cell r="AD16" t="str">
            <v>November</v>
          </cell>
        </row>
        <row r="17">
          <cell r="AC17">
            <v>1</v>
          </cell>
          <cell r="AD17" t="str">
            <v>December</v>
          </cell>
        </row>
      </sheetData>
      <sheetData sheetId="18" refreshError="1"/>
      <sheetData sheetId="19" refreshError="1"/>
      <sheetData sheetId="20" refreshError="1"/>
      <sheetData sheetId="21">
        <row r="5">
          <cell r="E5" t="str">
            <v>Chief Executive Officer</v>
          </cell>
          <cell r="F5">
            <v>4360</v>
          </cell>
          <cell r="G5">
            <v>1500</v>
          </cell>
          <cell r="H5">
            <v>600</v>
          </cell>
          <cell r="I5">
            <v>0</v>
          </cell>
          <cell r="J5">
            <v>0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str">
            <v>Management</v>
          </cell>
        </row>
        <row r="6">
          <cell r="E6" t="str">
            <v>Chief Operating Officer</v>
          </cell>
          <cell r="F6">
            <v>4000</v>
          </cell>
          <cell r="G6">
            <v>750</v>
          </cell>
          <cell r="H6">
            <v>500</v>
          </cell>
          <cell r="I6">
            <v>0</v>
          </cell>
          <cell r="J6">
            <v>0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str">
            <v>Management</v>
          </cell>
        </row>
        <row r="7">
          <cell r="E7" t="str">
            <v>Sr Mgr Sales &amp; Marketing</v>
          </cell>
          <cell r="F7">
            <v>4070</v>
          </cell>
          <cell r="G7">
            <v>1407</v>
          </cell>
          <cell r="H7">
            <v>400</v>
          </cell>
          <cell r="I7">
            <v>0</v>
          </cell>
          <cell r="J7">
            <v>0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str">
            <v>Marketing</v>
          </cell>
        </row>
        <row r="8">
          <cell r="E8" t="str">
            <v>Sr. Mgr - Maintenance Services</v>
          </cell>
          <cell r="F8">
            <v>2700</v>
          </cell>
          <cell r="G8">
            <v>500</v>
          </cell>
          <cell r="H8">
            <v>400</v>
          </cell>
          <cell r="I8">
            <v>0</v>
          </cell>
          <cell r="J8">
            <v>0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str">
            <v>MSD</v>
          </cell>
        </row>
        <row r="9">
          <cell r="E9" t="str">
            <v>Sr. Mgr HR</v>
          </cell>
          <cell r="F9">
            <v>2460</v>
          </cell>
          <cell r="G9">
            <v>440</v>
          </cell>
          <cell r="H9">
            <v>400</v>
          </cell>
          <cell r="I9">
            <v>0</v>
          </cell>
          <cell r="J9">
            <v>0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str">
            <v>HR</v>
          </cell>
        </row>
        <row r="10">
          <cell r="E10" t="str">
            <v>Sr.Mgr.-Port Operation</v>
          </cell>
          <cell r="F10">
            <v>3056</v>
          </cell>
          <cell r="G10">
            <v>550</v>
          </cell>
          <cell r="H10">
            <v>400</v>
          </cell>
          <cell r="I10">
            <v>0</v>
          </cell>
          <cell r="J10">
            <v>0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str">
            <v>Operations</v>
          </cell>
        </row>
        <row r="11">
          <cell r="E11" t="str">
            <v>Financial Controller</v>
          </cell>
          <cell r="F11">
            <v>2200</v>
          </cell>
          <cell r="G11">
            <v>1183</v>
          </cell>
          <cell r="H11">
            <v>500</v>
          </cell>
          <cell r="I11">
            <v>0</v>
          </cell>
          <cell r="J11">
            <v>0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str">
            <v>Finance</v>
          </cell>
        </row>
        <row r="12">
          <cell r="E12" t="str">
            <v>Harbor Master</v>
          </cell>
          <cell r="F12">
            <v>2024</v>
          </cell>
          <cell r="G12">
            <v>300</v>
          </cell>
          <cell r="H12">
            <v>400</v>
          </cell>
          <cell r="I12">
            <v>0</v>
          </cell>
          <cell r="J12">
            <v>0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str">
            <v>Marine</v>
          </cell>
        </row>
        <row r="13">
          <cell r="E13" t="str">
            <v>Manager, Special Projects</v>
          </cell>
          <cell r="F13">
            <v>2027</v>
          </cell>
          <cell r="G13">
            <v>577</v>
          </cell>
          <cell r="H13">
            <v>400</v>
          </cell>
          <cell r="I13">
            <v>0</v>
          </cell>
          <cell r="J13">
            <v>0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str">
            <v>Management</v>
          </cell>
        </row>
        <row r="14">
          <cell r="E14" t="str">
            <v>Mgr, HSSE</v>
          </cell>
          <cell r="F14">
            <v>2500</v>
          </cell>
          <cell r="G14">
            <v>400</v>
          </cell>
          <cell r="H14">
            <v>100</v>
          </cell>
          <cell r="I14">
            <v>0</v>
          </cell>
          <cell r="J14">
            <v>0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str">
            <v>HSSE</v>
          </cell>
        </row>
        <row r="15">
          <cell r="E15" t="str">
            <v>Mgr, IT</v>
          </cell>
          <cell r="F15">
            <v>1923</v>
          </cell>
          <cell r="G15">
            <v>400</v>
          </cell>
          <cell r="H15">
            <v>400</v>
          </cell>
          <cell r="I15">
            <v>0</v>
          </cell>
          <cell r="J15">
            <v>0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str">
            <v>IT</v>
          </cell>
        </row>
        <row r="16">
          <cell r="E16" t="str">
            <v>Mgr Rewards &amp; Systems</v>
          </cell>
          <cell r="F16">
            <v>2000</v>
          </cell>
          <cell r="G16">
            <v>200</v>
          </cell>
          <cell r="H16">
            <v>150</v>
          </cell>
          <cell r="I16">
            <v>0</v>
          </cell>
          <cell r="J16">
            <v>0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str">
            <v>HR</v>
          </cell>
        </row>
        <row r="17">
          <cell r="E17" t="str">
            <v>Manager - Education&amp;Training</v>
          </cell>
          <cell r="F17">
            <v>1600</v>
          </cell>
          <cell r="G17">
            <v>300</v>
          </cell>
          <cell r="H17">
            <v>250</v>
          </cell>
          <cell r="I17">
            <v>0</v>
          </cell>
          <cell r="J17">
            <v>0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str">
            <v>HR</v>
          </cell>
        </row>
        <row r="18">
          <cell r="E18" t="str">
            <v>Manager, Accounting</v>
          </cell>
          <cell r="F18">
            <v>1100</v>
          </cell>
          <cell r="G18">
            <v>300</v>
          </cell>
          <cell r="H18">
            <v>200</v>
          </cell>
          <cell r="I18">
            <v>0</v>
          </cell>
          <cell r="J18">
            <v>0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str">
            <v>Finance</v>
          </cell>
        </row>
        <row r="19">
          <cell r="E19" t="str">
            <v>Mgr Public Affairs</v>
          </cell>
          <cell r="F19">
            <v>1350</v>
          </cell>
          <cell r="G19">
            <v>300</v>
          </cell>
          <cell r="H19">
            <v>200</v>
          </cell>
          <cell r="I19">
            <v>0</v>
          </cell>
          <cell r="J19">
            <v>0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str">
            <v>HR</v>
          </cell>
        </row>
        <row r="20">
          <cell r="E20" t="str">
            <v>Mgr Purchasing</v>
          </cell>
          <cell r="F20">
            <v>1419</v>
          </cell>
          <cell r="G20">
            <v>150</v>
          </cell>
          <cell r="H20">
            <v>130</v>
          </cell>
          <cell r="I20">
            <v>0</v>
          </cell>
          <cell r="J20">
            <v>0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str">
            <v>Purchasing</v>
          </cell>
        </row>
        <row r="21">
          <cell r="E21" t="str">
            <v>Mgr Vehicle Wkshp</v>
          </cell>
          <cell r="F21">
            <v>1318</v>
          </cell>
          <cell r="G21">
            <v>250</v>
          </cell>
          <cell r="H21">
            <v>150</v>
          </cell>
          <cell r="I21">
            <v>0</v>
          </cell>
          <cell r="J21">
            <v>0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str">
            <v>MSD</v>
          </cell>
        </row>
        <row r="22">
          <cell r="E22" t="str">
            <v>Mgr, Financial Planning &amp; Rep</v>
          </cell>
          <cell r="F22">
            <v>1150</v>
          </cell>
          <cell r="G22">
            <v>400</v>
          </cell>
          <cell r="H22">
            <v>200</v>
          </cell>
          <cell r="I22">
            <v>0</v>
          </cell>
          <cell r="J22">
            <v>0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str">
            <v>Finance</v>
          </cell>
        </row>
        <row r="23">
          <cell r="E23" t="str">
            <v>Mgr, Process Improvement &amp; Pro</v>
          </cell>
          <cell r="F23">
            <v>1600</v>
          </cell>
          <cell r="G23">
            <v>380</v>
          </cell>
          <cell r="H23">
            <v>250</v>
          </cell>
          <cell r="I23">
            <v>0</v>
          </cell>
          <cell r="J23">
            <v>0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str">
            <v>Operations</v>
          </cell>
        </row>
        <row r="24">
          <cell r="E24" t="str">
            <v>Mgr, Materials</v>
          </cell>
          <cell r="F24">
            <v>1600</v>
          </cell>
          <cell r="G24">
            <v>350</v>
          </cell>
          <cell r="H24">
            <v>250</v>
          </cell>
          <cell r="I24">
            <v>0</v>
          </cell>
          <cell r="J24">
            <v>0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str">
            <v>Purchasing</v>
          </cell>
        </row>
        <row r="25">
          <cell r="E25" t="str">
            <v>Planning Manager</v>
          </cell>
          <cell r="F25">
            <v>2110</v>
          </cell>
          <cell r="G25">
            <v>350</v>
          </cell>
          <cell r="H25">
            <v>300</v>
          </cell>
          <cell r="I25">
            <v>0</v>
          </cell>
          <cell r="J25">
            <v>0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str">
            <v>Operations</v>
          </cell>
        </row>
        <row r="26">
          <cell r="E26" t="str">
            <v>Regional Mgr Marketing &amp; Sales</v>
          </cell>
          <cell r="F26">
            <v>2100</v>
          </cell>
          <cell r="G26">
            <v>900</v>
          </cell>
          <cell r="H26">
            <v>300</v>
          </cell>
          <cell r="I26">
            <v>0</v>
          </cell>
          <cell r="J26">
            <v>0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str">
            <v>Marketing</v>
          </cell>
        </row>
        <row r="27">
          <cell r="E27" t="str">
            <v>Asst Mgr, HSSE</v>
          </cell>
          <cell r="F27">
            <v>906</v>
          </cell>
          <cell r="G27">
            <v>114</v>
          </cell>
          <cell r="H27">
            <v>75</v>
          </cell>
          <cell r="I27">
            <v>0</v>
          </cell>
          <cell r="J27">
            <v>0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str">
            <v>HSSE</v>
          </cell>
        </row>
        <row r="28">
          <cell r="E28" t="str">
            <v>Asst Mgr, IT</v>
          </cell>
          <cell r="F28">
            <v>900</v>
          </cell>
          <cell r="G28">
            <v>150</v>
          </cell>
          <cell r="H28">
            <v>100</v>
          </cell>
          <cell r="I28">
            <v>0</v>
          </cell>
          <cell r="J28">
            <v>0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str">
            <v>IT</v>
          </cell>
        </row>
        <row r="29">
          <cell r="E29" t="str">
            <v>Asst Operations Mgr</v>
          </cell>
          <cell r="F29">
            <v>1445</v>
          </cell>
          <cell r="G29">
            <v>309</v>
          </cell>
          <cell r="H29">
            <v>250</v>
          </cell>
          <cell r="I29">
            <v>0</v>
          </cell>
          <cell r="J29">
            <v>0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str">
            <v>Operations</v>
          </cell>
        </row>
        <row r="30">
          <cell r="E30" t="str">
            <v>Asst Operations Mgr - GCT</v>
          </cell>
          <cell r="F30">
            <v>1445</v>
          </cell>
          <cell r="G30">
            <v>309</v>
          </cell>
          <cell r="H30">
            <v>250</v>
          </cell>
          <cell r="I30">
            <v>0</v>
          </cell>
          <cell r="J30">
            <v>0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str">
            <v>Operations-GCT</v>
          </cell>
        </row>
        <row r="31">
          <cell r="E31" t="str">
            <v>Facilities Maintenance Manager</v>
          </cell>
          <cell r="F31">
            <v>1110</v>
          </cell>
          <cell r="G31">
            <v>250</v>
          </cell>
          <cell r="H31">
            <v>150</v>
          </cell>
          <cell r="I31">
            <v>0</v>
          </cell>
          <cell r="J31">
            <v>0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str">
            <v>Facilities</v>
          </cell>
        </row>
        <row r="32">
          <cell r="E32" t="str">
            <v>Government Relations Manager</v>
          </cell>
          <cell r="F32">
            <v>1390</v>
          </cell>
          <cell r="G32">
            <v>250</v>
          </cell>
          <cell r="H32">
            <v>300</v>
          </cell>
          <cell r="I32">
            <v>0</v>
          </cell>
          <cell r="J32">
            <v>0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str">
            <v>Finance</v>
          </cell>
        </row>
        <row r="33">
          <cell r="E33" t="str">
            <v>Manager Operations Support</v>
          </cell>
          <cell r="F33">
            <v>1035</v>
          </cell>
          <cell r="G33">
            <v>200</v>
          </cell>
          <cell r="H33">
            <v>100</v>
          </cell>
          <cell r="I33">
            <v>0</v>
          </cell>
          <cell r="J33">
            <v>0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str">
            <v>Operations</v>
          </cell>
        </row>
        <row r="34">
          <cell r="E34" t="str">
            <v>Manager, Commercial Sales</v>
          </cell>
          <cell r="F34">
            <v>916</v>
          </cell>
          <cell r="G34">
            <v>200</v>
          </cell>
          <cell r="H34">
            <v>150</v>
          </cell>
          <cell r="I34">
            <v>0</v>
          </cell>
          <cell r="J34">
            <v>0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str">
            <v>Marketing</v>
          </cell>
        </row>
        <row r="35">
          <cell r="E35" t="str">
            <v>Manager, Employment</v>
          </cell>
          <cell r="F35">
            <v>1300</v>
          </cell>
          <cell r="G35">
            <v>250</v>
          </cell>
          <cell r="H35">
            <v>250</v>
          </cell>
          <cell r="I35">
            <v>0</v>
          </cell>
          <cell r="J35">
            <v>0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str">
            <v>HR</v>
          </cell>
        </row>
        <row r="36">
          <cell r="E36" t="str">
            <v>Mgr Business Devmt</v>
          </cell>
          <cell r="F36">
            <v>880</v>
          </cell>
          <cell r="G36">
            <v>300</v>
          </cell>
          <cell r="H36">
            <v>300</v>
          </cell>
          <cell r="I36">
            <v>0</v>
          </cell>
          <cell r="J36">
            <v>0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str">
            <v>Marketing</v>
          </cell>
        </row>
        <row r="37">
          <cell r="E37" t="str">
            <v>Mgr Container Services</v>
          </cell>
          <cell r="F37">
            <v>1020</v>
          </cell>
          <cell r="G37">
            <v>250</v>
          </cell>
          <cell r="H37">
            <v>150</v>
          </cell>
          <cell r="I37">
            <v>0</v>
          </cell>
          <cell r="J37">
            <v>0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str">
            <v>MSD</v>
          </cell>
        </row>
        <row r="38">
          <cell r="E38" t="str">
            <v>Mgr Crane Maint</v>
          </cell>
          <cell r="F38">
            <v>1040</v>
          </cell>
          <cell r="G38">
            <v>250</v>
          </cell>
          <cell r="H38">
            <v>250</v>
          </cell>
          <cell r="I38">
            <v>0</v>
          </cell>
          <cell r="J38">
            <v>0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str">
            <v>MSD</v>
          </cell>
        </row>
        <row r="39">
          <cell r="E39" t="str">
            <v>Mgr Internal Audit</v>
          </cell>
          <cell r="F39">
            <v>1400</v>
          </cell>
          <cell r="G39">
            <v>350</v>
          </cell>
          <cell r="H39">
            <v>250</v>
          </cell>
          <cell r="I39">
            <v>0</v>
          </cell>
          <cell r="J39">
            <v>0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str">
            <v>Internal Audit</v>
          </cell>
        </row>
        <row r="40">
          <cell r="E40" t="str">
            <v>Mgr Medical Services</v>
          </cell>
          <cell r="F40">
            <v>765</v>
          </cell>
          <cell r="G40">
            <v>250</v>
          </cell>
          <cell r="H40">
            <v>150</v>
          </cell>
          <cell r="I40">
            <v>0</v>
          </cell>
          <cell r="J40">
            <v>0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str">
            <v>HR</v>
          </cell>
        </row>
        <row r="41">
          <cell r="E41" t="str">
            <v>Assistant Manager Employment</v>
          </cell>
          <cell r="F41">
            <v>650</v>
          </cell>
          <cell r="G41">
            <v>150</v>
          </cell>
          <cell r="H41">
            <v>50</v>
          </cell>
          <cell r="I41">
            <v>0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str">
            <v>HR</v>
          </cell>
        </row>
        <row r="42">
          <cell r="E42" t="str">
            <v>Asst Acctg Mgr</v>
          </cell>
          <cell r="F42">
            <v>701</v>
          </cell>
          <cell r="G42">
            <v>100</v>
          </cell>
          <cell r="H42">
            <v>75</v>
          </cell>
          <cell r="I42">
            <v>0</v>
          </cell>
          <cell r="J42">
            <v>0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str">
            <v>Finance</v>
          </cell>
        </row>
        <row r="43">
          <cell r="E43" t="str">
            <v>Asst Harbor Master</v>
          </cell>
          <cell r="F43">
            <v>700</v>
          </cell>
          <cell r="G43">
            <v>100</v>
          </cell>
          <cell r="H43">
            <v>75</v>
          </cell>
          <cell r="I43">
            <v>0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str">
            <v>Marine</v>
          </cell>
        </row>
        <row r="44">
          <cell r="E44" t="str">
            <v>Asst Mgr, Training</v>
          </cell>
          <cell r="F44">
            <v>650</v>
          </cell>
          <cell r="G44">
            <v>150</v>
          </cell>
          <cell r="H44">
            <v>50</v>
          </cell>
          <cell r="I44">
            <v>0</v>
          </cell>
          <cell r="J44">
            <v>0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str">
            <v>HR</v>
          </cell>
        </row>
        <row r="45">
          <cell r="E45" t="str">
            <v>Maintenance Supervisor</v>
          </cell>
          <cell r="F45">
            <v>651</v>
          </cell>
          <cell r="G45">
            <v>150</v>
          </cell>
          <cell r="H45">
            <v>50</v>
          </cell>
          <cell r="I45">
            <v>0</v>
          </cell>
          <cell r="J45">
            <v>0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str">
            <v>MSD</v>
          </cell>
        </row>
        <row r="46">
          <cell r="E46" t="str">
            <v>Mgr Camp Accom</v>
          </cell>
          <cell r="F46">
            <v>1066</v>
          </cell>
          <cell r="G46">
            <v>115</v>
          </cell>
          <cell r="H46">
            <v>50</v>
          </cell>
          <cell r="I46">
            <v>0</v>
          </cell>
          <cell r="J46">
            <v>0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str">
            <v>Facilities</v>
          </cell>
        </row>
        <row r="47">
          <cell r="E47" t="str">
            <v>Mgr Gen Admin</v>
          </cell>
          <cell r="F47">
            <v>941</v>
          </cell>
          <cell r="G47">
            <v>100</v>
          </cell>
          <cell r="H47">
            <v>50</v>
          </cell>
          <cell r="I47">
            <v>0</v>
          </cell>
          <cell r="J47">
            <v>0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str">
            <v>HR</v>
          </cell>
        </row>
        <row r="48">
          <cell r="E48" t="str">
            <v>Oasis Club Manager</v>
          </cell>
          <cell r="F48">
            <v>686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str">
            <v>Facilities</v>
          </cell>
        </row>
        <row r="49">
          <cell r="E49" t="str">
            <v>Supervisor, Equipment Control</v>
          </cell>
          <cell r="F49">
            <v>600</v>
          </cell>
          <cell r="G49">
            <v>150</v>
          </cell>
          <cell r="H49">
            <v>50</v>
          </cell>
          <cell r="I49">
            <v>0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str">
            <v>MSD</v>
          </cell>
        </row>
        <row r="50">
          <cell r="E50" t="str">
            <v>Supt Operations</v>
          </cell>
          <cell r="F50">
            <v>800</v>
          </cell>
          <cell r="G50">
            <v>150</v>
          </cell>
          <cell r="H50">
            <v>50</v>
          </cell>
          <cell r="I50">
            <v>0</v>
          </cell>
          <cell r="J50">
            <v>0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str">
            <v>Operations</v>
          </cell>
        </row>
        <row r="51">
          <cell r="E51" t="str">
            <v>Supt Ops Support</v>
          </cell>
          <cell r="F51">
            <v>668</v>
          </cell>
          <cell r="G51">
            <v>150</v>
          </cell>
          <cell r="H51">
            <v>50</v>
          </cell>
          <cell r="I51">
            <v>0</v>
          </cell>
          <cell r="J51">
            <v>0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str">
            <v>Operations</v>
          </cell>
        </row>
        <row r="52">
          <cell r="E52" t="str">
            <v>Supt Planning</v>
          </cell>
          <cell r="F52">
            <v>796</v>
          </cell>
          <cell r="G52">
            <v>150</v>
          </cell>
          <cell r="H52">
            <v>50</v>
          </cell>
          <cell r="I52">
            <v>50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str">
            <v>Operations</v>
          </cell>
        </row>
        <row r="53">
          <cell r="E53" t="str">
            <v>Supt Staff Allocations</v>
          </cell>
          <cell r="F53">
            <v>1071</v>
          </cell>
          <cell r="G53">
            <v>100</v>
          </cell>
          <cell r="H53">
            <v>50</v>
          </cell>
          <cell r="I53">
            <v>50</v>
          </cell>
          <cell r="J53">
            <v>0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str">
            <v>Operations</v>
          </cell>
        </row>
        <row r="54">
          <cell r="E54" t="str">
            <v>Supv Ops Admin</v>
          </cell>
          <cell r="F54">
            <v>569</v>
          </cell>
          <cell r="G54">
            <v>75</v>
          </cell>
          <cell r="H54">
            <v>75</v>
          </cell>
          <cell r="I54">
            <v>0</v>
          </cell>
          <cell r="J54">
            <v>0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str">
            <v>Operations</v>
          </cell>
        </row>
        <row r="55">
          <cell r="E55" t="str">
            <v>Supv Ops Admin - GCT</v>
          </cell>
          <cell r="F55">
            <v>569</v>
          </cell>
          <cell r="G55">
            <v>75</v>
          </cell>
          <cell r="H55">
            <v>75</v>
          </cell>
          <cell r="I55">
            <v>0</v>
          </cell>
          <cell r="J55">
            <v>0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str">
            <v>Operations-GCT</v>
          </cell>
        </row>
        <row r="56">
          <cell r="E56" t="str">
            <v>Supv Purchasing</v>
          </cell>
          <cell r="F56">
            <v>560</v>
          </cell>
          <cell r="G56">
            <v>100</v>
          </cell>
          <cell r="H56">
            <v>50</v>
          </cell>
          <cell r="I56">
            <v>0</v>
          </cell>
          <cell r="J56">
            <v>0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str">
            <v>Purchasing</v>
          </cell>
        </row>
        <row r="57">
          <cell r="E57" t="str">
            <v>Supt Stores Inventory Control</v>
          </cell>
          <cell r="F57">
            <v>750</v>
          </cell>
          <cell r="G57">
            <v>100</v>
          </cell>
          <cell r="H57">
            <v>75</v>
          </cell>
          <cell r="I57">
            <v>0</v>
          </cell>
          <cell r="J57">
            <v>0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str">
            <v>MSD</v>
          </cell>
        </row>
        <row r="58">
          <cell r="E58" t="str">
            <v>Gate/CFS Supervisor</v>
          </cell>
          <cell r="F58">
            <v>416</v>
          </cell>
          <cell r="G58">
            <v>100</v>
          </cell>
          <cell r="H58">
            <v>50</v>
          </cell>
          <cell r="I58">
            <v>0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str">
            <v>Operations</v>
          </cell>
        </row>
        <row r="59">
          <cell r="E59" t="str">
            <v>Operations Supervisor - GCT</v>
          </cell>
          <cell r="F59">
            <v>501</v>
          </cell>
          <cell r="G59">
            <v>75</v>
          </cell>
          <cell r="H59">
            <v>75</v>
          </cell>
          <cell r="I59">
            <v>0</v>
          </cell>
          <cell r="J59">
            <v>0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str">
            <v>Operations-GCT</v>
          </cell>
        </row>
        <row r="60">
          <cell r="E60" t="str">
            <v>Reefer Supervisor</v>
          </cell>
          <cell r="F60">
            <v>600</v>
          </cell>
          <cell r="G60">
            <v>100</v>
          </cell>
          <cell r="H60">
            <v>50</v>
          </cell>
          <cell r="I60">
            <v>0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str">
            <v>MSD</v>
          </cell>
        </row>
        <row r="61">
          <cell r="E61" t="str">
            <v>Security Supervisor</v>
          </cell>
          <cell r="F61">
            <v>375</v>
          </cell>
          <cell r="G61">
            <v>100</v>
          </cell>
          <cell r="H61">
            <v>60</v>
          </cell>
          <cell r="I61">
            <v>0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str">
            <v>HSSE</v>
          </cell>
        </row>
        <row r="62">
          <cell r="E62" t="str">
            <v>Supv Employment Services</v>
          </cell>
          <cell r="F62">
            <v>555</v>
          </cell>
          <cell r="G62">
            <v>75</v>
          </cell>
          <cell r="H62">
            <v>75</v>
          </cell>
          <cell r="I62">
            <v>0</v>
          </cell>
          <cell r="J62">
            <v>0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str">
            <v>HR</v>
          </cell>
        </row>
        <row r="63">
          <cell r="E63" t="str">
            <v>Supv Facilities Maintenance</v>
          </cell>
          <cell r="F63">
            <v>478</v>
          </cell>
          <cell r="G63">
            <v>100</v>
          </cell>
          <cell r="H63">
            <v>30</v>
          </cell>
          <cell r="I63">
            <v>0</v>
          </cell>
          <cell r="J63">
            <v>0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str">
            <v>Facilities</v>
          </cell>
        </row>
        <row r="64">
          <cell r="E64" t="str">
            <v>Damage And Clamis Officer</v>
          </cell>
          <cell r="F64">
            <v>625</v>
          </cell>
          <cell r="G64">
            <v>150</v>
          </cell>
          <cell r="H64">
            <v>50</v>
          </cell>
          <cell r="I64">
            <v>0</v>
          </cell>
          <cell r="J64">
            <v>0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str">
            <v>Operations</v>
          </cell>
        </row>
        <row r="65">
          <cell r="E65" t="str">
            <v>English Lanague Instractor</v>
          </cell>
          <cell r="F65">
            <v>750</v>
          </cell>
          <cell r="G65">
            <v>0</v>
          </cell>
          <cell r="H65">
            <v>0</v>
          </cell>
          <cell r="I65">
            <v>0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str">
            <v>HR</v>
          </cell>
        </row>
        <row r="66">
          <cell r="E66" t="str">
            <v>Mgmt Accountant</v>
          </cell>
          <cell r="F66">
            <v>700</v>
          </cell>
          <cell r="G66">
            <v>150</v>
          </cell>
          <cell r="H66">
            <v>50</v>
          </cell>
          <cell r="I66">
            <v>0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str">
            <v>Finance</v>
          </cell>
        </row>
        <row r="67">
          <cell r="E67" t="str">
            <v>Ops Relations Advisor</v>
          </cell>
          <cell r="F67">
            <v>770</v>
          </cell>
          <cell r="G67">
            <v>150</v>
          </cell>
          <cell r="H67">
            <v>50</v>
          </cell>
          <cell r="I67">
            <v>0</v>
          </cell>
          <cell r="J67">
            <v>0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str">
            <v>Operations</v>
          </cell>
        </row>
        <row r="68">
          <cell r="E68" t="str">
            <v>Pilot</v>
          </cell>
          <cell r="F68">
            <v>1076</v>
          </cell>
          <cell r="G68">
            <v>175</v>
          </cell>
          <cell r="H68">
            <v>50</v>
          </cell>
          <cell r="I68">
            <v>0</v>
          </cell>
          <cell r="J68">
            <v>0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str">
            <v>Marine</v>
          </cell>
        </row>
        <row r="69">
          <cell r="E69" t="str">
            <v>Port Development Project Eng</v>
          </cell>
          <cell r="F69">
            <v>720</v>
          </cell>
          <cell r="G69">
            <v>150</v>
          </cell>
          <cell r="H69">
            <v>50</v>
          </cell>
          <cell r="I69">
            <v>0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str">
            <v>Management</v>
          </cell>
        </row>
        <row r="70">
          <cell r="E70" t="str">
            <v>Senior Planning Coordinator</v>
          </cell>
          <cell r="F70">
            <v>460</v>
          </cell>
          <cell r="G70">
            <v>100</v>
          </cell>
          <cell r="H70">
            <v>50</v>
          </cell>
          <cell r="I70">
            <v>0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str">
            <v>Operations</v>
          </cell>
        </row>
        <row r="71">
          <cell r="E71" t="str">
            <v>Sr Database Administrator</v>
          </cell>
          <cell r="F71">
            <v>530</v>
          </cell>
          <cell r="G71">
            <v>150</v>
          </cell>
          <cell r="H71">
            <v>50</v>
          </cell>
          <cell r="I71">
            <v>0</v>
          </cell>
          <cell r="J71">
            <v>0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str">
            <v>IT</v>
          </cell>
        </row>
        <row r="72">
          <cell r="E72" t="str">
            <v>Sr Network Admin</v>
          </cell>
          <cell r="F72">
            <v>666</v>
          </cell>
          <cell r="G72">
            <v>150</v>
          </cell>
          <cell r="H72">
            <v>50</v>
          </cell>
          <cell r="I72">
            <v>0</v>
          </cell>
          <cell r="J72">
            <v>0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str">
            <v>IT</v>
          </cell>
        </row>
        <row r="73">
          <cell r="E73" t="str">
            <v>Sr Planner</v>
          </cell>
          <cell r="F73">
            <v>539</v>
          </cell>
          <cell r="G73">
            <v>100</v>
          </cell>
          <cell r="H73">
            <v>50</v>
          </cell>
          <cell r="I73">
            <v>50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str">
            <v>Operations</v>
          </cell>
        </row>
        <row r="74">
          <cell r="E74" t="str">
            <v>Systems Analyst</v>
          </cell>
          <cell r="F74">
            <v>811</v>
          </cell>
          <cell r="G74">
            <v>150</v>
          </cell>
          <cell r="H74">
            <v>50</v>
          </cell>
          <cell r="I74">
            <v>0</v>
          </cell>
          <cell r="J74">
            <v>0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str">
            <v>IT</v>
          </cell>
        </row>
        <row r="75">
          <cell r="E75" t="str">
            <v>Translator EL Instructor</v>
          </cell>
          <cell r="F75">
            <v>780</v>
          </cell>
          <cell r="G75">
            <v>150</v>
          </cell>
          <cell r="H75">
            <v>50</v>
          </cell>
          <cell r="I75">
            <v>0</v>
          </cell>
          <cell r="J75">
            <v>0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str">
            <v>HR</v>
          </cell>
        </row>
        <row r="76">
          <cell r="E76" t="str">
            <v>Berthing Coordinator</v>
          </cell>
          <cell r="F76">
            <v>715</v>
          </cell>
          <cell r="G76">
            <v>50</v>
          </cell>
          <cell r="H76">
            <v>50</v>
          </cell>
          <cell r="I76">
            <v>0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str">
            <v>Operations</v>
          </cell>
        </row>
        <row r="77">
          <cell r="E77" t="str">
            <v>Container Inspector</v>
          </cell>
          <cell r="F77">
            <v>418</v>
          </cell>
          <cell r="G77">
            <v>100</v>
          </cell>
          <cell r="H77">
            <v>50</v>
          </cell>
          <cell r="I77">
            <v>25</v>
          </cell>
          <cell r="J77">
            <v>0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str">
            <v>MSD</v>
          </cell>
        </row>
        <row r="78">
          <cell r="E78" t="str">
            <v>Database Administrator</v>
          </cell>
          <cell r="F78">
            <v>575</v>
          </cell>
          <cell r="G78">
            <v>100</v>
          </cell>
          <cell r="H78">
            <v>50</v>
          </cell>
          <cell r="I78">
            <v>0</v>
          </cell>
          <cell r="J78">
            <v>0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str">
            <v>IT</v>
          </cell>
        </row>
        <row r="79">
          <cell r="E79" t="str">
            <v>Human Resources Administrator</v>
          </cell>
          <cell r="F79">
            <v>455</v>
          </cell>
          <cell r="G79">
            <v>100</v>
          </cell>
          <cell r="H79">
            <v>50</v>
          </cell>
          <cell r="I79">
            <v>0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str">
            <v>HR</v>
          </cell>
        </row>
        <row r="80">
          <cell r="E80" t="str">
            <v>Imam</v>
          </cell>
          <cell r="F80">
            <v>300</v>
          </cell>
          <cell r="G80">
            <v>50</v>
          </cell>
          <cell r="H80">
            <v>50</v>
          </cell>
          <cell r="I80">
            <v>0</v>
          </cell>
          <cell r="J80">
            <v>0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str">
            <v>HR</v>
          </cell>
        </row>
        <row r="81">
          <cell r="E81" t="str">
            <v>Sr Accountant</v>
          </cell>
          <cell r="F81">
            <v>600</v>
          </cell>
          <cell r="G81">
            <v>100</v>
          </cell>
          <cell r="H81">
            <v>75</v>
          </cell>
          <cell r="I81">
            <v>0</v>
          </cell>
          <cell r="J81">
            <v>0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str">
            <v>Finance</v>
          </cell>
        </row>
        <row r="82">
          <cell r="E82" t="str">
            <v>Internal Auditor</v>
          </cell>
          <cell r="F82">
            <v>637</v>
          </cell>
          <cell r="G82">
            <v>100</v>
          </cell>
          <cell r="H82">
            <v>50</v>
          </cell>
          <cell r="I82">
            <v>0</v>
          </cell>
          <cell r="J82">
            <v>0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str">
            <v>Internal Audit</v>
          </cell>
        </row>
        <row r="83">
          <cell r="E83" t="str">
            <v>Network Adminstrator</v>
          </cell>
          <cell r="F83">
            <v>536</v>
          </cell>
          <cell r="G83">
            <v>100</v>
          </cell>
          <cell r="H83">
            <v>50</v>
          </cell>
          <cell r="I83">
            <v>0</v>
          </cell>
          <cell r="J83">
            <v>0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str">
            <v>IT</v>
          </cell>
        </row>
        <row r="84">
          <cell r="E84" t="str">
            <v>Safety Training Instructor</v>
          </cell>
          <cell r="F84">
            <v>625</v>
          </cell>
          <cell r="G84">
            <v>100</v>
          </cell>
          <cell r="H84">
            <v>50</v>
          </cell>
          <cell r="I84">
            <v>0</v>
          </cell>
          <cell r="J84">
            <v>0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str">
            <v>HSSE</v>
          </cell>
        </row>
        <row r="85">
          <cell r="E85" t="str">
            <v>Social Insurance Claims Admin</v>
          </cell>
          <cell r="F85">
            <v>450</v>
          </cell>
          <cell r="G85">
            <v>100</v>
          </cell>
          <cell r="H85">
            <v>50</v>
          </cell>
          <cell r="I85">
            <v>0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str">
            <v>HR</v>
          </cell>
        </row>
        <row r="86">
          <cell r="E86" t="str">
            <v>Sr Buyer</v>
          </cell>
          <cell r="F86">
            <v>440</v>
          </cell>
          <cell r="G86">
            <v>100</v>
          </cell>
          <cell r="H86">
            <v>30</v>
          </cell>
          <cell r="I86">
            <v>0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str">
            <v>Purchasing</v>
          </cell>
        </row>
        <row r="87">
          <cell r="E87" t="str">
            <v>Sr. Eqpmt Instructor</v>
          </cell>
          <cell r="F87">
            <v>500</v>
          </cell>
          <cell r="G87">
            <v>100</v>
          </cell>
          <cell r="H87">
            <v>50</v>
          </cell>
          <cell r="I87">
            <v>0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str">
            <v>HR</v>
          </cell>
        </row>
        <row r="88">
          <cell r="E88" t="str">
            <v>Media &amp; Communication Executive</v>
          </cell>
          <cell r="F88">
            <v>750</v>
          </cell>
          <cell r="G88">
            <v>150</v>
          </cell>
          <cell r="H88">
            <v>100</v>
          </cell>
          <cell r="I88">
            <v>0</v>
          </cell>
          <cell r="J88">
            <v>0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str">
            <v>Marketing</v>
          </cell>
        </row>
        <row r="89">
          <cell r="E89" t="str">
            <v>Accountant</v>
          </cell>
          <cell r="F89">
            <v>400</v>
          </cell>
          <cell r="G89">
            <v>50</v>
          </cell>
          <cell r="H89">
            <v>30</v>
          </cell>
          <cell r="I89">
            <v>0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str">
            <v>Finance</v>
          </cell>
        </row>
        <row r="90">
          <cell r="E90" t="str">
            <v>Helpdesk Coordinator</v>
          </cell>
          <cell r="F90">
            <v>400</v>
          </cell>
          <cell r="G90">
            <v>75</v>
          </cell>
          <cell r="H90">
            <v>50</v>
          </cell>
          <cell r="I90">
            <v>20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str">
            <v>IT</v>
          </cell>
        </row>
        <row r="91">
          <cell r="E91" t="str">
            <v>Camp Coordinator</v>
          </cell>
          <cell r="F91">
            <v>350</v>
          </cell>
          <cell r="G91">
            <v>50</v>
          </cell>
          <cell r="H91">
            <v>30</v>
          </cell>
          <cell r="I91">
            <v>0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str">
            <v>Facilities</v>
          </cell>
        </row>
        <row r="92">
          <cell r="E92" t="str">
            <v>Employment Associate</v>
          </cell>
          <cell r="F92">
            <v>342</v>
          </cell>
          <cell r="G92">
            <v>50</v>
          </cell>
          <cell r="H92">
            <v>30</v>
          </cell>
          <cell r="I92">
            <v>0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str">
            <v>HR</v>
          </cell>
        </row>
        <row r="93">
          <cell r="E93" t="str">
            <v>Executive Assistant</v>
          </cell>
          <cell r="F93">
            <v>597</v>
          </cell>
          <cell r="G93">
            <v>150</v>
          </cell>
          <cell r="H93">
            <v>30</v>
          </cell>
          <cell r="I93">
            <v>0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str">
            <v>Management</v>
          </cell>
        </row>
        <row r="94">
          <cell r="E94" t="str">
            <v>Planner</v>
          </cell>
          <cell r="F94">
            <v>361</v>
          </cell>
          <cell r="G94">
            <v>50</v>
          </cell>
          <cell r="H94">
            <v>30</v>
          </cell>
          <cell r="I94">
            <v>35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str">
            <v>Operations</v>
          </cell>
        </row>
        <row r="95">
          <cell r="E95" t="str">
            <v>Security Shift Leader</v>
          </cell>
          <cell r="F95">
            <v>278</v>
          </cell>
          <cell r="G95">
            <v>50</v>
          </cell>
          <cell r="H95">
            <v>30</v>
          </cell>
          <cell r="I95">
            <v>35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str">
            <v>HSSE</v>
          </cell>
        </row>
        <row r="96">
          <cell r="E96" t="str">
            <v>Senior Operations Clerk</v>
          </cell>
          <cell r="F96">
            <v>394</v>
          </cell>
          <cell r="G96">
            <v>50</v>
          </cell>
          <cell r="H96">
            <v>30</v>
          </cell>
          <cell r="I96">
            <v>0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str">
            <v>Operations</v>
          </cell>
        </row>
        <row r="97">
          <cell r="E97" t="str">
            <v>Accounting Associate</v>
          </cell>
          <cell r="F97">
            <v>328</v>
          </cell>
          <cell r="G97">
            <v>35</v>
          </cell>
          <cell r="H97">
            <v>30</v>
          </cell>
          <cell r="I97">
            <v>0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str">
            <v>Finance</v>
          </cell>
        </row>
        <row r="98">
          <cell r="E98" t="str">
            <v>Administrative Assistant</v>
          </cell>
          <cell r="F98">
            <v>278</v>
          </cell>
          <cell r="G98">
            <v>35</v>
          </cell>
          <cell r="H98">
            <v>25</v>
          </cell>
          <cell r="I98">
            <v>0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str">
            <v>HR</v>
          </cell>
        </row>
        <row r="99">
          <cell r="E99" t="str">
            <v>CFS Coordinator</v>
          </cell>
          <cell r="F99">
            <v>229</v>
          </cell>
          <cell r="G99">
            <v>35</v>
          </cell>
          <cell r="H99">
            <v>30</v>
          </cell>
          <cell r="I99">
            <v>30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str">
            <v>Operations-GCT</v>
          </cell>
        </row>
        <row r="100">
          <cell r="E100" t="str">
            <v>Dhow Coordinator</v>
          </cell>
          <cell r="F100">
            <v>452</v>
          </cell>
          <cell r="G100">
            <v>35</v>
          </cell>
          <cell r="H100">
            <v>30</v>
          </cell>
          <cell r="I100">
            <v>0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str">
            <v>Operations-GCT</v>
          </cell>
        </row>
        <row r="101">
          <cell r="E101" t="str">
            <v>Dispatcher</v>
          </cell>
          <cell r="F101">
            <v>263</v>
          </cell>
          <cell r="G101">
            <v>35</v>
          </cell>
          <cell r="H101">
            <v>30</v>
          </cell>
          <cell r="I101">
            <v>30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str">
            <v>Operations</v>
          </cell>
        </row>
        <row r="102">
          <cell r="E102" t="str">
            <v>Document Associate</v>
          </cell>
          <cell r="F102">
            <v>314</v>
          </cell>
          <cell r="G102">
            <v>35</v>
          </cell>
          <cell r="H102">
            <v>30</v>
          </cell>
          <cell r="I102">
            <v>8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str">
            <v>Operations</v>
          </cell>
        </row>
        <row r="103">
          <cell r="E103" t="str">
            <v>Emp Serv Associate</v>
          </cell>
          <cell r="F103">
            <v>416</v>
          </cell>
          <cell r="G103">
            <v>35</v>
          </cell>
          <cell r="H103">
            <v>30</v>
          </cell>
          <cell r="I103">
            <v>0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str">
            <v>HR</v>
          </cell>
        </row>
        <row r="104">
          <cell r="E104" t="str">
            <v>Facilities Coordinator</v>
          </cell>
          <cell r="F104">
            <v>260</v>
          </cell>
          <cell r="G104">
            <v>35</v>
          </cell>
          <cell r="H104">
            <v>30</v>
          </cell>
          <cell r="I104">
            <v>0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str">
            <v>Facilities</v>
          </cell>
        </row>
        <row r="105">
          <cell r="E105" t="str">
            <v>Gear Locker Foreman</v>
          </cell>
          <cell r="F105">
            <v>251</v>
          </cell>
          <cell r="G105">
            <v>35</v>
          </cell>
          <cell r="H105">
            <v>30</v>
          </cell>
          <cell r="I105">
            <v>30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str">
            <v>Operations</v>
          </cell>
        </row>
        <row r="106">
          <cell r="E106" t="str">
            <v>HR Associate</v>
          </cell>
          <cell r="F106">
            <v>263</v>
          </cell>
          <cell r="G106">
            <v>35</v>
          </cell>
          <cell r="H106">
            <v>30</v>
          </cell>
          <cell r="I106">
            <v>0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str">
            <v>HR</v>
          </cell>
        </row>
        <row r="107">
          <cell r="E107" t="str">
            <v>Material Coordinator</v>
          </cell>
          <cell r="F107">
            <v>375</v>
          </cell>
          <cell r="G107">
            <v>35</v>
          </cell>
          <cell r="H107">
            <v>30</v>
          </cell>
          <cell r="I107">
            <v>0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str">
            <v>Purchasing</v>
          </cell>
        </row>
        <row r="108">
          <cell r="E108" t="str">
            <v>Office Assistant</v>
          </cell>
          <cell r="F108">
            <v>366</v>
          </cell>
          <cell r="G108">
            <v>35</v>
          </cell>
          <cell r="H108">
            <v>30</v>
          </cell>
          <cell r="I108">
            <v>0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str">
            <v>Operations</v>
          </cell>
        </row>
        <row r="109">
          <cell r="E109" t="str">
            <v>Operations Associate ( C/S )</v>
          </cell>
          <cell r="F109">
            <v>265</v>
          </cell>
          <cell r="G109">
            <v>35</v>
          </cell>
          <cell r="H109">
            <v>30</v>
          </cell>
          <cell r="I109">
            <v>0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str">
            <v>Operations-GCT</v>
          </cell>
        </row>
        <row r="110">
          <cell r="E110" t="str">
            <v>Operations Clerk</v>
          </cell>
          <cell r="F110">
            <v>333</v>
          </cell>
          <cell r="G110">
            <v>35</v>
          </cell>
          <cell r="H110">
            <v>30</v>
          </cell>
          <cell r="I110">
            <v>10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str">
            <v>Operations</v>
          </cell>
        </row>
        <row r="111">
          <cell r="E111" t="str">
            <v>Operations Clerk ( Gate )</v>
          </cell>
          <cell r="F111">
            <v>296</v>
          </cell>
          <cell r="G111">
            <v>35</v>
          </cell>
          <cell r="H111">
            <v>30</v>
          </cell>
          <cell r="I111">
            <v>30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str">
            <v>Operations</v>
          </cell>
        </row>
        <row r="112">
          <cell r="E112" t="str">
            <v>Port Development Project Coord</v>
          </cell>
          <cell r="F112">
            <v>525</v>
          </cell>
          <cell r="G112">
            <v>35</v>
          </cell>
          <cell r="H112">
            <v>30</v>
          </cell>
          <cell r="I112">
            <v>0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str">
            <v>Management</v>
          </cell>
        </row>
        <row r="113">
          <cell r="E113" t="str">
            <v>Reefer Coordinator</v>
          </cell>
          <cell r="F113">
            <v>255</v>
          </cell>
          <cell r="G113">
            <v>25</v>
          </cell>
          <cell r="H113">
            <v>30</v>
          </cell>
          <cell r="I113">
            <v>30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str">
            <v>MSD</v>
          </cell>
        </row>
        <row r="114">
          <cell r="E114" t="str">
            <v>Security Clerk</v>
          </cell>
          <cell r="F114">
            <v>286</v>
          </cell>
          <cell r="G114">
            <v>35</v>
          </cell>
          <cell r="H114">
            <v>30</v>
          </cell>
          <cell r="I114">
            <v>0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str">
            <v>HSSE</v>
          </cell>
        </row>
        <row r="115">
          <cell r="E115" t="str">
            <v>Staff Allocations Coordinator</v>
          </cell>
          <cell r="F115">
            <v>345</v>
          </cell>
          <cell r="G115">
            <v>35</v>
          </cell>
          <cell r="H115">
            <v>30</v>
          </cell>
          <cell r="I115">
            <v>30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str">
            <v>Operations</v>
          </cell>
        </row>
        <row r="116">
          <cell r="E116" t="str">
            <v>Tally Foreman</v>
          </cell>
          <cell r="F116">
            <v>369</v>
          </cell>
          <cell r="G116">
            <v>35</v>
          </cell>
          <cell r="H116">
            <v>30</v>
          </cell>
          <cell r="I116">
            <v>30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str">
            <v>Operations-GCT</v>
          </cell>
        </row>
        <row r="117">
          <cell r="E117" t="str">
            <v>Timekeeper - CT</v>
          </cell>
          <cell r="F117">
            <v>243</v>
          </cell>
          <cell r="G117">
            <v>35</v>
          </cell>
          <cell r="H117">
            <v>30</v>
          </cell>
          <cell r="I117">
            <v>30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str">
            <v>Operations</v>
          </cell>
        </row>
        <row r="118">
          <cell r="E118" t="str">
            <v>Timekeeper - GCT</v>
          </cell>
          <cell r="F118">
            <v>243</v>
          </cell>
          <cell r="G118">
            <v>35</v>
          </cell>
          <cell r="H118">
            <v>30</v>
          </cell>
          <cell r="I118">
            <v>30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str">
            <v>Operations-GCT</v>
          </cell>
        </row>
        <row r="119">
          <cell r="E119" t="str">
            <v>Training Assistant</v>
          </cell>
          <cell r="F119">
            <v>245</v>
          </cell>
          <cell r="G119">
            <v>35</v>
          </cell>
          <cell r="H119">
            <v>30</v>
          </cell>
          <cell r="I119">
            <v>0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str">
            <v>HR</v>
          </cell>
        </row>
        <row r="120">
          <cell r="E120" t="str">
            <v>Travel Coordinator</v>
          </cell>
          <cell r="F120">
            <v>435</v>
          </cell>
          <cell r="G120">
            <v>35</v>
          </cell>
          <cell r="H120">
            <v>30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str">
            <v>HR</v>
          </cell>
        </row>
        <row r="121">
          <cell r="E121" t="str">
            <v>HSSE Associate</v>
          </cell>
          <cell r="F121">
            <v>400</v>
          </cell>
          <cell r="G121">
            <v>50</v>
          </cell>
          <cell r="H121">
            <v>30</v>
          </cell>
          <cell r="I121">
            <v>0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str">
            <v>HSSE</v>
          </cell>
        </row>
        <row r="122">
          <cell r="E122" t="str">
            <v>Workshop Coordinator</v>
          </cell>
          <cell r="F122">
            <v>324</v>
          </cell>
          <cell r="G122">
            <v>30</v>
          </cell>
          <cell r="H122">
            <v>30</v>
          </cell>
          <cell r="I122">
            <v>6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str">
            <v>MSD</v>
          </cell>
        </row>
        <row r="123">
          <cell r="E123" t="str">
            <v>Camp Accom Clk</v>
          </cell>
          <cell r="F123">
            <v>229</v>
          </cell>
          <cell r="G123">
            <v>25</v>
          </cell>
          <cell r="H123">
            <v>30</v>
          </cell>
          <cell r="I123">
            <v>25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str">
            <v>Facilities</v>
          </cell>
        </row>
        <row r="124">
          <cell r="E124" t="str">
            <v>Cashier / Bar</v>
          </cell>
          <cell r="F124">
            <v>205</v>
          </cell>
          <cell r="G124">
            <v>0</v>
          </cell>
          <cell r="H124">
            <v>0</v>
          </cell>
          <cell r="I124">
            <v>0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str">
            <v>Facilities</v>
          </cell>
        </row>
        <row r="125">
          <cell r="E125" t="str">
            <v>Equipment Controller</v>
          </cell>
          <cell r="F125">
            <v>231</v>
          </cell>
          <cell r="G125">
            <v>25</v>
          </cell>
          <cell r="H125">
            <v>25</v>
          </cell>
          <cell r="I125">
            <v>25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str">
            <v>MSD</v>
          </cell>
        </row>
        <row r="126">
          <cell r="E126" t="str">
            <v>Mail Clerk</v>
          </cell>
          <cell r="F126">
            <v>268</v>
          </cell>
          <cell r="G126">
            <v>25</v>
          </cell>
          <cell r="H126">
            <v>30</v>
          </cell>
          <cell r="I126">
            <v>0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str">
            <v>HR</v>
          </cell>
        </row>
        <row r="127">
          <cell r="E127" t="str">
            <v>Purchasing Clerk</v>
          </cell>
          <cell r="F127">
            <v>275</v>
          </cell>
          <cell r="G127">
            <v>25</v>
          </cell>
          <cell r="H127">
            <v>30</v>
          </cell>
          <cell r="I127">
            <v>0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str">
            <v>Purchasing</v>
          </cell>
        </row>
        <row r="128">
          <cell r="E128" t="str">
            <v>Purchasing Expediter</v>
          </cell>
          <cell r="F128">
            <v>250</v>
          </cell>
          <cell r="G128">
            <v>25</v>
          </cell>
          <cell r="H128">
            <v>30</v>
          </cell>
          <cell r="I128">
            <v>0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str">
            <v>Purchasing</v>
          </cell>
        </row>
        <row r="129">
          <cell r="E129" t="str">
            <v>Receptionist</v>
          </cell>
          <cell r="F129">
            <v>215</v>
          </cell>
          <cell r="G129">
            <v>25</v>
          </cell>
          <cell r="H129">
            <v>30</v>
          </cell>
          <cell r="I129">
            <v>0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str">
            <v>HR</v>
          </cell>
        </row>
        <row r="130">
          <cell r="E130" t="str">
            <v>Store Clerk</v>
          </cell>
          <cell r="F130">
            <v>245</v>
          </cell>
          <cell r="G130">
            <v>25</v>
          </cell>
          <cell r="H130">
            <v>25</v>
          </cell>
          <cell r="I130">
            <v>19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str">
            <v>MSD</v>
          </cell>
        </row>
        <row r="131">
          <cell r="E131" t="str">
            <v>Tally Clerk - CT</v>
          </cell>
          <cell r="F131">
            <v>216</v>
          </cell>
          <cell r="G131">
            <v>25</v>
          </cell>
          <cell r="H131">
            <v>30</v>
          </cell>
          <cell r="I131">
            <v>25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str">
            <v>Operations</v>
          </cell>
        </row>
        <row r="132">
          <cell r="E132" t="str">
            <v>Tally Clerk - GCT</v>
          </cell>
          <cell r="F132">
            <v>216</v>
          </cell>
          <cell r="G132">
            <v>25</v>
          </cell>
          <cell r="H132">
            <v>30</v>
          </cell>
          <cell r="I132">
            <v>25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str">
            <v>Operations-GCT</v>
          </cell>
        </row>
        <row r="133">
          <cell r="E133" t="str">
            <v>Yard Inventory Clk</v>
          </cell>
          <cell r="F133">
            <v>265</v>
          </cell>
          <cell r="G133">
            <v>25</v>
          </cell>
          <cell r="H133">
            <v>30</v>
          </cell>
          <cell r="I133">
            <v>0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str">
            <v>Operations</v>
          </cell>
        </row>
        <row r="134">
          <cell r="E134" t="str">
            <v>Equipment Control Foreman</v>
          </cell>
          <cell r="F134">
            <v>408</v>
          </cell>
          <cell r="G134">
            <v>50</v>
          </cell>
          <cell r="H134">
            <v>30</v>
          </cell>
          <cell r="I134">
            <v>35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str">
            <v>MSD</v>
          </cell>
        </row>
        <row r="135">
          <cell r="E135" t="str">
            <v>Foreman Stores Inventory Contr</v>
          </cell>
          <cell r="F135">
            <v>380</v>
          </cell>
          <cell r="G135">
            <v>50</v>
          </cell>
          <cell r="H135">
            <v>30</v>
          </cell>
          <cell r="I135">
            <v>35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str">
            <v>MSD</v>
          </cell>
        </row>
        <row r="136">
          <cell r="E136" t="str">
            <v>Foreman,Reefer</v>
          </cell>
          <cell r="F136">
            <v>407</v>
          </cell>
          <cell r="G136">
            <v>25</v>
          </cell>
          <cell r="H136">
            <v>20</v>
          </cell>
          <cell r="I136">
            <v>35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str">
            <v>MSD</v>
          </cell>
        </row>
        <row r="137">
          <cell r="E137" t="str">
            <v>Maintenance Foreman - CM</v>
          </cell>
          <cell r="F137">
            <v>442</v>
          </cell>
          <cell r="G137">
            <v>35</v>
          </cell>
          <cell r="H137">
            <v>25</v>
          </cell>
          <cell r="I137">
            <v>33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str">
            <v>MSD</v>
          </cell>
        </row>
        <row r="138">
          <cell r="E138" t="str">
            <v>Maintenance Foreman - VS</v>
          </cell>
          <cell r="F138">
            <v>442</v>
          </cell>
          <cell r="G138">
            <v>35</v>
          </cell>
          <cell r="H138">
            <v>25</v>
          </cell>
          <cell r="I138">
            <v>33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str">
            <v>MSD</v>
          </cell>
        </row>
        <row r="139">
          <cell r="E139" t="str">
            <v>Operations Foreman - GCT</v>
          </cell>
          <cell r="F139">
            <v>467</v>
          </cell>
          <cell r="G139">
            <v>50</v>
          </cell>
          <cell r="H139">
            <v>20</v>
          </cell>
          <cell r="I139">
            <v>35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str">
            <v>Operations-GCT</v>
          </cell>
        </row>
        <row r="140">
          <cell r="E140" t="str">
            <v>Quay Crane Foreman</v>
          </cell>
          <cell r="F140">
            <v>450</v>
          </cell>
          <cell r="G140">
            <v>75</v>
          </cell>
          <cell r="H140">
            <v>30</v>
          </cell>
          <cell r="I140">
            <v>35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str">
            <v>Operations</v>
          </cell>
        </row>
        <row r="141">
          <cell r="E141" t="str">
            <v>Port Control Officer</v>
          </cell>
          <cell r="F141">
            <v>444</v>
          </cell>
          <cell r="G141">
            <v>25</v>
          </cell>
          <cell r="H141">
            <v>25</v>
          </cell>
          <cell r="I141">
            <v>4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str">
            <v>Marine</v>
          </cell>
        </row>
        <row r="142">
          <cell r="E142" t="str">
            <v>Safety/Fire Officer</v>
          </cell>
          <cell r="F142">
            <v>285</v>
          </cell>
          <cell r="G142">
            <v>50</v>
          </cell>
          <cell r="H142">
            <v>30</v>
          </cell>
          <cell r="I142">
            <v>35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str">
            <v>HSSE</v>
          </cell>
        </row>
        <row r="143">
          <cell r="E143" t="str">
            <v>Senior Tug Engineer</v>
          </cell>
          <cell r="F143">
            <v>668</v>
          </cell>
          <cell r="G143">
            <v>100</v>
          </cell>
          <cell r="H143">
            <v>30</v>
          </cell>
          <cell r="I143">
            <v>35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str">
            <v>Marine</v>
          </cell>
        </row>
        <row r="144">
          <cell r="E144" t="str">
            <v>Tug Engineer</v>
          </cell>
          <cell r="F144">
            <v>478</v>
          </cell>
          <cell r="G144">
            <v>75</v>
          </cell>
          <cell r="H144">
            <v>25</v>
          </cell>
          <cell r="I144">
            <v>35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str">
            <v>Marine</v>
          </cell>
        </row>
        <row r="145">
          <cell r="E145" t="str">
            <v>Tug Engineer Trainee</v>
          </cell>
          <cell r="F145">
            <v>260</v>
          </cell>
          <cell r="G145">
            <v>50</v>
          </cell>
          <cell r="H145">
            <v>30</v>
          </cell>
          <cell r="I145">
            <v>35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str">
            <v>Marine</v>
          </cell>
        </row>
        <row r="146">
          <cell r="E146" t="str">
            <v>Tug Master</v>
          </cell>
          <cell r="F146">
            <v>557</v>
          </cell>
          <cell r="G146">
            <v>100</v>
          </cell>
          <cell r="H146">
            <v>30</v>
          </cell>
          <cell r="I146">
            <v>35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str">
            <v>Marine</v>
          </cell>
        </row>
        <row r="147">
          <cell r="E147" t="str">
            <v>Foreman Bus Drivers</v>
          </cell>
          <cell r="F147">
            <v>260</v>
          </cell>
          <cell r="G147">
            <v>35</v>
          </cell>
          <cell r="H147">
            <v>30</v>
          </cell>
          <cell r="I147">
            <v>30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str">
            <v>Facilities</v>
          </cell>
        </row>
        <row r="148">
          <cell r="E148" t="str">
            <v>Foreman Operations,CFS</v>
          </cell>
          <cell r="F148">
            <v>400</v>
          </cell>
          <cell r="G148">
            <v>50</v>
          </cell>
          <cell r="H148">
            <v>30</v>
          </cell>
          <cell r="I148">
            <v>35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str">
            <v>Operations-GCT</v>
          </cell>
        </row>
        <row r="149">
          <cell r="E149" t="str">
            <v>Foreman, Linehandling</v>
          </cell>
          <cell r="F149">
            <v>387</v>
          </cell>
          <cell r="G149">
            <v>35</v>
          </cell>
          <cell r="H149">
            <v>30</v>
          </cell>
          <cell r="I149">
            <v>30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str">
            <v>Marine</v>
          </cell>
        </row>
        <row r="150">
          <cell r="E150" t="str">
            <v>Nurse</v>
          </cell>
          <cell r="F150">
            <v>278</v>
          </cell>
          <cell r="G150">
            <v>35</v>
          </cell>
          <cell r="H150">
            <v>30</v>
          </cell>
          <cell r="I150">
            <v>0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str">
            <v>HR</v>
          </cell>
        </row>
        <row r="151">
          <cell r="E151" t="str">
            <v>Pilot Boat Coxswain</v>
          </cell>
          <cell r="F151">
            <v>381</v>
          </cell>
          <cell r="G151">
            <v>35</v>
          </cell>
          <cell r="H151">
            <v>30</v>
          </cell>
          <cell r="I151">
            <v>30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str">
            <v>Marine</v>
          </cell>
        </row>
        <row r="152">
          <cell r="E152" t="str">
            <v>Quay Crane Operator</v>
          </cell>
          <cell r="F152">
            <v>355</v>
          </cell>
          <cell r="G152">
            <v>25</v>
          </cell>
          <cell r="H152">
            <v>25</v>
          </cell>
          <cell r="I152">
            <v>30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str">
            <v>Operations</v>
          </cell>
        </row>
        <row r="153">
          <cell r="E153" t="str">
            <v>Senior Fabricator / Welder</v>
          </cell>
          <cell r="F153">
            <v>289</v>
          </cell>
          <cell r="G153">
            <v>20</v>
          </cell>
          <cell r="H153">
            <v>15</v>
          </cell>
          <cell r="I153">
            <v>30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str">
            <v>MSD</v>
          </cell>
        </row>
        <row r="154">
          <cell r="E154" t="str">
            <v>Sr Vehicle Electrician</v>
          </cell>
          <cell r="F154">
            <v>273</v>
          </cell>
          <cell r="G154">
            <v>20</v>
          </cell>
          <cell r="H154">
            <v>20</v>
          </cell>
          <cell r="I154">
            <v>30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str">
            <v>MSD</v>
          </cell>
        </row>
        <row r="155">
          <cell r="E155" t="str">
            <v>Sr. Crane Technician</v>
          </cell>
          <cell r="F155">
            <v>294</v>
          </cell>
          <cell r="G155">
            <v>20</v>
          </cell>
          <cell r="H155">
            <v>30</v>
          </cell>
          <cell r="I155">
            <v>30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str">
            <v>MSD</v>
          </cell>
        </row>
        <row r="156">
          <cell r="E156" t="str">
            <v>Sr. Mechanic</v>
          </cell>
          <cell r="F156">
            <v>283</v>
          </cell>
          <cell r="G156">
            <v>25</v>
          </cell>
          <cell r="H156">
            <v>25</v>
          </cell>
          <cell r="I156">
            <v>30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str">
            <v>MSD</v>
          </cell>
        </row>
        <row r="157">
          <cell r="E157" t="str">
            <v>Sr. Reefer Technician</v>
          </cell>
          <cell r="F157">
            <v>280</v>
          </cell>
          <cell r="G157">
            <v>25</v>
          </cell>
          <cell r="H157">
            <v>25</v>
          </cell>
          <cell r="I157">
            <v>30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str">
            <v>MSD</v>
          </cell>
        </row>
        <row r="158">
          <cell r="E158" t="str">
            <v>Sr.Crane Mechanic</v>
          </cell>
          <cell r="F158">
            <v>307</v>
          </cell>
          <cell r="G158">
            <v>25</v>
          </cell>
          <cell r="H158">
            <v>25</v>
          </cell>
          <cell r="I158">
            <v>30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str">
            <v>MSD</v>
          </cell>
        </row>
        <row r="159">
          <cell r="E159" t="str">
            <v>Sr.Electrician</v>
          </cell>
          <cell r="F159">
            <v>382</v>
          </cell>
          <cell r="G159">
            <v>35</v>
          </cell>
          <cell r="H159">
            <v>30</v>
          </cell>
          <cell r="I159">
            <v>30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str">
            <v>Facilities</v>
          </cell>
        </row>
        <row r="160">
          <cell r="E160" t="str">
            <v>A/C Technician</v>
          </cell>
          <cell r="F160">
            <v>253</v>
          </cell>
          <cell r="G160">
            <v>0</v>
          </cell>
          <cell r="H160">
            <v>0</v>
          </cell>
          <cell r="I160">
            <v>0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str">
            <v>Facilities</v>
          </cell>
        </row>
        <row r="161">
          <cell r="E161" t="str">
            <v>Carpenter</v>
          </cell>
          <cell r="F161">
            <v>255</v>
          </cell>
          <cell r="G161">
            <v>30</v>
          </cell>
          <cell r="H161">
            <v>30</v>
          </cell>
          <cell r="I161">
            <v>0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str">
            <v>Facilities</v>
          </cell>
        </row>
        <row r="162">
          <cell r="E162" t="str">
            <v>Chef</v>
          </cell>
          <cell r="F162">
            <v>359</v>
          </cell>
          <cell r="G162">
            <v>0</v>
          </cell>
          <cell r="H162">
            <v>30</v>
          </cell>
          <cell r="I162">
            <v>0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str">
            <v>Facilities</v>
          </cell>
        </row>
        <row r="163">
          <cell r="E163" t="str">
            <v>Crane Mechanic</v>
          </cell>
          <cell r="F163">
            <v>217</v>
          </cell>
          <cell r="G163">
            <v>25</v>
          </cell>
          <cell r="H163">
            <v>25</v>
          </cell>
          <cell r="I163">
            <v>30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str">
            <v>MSD</v>
          </cell>
        </row>
        <row r="164">
          <cell r="E164" t="str">
            <v>Crane Operator GCT</v>
          </cell>
          <cell r="F164">
            <v>248</v>
          </cell>
          <cell r="G164">
            <v>20</v>
          </cell>
          <cell r="H164">
            <v>20</v>
          </cell>
          <cell r="I164">
            <v>30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str">
            <v>Operations-GCT</v>
          </cell>
        </row>
        <row r="165">
          <cell r="E165" t="str">
            <v>Crane Technician</v>
          </cell>
          <cell r="F165">
            <v>251</v>
          </cell>
          <cell r="G165">
            <v>25</v>
          </cell>
          <cell r="H165">
            <v>25</v>
          </cell>
          <cell r="I165">
            <v>30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str">
            <v>MSD</v>
          </cell>
        </row>
        <row r="166">
          <cell r="E166" t="str">
            <v>Electrician</v>
          </cell>
          <cell r="F166">
            <v>238</v>
          </cell>
          <cell r="G166">
            <v>20</v>
          </cell>
          <cell r="H166">
            <v>20</v>
          </cell>
          <cell r="I166">
            <v>18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str">
            <v>Facilities</v>
          </cell>
        </row>
        <row r="167">
          <cell r="E167" t="str">
            <v>Fabricator/Welder</v>
          </cell>
          <cell r="F167">
            <v>220</v>
          </cell>
          <cell r="G167">
            <v>20</v>
          </cell>
          <cell r="H167">
            <v>20</v>
          </cell>
          <cell r="I167">
            <v>30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str">
            <v>MSD</v>
          </cell>
        </row>
        <row r="168">
          <cell r="E168" t="str">
            <v>Gang Leader</v>
          </cell>
          <cell r="F168">
            <v>148</v>
          </cell>
          <cell r="G168">
            <v>10</v>
          </cell>
          <cell r="H168">
            <v>10</v>
          </cell>
          <cell r="I168">
            <v>30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str">
            <v>Operations-GCT</v>
          </cell>
        </row>
        <row r="169">
          <cell r="E169" t="str">
            <v>Machinist</v>
          </cell>
          <cell r="F169">
            <v>204</v>
          </cell>
          <cell r="G169">
            <v>15</v>
          </cell>
          <cell r="H169">
            <v>15</v>
          </cell>
          <cell r="I169">
            <v>30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str">
            <v>MSD</v>
          </cell>
        </row>
        <row r="170">
          <cell r="E170" t="str">
            <v>Mechanic</v>
          </cell>
          <cell r="F170">
            <v>217</v>
          </cell>
          <cell r="G170">
            <v>20</v>
          </cell>
          <cell r="H170">
            <v>20</v>
          </cell>
          <cell r="I170">
            <v>30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str">
            <v>MSD</v>
          </cell>
        </row>
        <row r="171">
          <cell r="E171" t="str">
            <v>Plumber</v>
          </cell>
          <cell r="F171">
            <v>205</v>
          </cell>
          <cell r="G171">
            <v>0</v>
          </cell>
          <cell r="H171">
            <v>0</v>
          </cell>
          <cell r="I171">
            <v>0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str">
            <v>Facilities</v>
          </cell>
        </row>
        <row r="172">
          <cell r="E172" t="str">
            <v>Reefer Technician</v>
          </cell>
          <cell r="F172">
            <v>217</v>
          </cell>
          <cell r="G172">
            <v>25</v>
          </cell>
          <cell r="H172">
            <v>25</v>
          </cell>
          <cell r="I172">
            <v>30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str">
            <v>MSD</v>
          </cell>
        </row>
        <row r="173">
          <cell r="E173" t="str">
            <v>Vehicle Electrician</v>
          </cell>
          <cell r="F173">
            <v>213</v>
          </cell>
          <cell r="G173">
            <v>15</v>
          </cell>
          <cell r="H173">
            <v>15</v>
          </cell>
          <cell r="I173">
            <v>30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str">
            <v>MSD</v>
          </cell>
        </row>
        <row r="174">
          <cell r="E174" t="str">
            <v>YH Equipment Operator</v>
          </cell>
          <cell r="F174">
            <v>243</v>
          </cell>
          <cell r="G174">
            <v>25</v>
          </cell>
          <cell r="H174">
            <v>25</v>
          </cell>
          <cell r="I174">
            <v>30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str">
            <v>Operations</v>
          </cell>
        </row>
        <row r="175">
          <cell r="E175" t="str">
            <v>Bus Driver</v>
          </cell>
          <cell r="F175">
            <v>243</v>
          </cell>
          <cell r="G175">
            <v>25</v>
          </cell>
          <cell r="H175">
            <v>30</v>
          </cell>
          <cell r="I175">
            <v>25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str">
            <v>Facilities</v>
          </cell>
        </row>
        <row r="176">
          <cell r="E176" t="str">
            <v>Equipment Operator</v>
          </cell>
          <cell r="F176">
            <v>235</v>
          </cell>
          <cell r="G176">
            <v>25</v>
          </cell>
          <cell r="H176">
            <v>30</v>
          </cell>
          <cell r="I176">
            <v>25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str">
            <v>Operations-GCT</v>
          </cell>
        </row>
        <row r="177">
          <cell r="E177" t="str">
            <v>GP Hand2</v>
          </cell>
          <cell r="F177">
            <v>241</v>
          </cell>
          <cell r="G177">
            <v>25</v>
          </cell>
          <cell r="H177">
            <v>30</v>
          </cell>
          <cell r="I177">
            <v>25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str">
            <v>Marine</v>
          </cell>
        </row>
        <row r="178">
          <cell r="E178" t="str">
            <v>Mason</v>
          </cell>
          <cell r="F178">
            <v>187</v>
          </cell>
          <cell r="G178">
            <v>25</v>
          </cell>
          <cell r="H178">
            <v>15</v>
          </cell>
          <cell r="I178">
            <v>0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str">
            <v>Facilities</v>
          </cell>
        </row>
        <row r="179">
          <cell r="E179" t="str">
            <v>Painter</v>
          </cell>
          <cell r="F179">
            <v>179</v>
          </cell>
          <cell r="G179">
            <v>25</v>
          </cell>
          <cell r="H179">
            <v>15</v>
          </cell>
          <cell r="I179">
            <v>0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str">
            <v>Facilities</v>
          </cell>
        </row>
        <row r="180">
          <cell r="E180" t="str">
            <v>Painter(Equipment)</v>
          </cell>
          <cell r="F180">
            <v>213</v>
          </cell>
          <cell r="G180">
            <v>25</v>
          </cell>
          <cell r="H180">
            <v>20</v>
          </cell>
          <cell r="I180">
            <v>25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str">
            <v>MSD</v>
          </cell>
        </row>
        <row r="181">
          <cell r="E181" t="str">
            <v>Reefer Attendant</v>
          </cell>
          <cell r="F181">
            <v>188</v>
          </cell>
          <cell r="G181">
            <v>25</v>
          </cell>
          <cell r="H181">
            <v>30</v>
          </cell>
          <cell r="I181">
            <v>25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str">
            <v>MSD</v>
          </cell>
        </row>
        <row r="182">
          <cell r="E182" t="str">
            <v>Security Guard</v>
          </cell>
          <cell r="F182">
            <v>212</v>
          </cell>
          <cell r="G182">
            <v>25</v>
          </cell>
          <cell r="H182">
            <v>30</v>
          </cell>
          <cell r="I182">
            <v>25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str">
            <v>HSSE</v>
          </cell>
        </row>
        <row r="183">
          <cell r="E183" t="str">
            <v>Ship Services Attendant</v>
          </cell>
          <cell r="F183">
            <v>224</v>
          </cell>
          <cell r="G183">
            <v>25</v>
          </cell>
          <cell r="H183">
            <v>25</v>
          </cell>
          <cell r="I183">
            <v>25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str">
            <v>Facilities</v>
          </cell>
        </row>
        <row r="184">
          <cell r="E184" t="str">
            <v>Tire Attendant</v>
          </cell>
          <cell r="F184">
            <v>202</v>
          </cell>
          <cell r="G184">
            <v>15</v>
          </cell>
          <cell r="H184">
            <v>20</v>
          </cell>
          <cell r="I184">
            <v>25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str">
            <v>MSD</v>
          </cell>
        </row>
        <row r="185">
          <cell r="E185" t="str">
            <v>TT Operator</v>
          </cell>
          <cell r="F185">
            <v>193</v>
          </cell>
          <cell r="G185">
            <v>25</v>
          </cell>
          <cell r="H185">
            <v>30</v>
          </cell>
          <cell r="I185">
            <v>25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str">
            <v>Operations</v>
          </cell>
        </row>
        <row r="186">
          <cell r="E186" t="str">
            <v>Equipment Floaters</v>
          </cell>
          <cell r="F186">
            <v>243</v>
          </cell>
          <cell r="G186">
            <v>25</v>
          </cell>
          <cell r="H186">
            <v>25</v>
          </cell>
          <cell r="I186">
            <v>30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str">
            <v>Operations</v>
          </cell>
        </row>
        <row r="187">
          <cell r="E187" t="str">
            <v>Vehicle Service Attendant</v>
          </cell>
          <cell r="F187">
            <v>201</v>
          </cell>
          <cell r="G187">
            <v>25</v>
          </cell>
          <cell r="H187">
            <v>25</v>
          </cell>
          <cell r="I187">
            <v>25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str">
            <v>MSD</v>
          </cell>
        </row>
        <row r="188">
          <cell r="E188" t="str">
            <v>Office Service Attd</v>
          </cell>
          <cell r="F188">
            <v>125</v>
          </cell>
          <cell r="G188">
            <v>25</v>
          </cell>
          <cell r="H188">
            <v>10</v>
          </cell>
          <cell r="I188">
            <v>0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str">
            <v>Operations</v>
          </cell>
        </row>
        <row r="189">
          <cell r="E189" t="str">
            <v>Stevedore - CT</v>
          </cell>
          <cell r="F189">
            <v>104</v>
          </cell>
          <cell r="G189">
            <v>0</v>
          </cell>
          <cell r="H189">
            <v>0</v>
          </cell>
          <cell r="I189">
            <v>0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str">
            <v>Operations</v>
          </cell>
        </row>
        <row r="190">
          <cell r="E190" t="str">
            <v>Stevedore - GCT</v>
          </cell>
          <cell r="F190">
            <v>89</v>
          </cell>
          <cell r="G190">
            <v>0</v>
          </cell>
          <cell r="H190">
            <v>0</v>
          </cell>
          <cell r="I190">
            <v>0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str">
            <v>Operations-GCT</v>
          </cell>
        </row>
        <row r="191">
          <cell r="E191" t="str">
            <v>Gear Locker Attendant - CT</v>
          </cell>
          <cell r="F191">
            <v>233</v>
          </cell>
          <cell r="G191">
            <v>25</v>
          </cell>
          <cell r="H191">
            <v>30</v>
          </cell>
          <cell r="I191">
            <v>20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str">
            <v>Operations</v>
          </cell>
        </row>
        <row r="192">
          <cell r="E192" t="str">
            <v>Gear Locker Attendant - GCT</v>
          </cell>
          <cell r="F192">
            <v>233</v>
          </cell>
          <cell r="G192">
            <v>25</v>
          </cell>
          <cell r="H192">
            <v>30</v>
          </cell>
          <cell r="I192">
            <v>20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str">
            <v>Operations-GCT</v>
          </cell>
        </row>
        <row r="193">
          <cell r="E193" t="str">
            <v>Linehandler</v>
          </cell>
          <cell r="F193">
            <v>232</v>
          </cell>
          <cell r="G193">
            <v>25</v>
          </cell>
          <cell r="H193">
            <v>30</v>
          </cell>
          <cell r="I193">
            <v>20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str">
            <v>Marine</v>
          </cell>
        </row>
        <row r="194">
          <cell r="E194" t="str">
            <v>Security Worker</v>
          </cell>
          <cell r="F194">
            <v>184</v>
          </cell>
          <cell r="G194">
            <v>25</v>
          </cell>
          <cell r="H194">
            <v>30</v>
          </cell>
          <cell r="I194">
            <v>20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str">
            <v>HSSE</v>
          </cell>
        </row>
      </sheetData>
      <sheetData sheetId="22">
        <row r="5">
          <cell r="F5" t="str">
            <v>Chief Executive Officer</v>
          </cell>
          <cell r="G5">
            <v>1</v>
          </cell>
          <cell r="I5">
            <v>1</v>
          </cell>
          <cell r="K5">
            <v>1</v>
          </cell>
          <cell r="M5">
            <v>1</v>
          </cell>
          <cell r="O5">
            <v>1</v>
          </cell>
          <cell r="Q5">
            <v>1</v>
          </cell>
          <cell r="S5">
            <v>1</v>
          </cell>
          <cell r="U5">
            <v>1</v>
          </cell>
          <cell r="W5">
            <v>1</v>
          </cell>
          <cell r="Y5">
            <v>1</v>
          </cell>
        </row>
        <row r="6">
          <cell r="F6" t="str">
            <v>Chief Operating Officer</v>
          </cell>
          <cell r="G6">
            <v>1</v>
          </cell>
          <cell r="I6">
            <v>1</v>
          </cell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</row>
        <row r="7">
          <cell r="F7" t="str">
            <v>Sr Mgr Sales &amp; Marketing</v>
          </cell>
          <cell r="G7">
            <v>1</v>
          </cell>
          <cell r="I7">
            <v>1</v>
          </cell>
          <cell r="K7">
            <v>1</v>
          </cell>
          <cell r="M7">
            <v>1</v>
          </cell>
          <cell r="O7">
            <v>1</v>
          </cell>
          <cell r="Q7">
            <v>1</v>
          </cell>
          <cell r="S7">
            <v>1</v>
          </cell>
          <cell r="U7">
            <v>1</v>
          </cell>
          <cell r="W7">
            <v>1</v>
          </cell>
          <cell r="Y7">
            <v>1</v>
          </cell>
        </row>
        <row r="8">
          <cell r="F8" t="str">
            <v>Sr. Mgr - Maintenance Services</v>
          </cell>
          <cell r="G8">
            <v>1</v>
          </cell>
          <cell r="I8">
            <v>1</v>
          </cell>
          <cell r="K8">
            <v>1</v>
          </cell>
          <cell r="M8">
            <v>1</v>
          </cell>
          <cell r="O8">
            <v>1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</row>
        <row r="9">
          <cell r="F9" t="str">
            <v>Sr. Mgr HR</v>
          </cell>
          <cell r="G9">
            <v>1</v>
          </cell>
          <cell r="I9">
            <v>1</v>
          </cell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</row>
        <row r="10">
          <cell r="F10" t="str">
            <v>Sr.Mgr.-Port Operation</v>
          </cell>
          <cell r="G10">
            <v>1</v>
          </cell>
          <cell r="I10">
            <v>1</v>
          </cell>
          <cell r="K10">
            <v>1</v>
          </cell>
          <cell r="M10">
            <v>1</v>
          </cell>
          <cell r="O10">
            <v>1</v>
          </cell>
          <cell r="Q10">
            <v>1</v>
          </cell>
          <cell r="S10">
            <v>1</v>
          </cell>
          <cell r="U10">
            <v>1</v>
          </cell>
          <cell r="W10">
            <v>1</v>
          </cell>
          <cell r="Y10">
            <v>1</v>
          </cell>
        </row>
        <row r="11">
          <cell r="F11" t="str">
            <v>Financial Controller</v>
          </cell>
          <cell r="G11">
            <v>1</v>
          </cell>
          <cell r="I11">
            <v>1</v>
          </cell>
          <cell r="K11">
            <v>1</v>
          </cell>
          <cell r="M11">
            <v>1</v>
          </cell>
          <cell r="O11">
            <v>1</v>
          </cell>
          <cell r="Q11">
            <v>1</v>
          </cell>
          <cell r="S11">
            <v>1</v>
          </cell>
          <cell r="U11">
            <v>1</v>
          </cell>
          <cell r="W11">
            <v>1</v>
          </cell>
          <cell r="Y11">
            <v>1</v>
          </cell>
        </row>
        <row r="12">
          <cell r="F12" t="str">
            <v>Harbor Master</v>
          </cell>
          <cell r="G12">
            <v>1</v>
          </cell>
          <cell r="I12">
            <v>1</v>
          </cell>
          <cell r="K12">
            <v>1</v>
          </cell>
          <cell r="M12">
            <v>1</v>
          </cell>
          <cell r="O12">
            <v>1</v>
          </cell>
          <cell r="Q12">
            <v>1</v>
          </cell>
          <cell r="S12">
            <v>1</v>
          </cell>
          <cell r="U12">
            <v>1</v>
          </cell>
          <cell r="W12">
            <v>1</v>
          </cell>
          <cell r="Y12">
            <v>1</v>
          </cell>
        </row>
        <row r="13">
          <cell r="F13" t="str">
            <v>Manager, Special Projects</v>
          </cell>
          <cell r="G13">
            <v>1</v>
          </cell>
          <cell r="I13">
            <v>1</v>
          </cell>
          <cell r="K13">
            <v>1</v>
          </cell>
          <cell r="M13">
            <v>1</v>
          </cell>
          <cell r="O13">
            <v>1</v>
          </cell>
          <cell r="Q13">
            <v>1</v>
          </cell>
          <cell r="S13">
            <v>1</v>
          </cell>
          <cell r="U13">
            <v>1</v>
          </cell>
          <cell r="W13">
            <v>1</v>
          </cell>
          <cell r="Y13">
            <v>1</v>
          </cell>
        </row>
        <row r="14">
          <cell r="F14" t="str">
            <v>Mgr, HSSE</v>
          </cell>
          <cell r="G14">
            <v>1</v>
          </cell>
          <cell r="I14">
            <v>1</v>
          </cell>
          <cell r="K14">
            <v>1</v>
          </cell>
          <cell r="M14">
            <v>1</v>
          </cell>
          <cell r="O14">
            <v>1</v>
          </cell>
          <cell r="Q14">
            <v>1</v>
          </cell>
          <cell r="S14">
            <v>1</v>
          </cell>
          <cell r="U14">
            <v>1</v>
          </cell>
          <cell r="W14">
            <v>1</v>
          </cell>
          <cell r="Y14">
            <v>1</v>
          </cell>
        </row>
        <row r="15">
          <cell r="F15" t="str">
            <v>Mgr, IT</v>
          </cell>
          <cell r="G15">
            <v>1</v>
          </cell>
          <cell r="I15">
            <v>1</v>
          </cell>
          <cell r="K15">
            <v>1</v>
          </cell>
          <cell r="M15">
            <v>1</v>
          </cell>
          <cell r="O15">
            <v>1</v>
          </cell>
          <cell r="Q15">
            <v>1</v>
          </cell>
          <cell r="S15">
            <v>1</v>
          </cell>
          <cell r="U15">
            <v>1</v>
          </cell>
          <cell r="W15">
            <v>1</v>
          </cell>
          <cell r="Y15">
            <v>1</v>
          </cell>
        </row>
        <row r="16">
          <cell r="F16" t="str">
            <v>Mgr Rewards &amp; Systems</v>
          </cell>
          <cell r="G16">
            <v>1</v>
          </cell>
          <cell r="I16">
            <v>1</v>
          </cell>
          <cell r="K16">
            <v>1</v>
          </cell>
          <cell r="M16">
            <v>1</v>
          </cell>
          <cell r="O16">
            <v>1</v>
          </cell>
          <cell r="Q16">
            <v>1</v>
          </cell>
          <cell r="S16">
            <v>1</v>
          </cell>
          <cell r="U16">
            <v>1</v>
          </cell>
          <cell r="W16">
            <v>1</v>
          </cell>
          <cell r="Y16">
            <v>1</v>
          </cell>
        </row>
        <row r="17">
          <cell r="F17" t="str">
            <v>Manager - Education&amp;Training</v>
          </cell>
          <cell r="G17">
            <v>1</v>
          </cell>
          <cell r="I17">
            <v>1</v>
          </cell>
          <cell r="K17">
            <v>1</v>
          </cell>
          <cell r="M17">
            <v>1</v>
          </cell>
          <cell r="O17">
            <v>1</v>
          </cell>
          <cell r="Q17">
            <v>1</v>
          </cell>
          <cell r="S17">
            <v>1</v>
          </cell>
          <cell r="U17">
            <v>1</v>
          </cell>
          <cell r="W17">
            <v>1</v>
          </cell>
          <cell r="Y17">
            <v>1</v>
          </cell>
        </row>
        <row r="18">
          <cell r="F18" t="str">
            <v>Manager, Accounting</v>
          </cell>
          <cell r="G18">
            <v>1</v>
          </cell>
          <cell r="I18">
            <v>1</v>
          </cell>
          <cell r="K18">
            <v>1</v>
          </cell>
          <cell r="M18">
            <v>1</v>
          </cell>
          <cell r="O18">
            <v>1</v>
          </cell>
          <cell r="Q18">
            <v>1</v>
          </cell>
          <cell r="S18">
            <v>1</v>
          </cell>
          <cell r="U18">
            <v>1</v>
          </cell>
          <cell r="W18">
            <v>1</v>
          </cell>
          <cell r="Y18">
            <v>1</v>
          </cell>
        </row>
        <row r="19">
          <cell r="F19" t="str">
            <v>Mgr Public Affairs</v>
          </cell>
          <cell r="G19">
            <v>1</v>
          </cell>
          <cell r="I19">
            <v>1</v>
          </cell>
          <cell r="K19">
            <v>1</v>
          </cell>
          <cell r="M19">
            <v>1</v>
          </cell>
          <cell r="O19">
            <v>1</v>
          </cell>
          <cell r="Q19">
            <v>1</v>
          </cell>
          <cell r="S19">
            <v>1</v>
          </cell>
          <cell r="U19">
            <v>1</v>
          </cell>
          <cell r="W19">
            <v>1</v>
          </cell>
          <cell r="Y19">
            <v>1</v>
          </cell>
        </row>
        <row r="20">
          <cell r="F20" t="str">
            <v>Mgr Purchasing</v>
          </cell>
          <cell r="G20">
            <v>1</v>
          </cell>
          <cell r="I20">
            <v>1</v>
          </cell>
          <cell r="K20">
            <v>1</v>
          </cell>
          <cell r="M20">
            <v>1</v>
          </cell>
          <cell r="O20">
            <v>1</v>
          </cell>
          <cell r="Q20">
            <v>1</v>
          </cell>
          <cell r="S20">
            <v>1</v>
          </cell>
          <cell r="U20">
            <v>1</v>
          </cell>
          <cell r="W20">
            <v>1</v>
          </cell>
          <cell r="Y20">
            <v>1</v>
          </cell>
        </row>
        <row r="21">
          <cell r="F21" t="str">
            <v>Mgr Vehicle Wkshp</v>
          </cell>
          <cell r="G21">
            <v>1</v>
          </cell>
          <cell r="I21">
            <v>1</v>
          </cell>
          <cell r="K21">
            <v>1</v>
          </cell>
          <cell r="M21">
            <v>1</v>
          </cell>
          <cell r="O21">
            <v>1</v>
          </cell>
          <cell r="Q21">
            <v>1</v>
          </cell>
          <cell r="S21">
            <v>1</v>
          </cell>
          <cell r="U21">
            <v>1</v>
          </cell>
          <cell r="W21">
            <v>1</v>
          </cell>
          <cell r="Y21">
            <v>1</v>
          </cell>
        </row>
        <row r="22">
          <cell r="F22" t="str">
            <v>Mgr, Financial Planning &amp; Rep</v>
          </cell>
          <cell r="G22">
            <v>1</v>
          </cell>
          <cell r="I22">
            <v>1</v>
          </cell>
          <cell r="K22">
            <v>1</v>
          </cell>
          <cell r="M22">
            <v>1</v>
          </cell>
          <cell r="O22">
            <v>1</v>
          </cell>
          <cell r="Q22">
            <v>1</v>
          </cell>
          <cell r="S22">
            <v>1</v>
          </cell>
          <cell r="U22">
            <v>1</v>
          </cell>
          <cell r="W22">
            <v>1</v>
          </cell>
          <cell r="Y22">
            <v>1</v>
          </cell>
        </row>
        <row r="23">
          <cell r="F23" t="str">
            <v>Mgr, Process Improvement &amp; Pro</v>
          </cell>
          <cell r="G23">
            <v>1</v>
          </cell>
          <cell r="I23">
            <v>1</v>
          </cell>
          <cell r="K23">
            <v>1</v>
          </cell>
          <cell r="M23">
            <v>1</v>
          </cell>
          <cell r="O23">
            <v>1</v>
          </cell>
          <cell r="Q23">
            <v>1</v>
          </cell>
          <cell r="S23">
            <v>1</v>
          </cell>
          <cell r="U23">
            <v>1</v>
          </cell>
          <cell r="W23">
            <v>1</v>
          </cell>
          <cell r="Y23">
            <v>1</v>
          </cell>
        </row>
        <row r="24">
          <cell r="F24" t="str">
            <v>Mgr, Materials</v>
          </cell>
          <cell r="I24">
            <v>0</v>
          </cell>
          <cell r="J24">
            <v>1</v>
          </cell>
          <cell r="K24">
            <v>1</v>
          </cell>
          <cell r="M24">
            <v>1</v>
          </cell>
          <cell r="O24">
            <v>1</v>
          </cell>
          <cell r="Q24">
            <v>1</v>
          </cell>
          <cell r="S24">
            <v>1</v>
          </cell>
          <cell r="U24">
            <v>1</v>
          </cell>
          <cell r="W24">
            <v>1</v>
          </cell>
          <cell r="Y24">
            <v>1</v>
          </cell>
        </row>
        <row r="25">
          <cell r="F25" t="str">
            <v>Planning Manager</v>
          </cell>
          <cell r="G25">
            <v>1</v>
          </cell>
          <cell r="I25">
            <v>1</v>
          </cell>
          <cell r="K25">
            <v>1</v>
          </cell>
          <cell r="M25">
            <v>1</v>
          </cell>
          <cell r="O25">
            <v>1</v>
          </cell>
          <cell r="Q25">
            <v>1</v>
          </cell>
          <cell r="S25">
            <v>1</v>
          </cell>
          <cell r="U25">
            <v>1</v>
          </cell>
          <cell r="W25">
            <v>1</v>
          </cell>
          <cell r="Y25">
            <v>1</v>
          </cell>
        </row>
        <row r="26">
          <cell r="F26" t="str">
            <v>Regional Mgr Marketing &amp; Sales</v>
          </cell>
          <cell r="G26">
            <v>1</v>
          </cell>
          <cell r="I26">
            <v>1</v>
          </cell>
          <cell r="K26">
            <v>1</v>
          </cell>
          <cell r="M26">
            <v>1</v>
          </cell>
          <cell r="O26">
            <v>1</v>
          </cell>
          <cell r="Q26">
            <v>1</v>
          </cell>
          <cell r="S26">
            <v>1</v>
          </cell>
          <cell r="U26">
            <v>1</v>
          </cell>
          <cell r="W26">
            <v>1</v>
          </cell>
          <cell r="Y26">
            <v>1</v>
          </cell>
        </row>
        <row r="27">
          <cell r="F27" t="str">
            <v>Asst Mgr, HSSE</v>
          </cell>
          <cell r="G27">
            <v>1</v>
          </cell>
          <cell r="I27">
            <v>1</v>
          </cell>
          <cell r="K27">
            <v>1</v>
          </cell>
          <cell r="M27">
            <v>1</v>
          </cell>
          <cell r="O27">
            <v>1</v>
          </cell>
          <cell r="Q27">
            <v>1</v>
          </cell>
          <cell r="S27">
            <v>1</v>
          </cell>
          <cell r="U27">
            <v>1</v>
          </cell>
          <cell r="W27">
            <v>1</v>
          </cell>
          <cell r="Y27">
            <v>1</v>
          </cell>
        </row>
        <row r="28">
          <cell r="F28" t="str">
            <v>Asst Mgr, IT</v>
          </cell>
          <cell r="I28">
            <v>0</v>
          </cell>
          <cell r="J28">
            <v>1</v>
          </cell>
          <cell r="K28">
            <v>1</v>
          </cell>
          <cell r="M28">
            <v>1</v>
          </cell>
          <cell r="O28">
            <v>1</v>
          </cell>
          <cell r="Q28">
            <v>1</v>
          </cell>
          <cell r="S28">
            <v>1</v>
          </cell>
          <cell r="U28">
            <v>1</v>
          </cell>
          <cell r="W28">
            <v>1</v>
          </cell>
          <cell r="Y28">
            <v>1</v>
          </cell>
        </row>
        <row r="29">
          <cell r="F29" t="str">
            <v>Facilities Maintenance Manager</v>
          </cell>
          <cell r="G29">
            <v>1</v>
          </cell>
          <cell r="I29">
            <v>1</v>
          </cell>
          <cell r="K29">
            <v>1</v>
          </cell>
          <cell r="M29">
            <v>1</v>
          </cell>
          <cell r="O29">
            <v>1</v>
          </cell>
          <cell r="Q29">
            <v>1</v>
          </cell>
          <cell r="S29">
            <v>1</v>
          </cell>
          <cell r="U29">
            <v>1</v>
          </cell>
          <cell r="W29">
            <v>1</v>
          </cell>
          <cell r="Y29">
            <v>1</v>
          </cell>
        </row>
        <row r="30">
          <cell r="F30" t="str">
            <v>Government Relations Manager</v>
          </cell>
          <cell r="G30">
            <v>1</v>
          </cell>
          <cell r="I30">
            <v>1</v>
          </cell>
          <cell r="K30">
            <v>1</v>
          </cell>
          <cell r="M30">
            <v>1</v>
          </cell>
          <cell r="O30">
            <v>1</v>
          </cell>
          <cell r="Q30">
            <v>1</v>
          </cell>
          <cell r="S30">
            <v>1</v>
          </cell>
          <cell r="U30">
            <v>1</v>
          </cell>
          <cell r="W30">
            <v>1</v>
          </cell>
          <cell r="Y30">
            <v>1</v>
          </cell>
        </row>
        <row r="31">
          <cell r="F31" t="str">
            <v>Manager Operations Support</v>
          </cell>
          <cell r="G31">
            <v>1</v>
          </cell>
          <cell r="I31">
            <v>1</v>
          </cell>
          <cell r="K31">
            <v>1</v>
          </cell>
          <cell r="M31">
            <v>1</v>
          </cell>
          <cell r="O31">
            <v>1</v>
          </cell>
          <cell r="Q31">
            <v>1</v>
          </cell>
          <cell r="S31">
            <v>1</v>
          </cell>
          <cell r="U31">
            <v>1</v>
          </cell>
          <cell r="W31">
            <v>1</v>
          </cell>
          <cell r="Y31">
            <v>1</v>
          </cell>
        </row>
        <row r="32">
          <cell r="F32" t="str">
            <v>Manager, Commercial Sales</v>
          </cell>
          <cell r="G32">
            <v>1</v>
          </cell>
          <cell r="I32">
            <v>1</v>
          </cell>
          <cell r="K32">
            <v>1</v>
          </cell>
          <cell r="M32">
            <v>1</v>
          </cell>
          <cell r="O32">
            <v>1</v>
          </cell>
          <cell r="Q32">
            <v>1</v>
          </cell>
          <cell r="S32">
            <v>1</v>
          </cell>
          <cell r="U32">
            <v>1</v>
          </cell>
          <cell r="W32">
            <v>1</v>
          </cell>
          <cell r="Y32">
            <v>1</v>
          </cell>
        </row>
        <row r="33">
          <cell r="F33" t="str">
            <v>Manager, Employment</v>
          </cell>
          <cell r="G33">
            <v>1</v>
          </cell>
          <cell r="I33">
            <v>1</v>
          </cell>
          <cell r="K33">
            <v>1</v>
          </cell>
          <cell r="M33">
            <v>1</v>
          </cell>
          <cell r="O33">
            <v>1</v>
          </cell>
          <cell r="Q33">
            <v>1</v>
          </cell>
          <cell r="S33">
            <v>1</v>
          </cell>
          <cell r="U33">
            <v>1</v>
          </cell>
          <cell r="W33">
            <v>1</v>
          </cell>
          <cell r="Y33">
            <v>1</v>
          </cell>
        </row>
        <row r="34">
          <cell r="F34" t="str">
            <v>Mgr Business Devmt</v>
          </cell>
          <cell r="G34">
            <v>1</v>
          </cell>
          <cell r="I34">
            <v>1</v>
          </cell>
          <cell r="K34">
            <v>1</v>
          </cell>
          <cell r="M34">
            <v>1</v>
          </cell>
          <cell r="O34">
            <v>1</v>
          </cell>
          <cell r="Q34">
            <v>1</v>
          </cell>
          <cell r="S34">
            <v>1</v>
          </cell>
          <cell r="U34">
            <v>1</v>
          </cell>
          <cell r="W34">
            <v>1</v>
          </cell>
          <cell r="Y34">
            <v>1</v>
          </cell>
        </row>
        <row r="35">
          <cell r="F35" t="str">
            <v>Mgr Container Services</v>
          </cell>
          <cell r="G35">
            <v>1</v>
          </cell>
          <cell r="I35">
            <v>1</v>
          </cell>
          <cell r="K35">
            <v>1</v>
          </cell>
          <cell r="M35">
            <v>1</v>
          </cell>
          <cell r="O35">
            <v>1</v>
          </cell>
          <cell r="Q35">
            <v>1</v>
          </cell>
          <cell r="S35">
            <v>1</v>
          </cell>
          <cell r="U35">
            <v>1</v>
          </cell>
          <cell r="W35">
            <v>1</v>
          </cell>
          <cell r="Y35">
            <v>1</v>
          </cell>
        </row>
        <row r="36">
          <cell r="F36" t="str">
            <v>Mgr Crane Maint</v>
          </cell>
          <cell r="G36">
            <v>1</v>
          </cell>
          <cell r="I36">
            <v>1</v>
          </cell>
          <cell r="K36">
            <v>1</v>
          </cell>
          <cell r="M36">
            <v>1</v>
          </cell>
          <cell r="O36">
            <v>1</v>
          </cell>
          <cell r="Q36">
            <v>1</v>
          </cell>
          <cell r="S36">
            <v>1</v>
          </cell>
          <cell r="U36">
            <v>1</v>
          </cell>
          <cell r="W36">
            <v>1</v>
          </cell>
          <cell r="Y36">
            <v>1</v>
          </cell>
        </row>
        <row r="37">
          <cell r="F37" t="str">
            <v>Mgr Internal Audit</v>
          </cell>
          <cell r="G37">
            <v>1</v>
          </cell>
          <cell r="I37">
            <v>1</v>
          </cell>
          <cell r="K37">
            <v>1</v>
          </cell>
          <cell r="M37">
            <v>1</v>
          </cell>
          <cell r="O37">
            <v>1</v>
          </cell>
          <cell r="Q37">
            <v>1</v>
          </cell>
          <cell r="S37">
            <v>1</v>
          </cell>
          <cell r="U37">
            <v>1</v>
          </cell>
          <cell r="W37">
            <v>1</v>
          </cell>
          <cell r="Y37">
            <v>1</v>
          </cell>
        </row>
        <row r="38">
          <cell r="F38" t="str">
            <v>Mgr Medical Services</v>
          </cell>
          <cell r="G38">
            <v>1</v>
          </cell>
          <cell r="I38">
            <v>1</v>
          </cell>
          <cell r="J38">
            <v>1</v>
          </cell>
          <cell r="K38">
            <v>2</v>
          </cell>
          <cell r="M38">
            <v>2</v>
          </cell>
          <cell r="O38">
            <v>2</v>
          </cell>
          <cell r="Q38">
            <v>2</v>
          </cell>
          <cell r="S38">
            <v>2</v>
          </cell>
          <cell r="U38">
            <v>2</v>
          </cell>
          <cell r="W38">
            <v>2</v>
          </cell>
          <cell r="Y38">
            <v>2</v>
          </cell>
        </row>
        <row r="39">
          <cell r="F39" t="str">
            <v>Asst Operations Mgr</v>
          </cell>
          <cell r="G39">
            <v>4</v>
          </cell>
          <cell r="I39">
            <v>4</v>
          </cell>
          <cell r="K39">
            <v>4</v>
          </cell>
          <cell r="M39">
            <v>4</v>
          </cell>
          <cell r="O39">
            <v>4</v>
          </cell>
          <cell r="Q39">
            <v>4</v>
          </cell>
          <cell r="S39">
            <v>4</v>
          </cell>
          <cell r="T39">
            <v>1</v>
          </cell>
          <cell r="U39">
            <v>5</v>
          </cell>
          <cell r="W39">
            <v>5</v>
          </cell>
          <cell r="Y39">
            <v>5</v>
          </cell>
        </row>
        <row r="40">
          <cell r="F40" t="str">
            <v>Assistant Manager Employment</v>
          </cell>
          <cell r="G40">
            <v>1</v>
          </cell>
          <cell r="I40">
            <v>1</v>
          </cell>
          <cell r="K40">
            <v>1</v>
          </cell>
          <cell r="M40">
            <v>1</v>
          </cell>
          <cell r="O40">
            <v>1</v>
          </cell>
          <cell r="Q40">
            <v>1</v>
          </cell>
          <cell r="S40">
            <v>1</v>
          </cell>
          <cell r="U40">
            <v>1</v>
          </cell>
          <cell r="W40">
            <v>1</v>
          </cell>
          <cell r="Y40">
            <v>1</v>
          </cell>
        </row>
        <row r="41">
          <cell r="F41" t="str">
            <v>Asst Harbor Master</v>
          </cell>
          <cell r="G41">
            <v>1</v>
          </cell>
          <cell r="I41">
            <v>1</v>
          </cell>
          <cell r="K41">
            <v>1</v>
          </cell>
          <cell r="M41">
            <v>1</v>
          </cell>
          <cell r="O41">
            <v>1</v>
          </cell>
          <cell r="Q41">
            <v>1</v>
          </cell>
          <cell r="S41">
            <v>1</v>
          </cell>
          <cell r="U41">
            <v>1</v>
          </cell>
          <cell r="W41">
            <v>1</v>
          </cell>
          <cell r="Y41">
            <v>1</v>
          </cell>
        </row>
        <row r="42">
          <cell r="F42" t="str">
            <v>Asst Mgr, Training</v>
          </cell>
          <cell r="G42">
            <v>1</v>
          </cell>
          <cell r="I42">
            <v>1</v>
          </cell>
          <cell r="K42">
            <v>1</v>
          </cell>
          <cell r="M42">
            <v>1</v>
          </cell>
          <cell r="O42">
            <v>1</v>
          </cell>
          <cell r="Q42">
            <v>1</v>
          </cell>
          <cell r="S42">
            <v>1</v>
          </cell>
          <cell r="U42">
            <v>1</v>
          </cell>
          <cell r="W42">
            <v>1</v>
          </cell>
          <cell r="Y42">
            <v>1</v>
          </cell>
        </row>
        <row r="43">
          <cell r="F43" t="str">
            <v>Mgr Camp Accom</v>
          </cell>
          <cell r="G43">
            <v>1</v>
          </cell>
          <cell r="I43">
            <v>1</v>
          </cell>
          <cell r="K43">
            <v>1</v>
          </cell>
          <cell r="M43">
            <v>1</v>
          </cell>
          <cell r="O43">
            <v>1</v>
          </cell>
          <cell r="Q43">
            <v>1</v>
          </cell>
          <cell r="S43">
            <v>1</v>
          </cell>
          <cell r="U43">
            <v>1</v>
          </cell>
          <cell r="W43">
            <v>1</v>
          </cell>
          <cell r="Y43">
            <v>1</v>
          </cell>
        </row>
        <row r="44">
          <cell r="F44" t="str">
            <v>Mgr Gen Admin</v>
          </cell>
          <cell r="G44">
            <v>1</v>
          </cell>
          <cell r="I44">
            <v>1</v>
          </cell>
          <cell r="K44">
            <v>1</v>
          </cell>
          <cell r="M44">
            <v>1</v>
          </cell>
          <cell r="O44">
            <v>1</v>
          </cell>
          <cell r="Q44">
            <v>1</v>
          </cell>
          <cell r="S44">
            <v>1</v>
          </cell>
          <cell r="U44">
            <v>1</v>
          </cell>
          <cell r="W44">
            <v>1</v>
          </cell>
          <cell r="Y44">
            <v>1</v>
          </cell>
        </row>
        <row r="45">
          <cell r="F45" t="str">
            <v>Oasis Club Manager</v>
          </cell>
          <cell r="G45">
            <v>1</v>
          </cell>
          <cell r="I45">
            <v>1</v>
          </cell>
          <cell r="K45">
            <v>1</v>
          </cell>
          <cell r="M45">
            <v>1</v>
          </cell>
          <cell r="O45">
            <v>1</v>
          </cell>
          <cell r="Q45">
            <v>1</v>
          </cell>
          <cell r="S45">
            <v>1</v>
          </cell>
          <cell r="U45">
            <v>1</v>
          </cell>
          <cell r="W45">
            <v>1</v>
          </cell>
          <cell r="Y45">
            <v>1</v>
          </cell>
        </row>
        <row r="46">
          <cell r="F46" t="str">
            <v>Supervisor, Equipment Control</v>
          </cell>
          <cell r="G46">
            <v>1</v>
          </cell>
          <cell r="I46">
            <v>1</v>
          </cell>
          <cell r="K46">
            <v>1</v>
          </cell>
          <cell r="M46">
            <v>1</v>
          </cell>
          <cell r="O46">
            <v>1</v>
          </cell>
          <cell r="Q46">
            <v>1</v>
          </cell>
          <cell r="S46">
            <v>1</v>
          </cell>
          <cell r="U46">
            <v>1</v>
          </cell>
          <cell r="W46">
            <v>1</v>
          </cell>
          <cell r="Y46">
            <v>1</v>
          </cell>
        </row>
        <row r="47">
          <cell r="F47" t="str">
            <v>Supt Ops Support</v>
          </cell>
          <cell r="G47">
            <v>1</v>
          </cell>
          <cell r="I47">
            <v>1</v>
          </cell>
          <cell r="K47">
            <v>1</v>
          </cell>
          <cell r="M47">
            <v>1</v>
          </cell>
          <cell r="O47">
            <v>1</v>
          </cell>
          <cell r="Q47">
            <v>1</v>
          </cell>
          <cell r="S47">
            <v>1</v>
          </cell>
          <cell r="U47">
            <v>1</v>
          </cell>
          <cell r="W47">
            <v>1</v>
          </cell>
          <cell r="Y47">
            <v>1</v>
          </cell>
        </row>
        <row r="48">
          <cell r="F48" t="str">
            <v>Supv Purchasing</v>
          </cell>
          <cell r="G48">
            <v>1</v>
          </cell>
          <cell r="I48">
            <v>1</v>
          </cell>
          <cell r="K48">
            <v>1</v>
          </cell>
          <cell r="M48">
            <v>1</v>
          </cell>
          <cell r="O48">
            <v>1</v>
          </cell>
          <cell r="Q48">
            <v>1</v>
          </cell>
          <cell r="S48">
            <v>1</v>
          </cell>
          <cell r="U48">
            <v>1</v>
          </cell>
          <cell r="W48">
            <v>1</v>
          </cell>
          <cell r="Y48">
            <v>1</v>
          </cell>
        </row>
        <row r="49">
          <cell r="F49" t="str">
            <v>Supt Stores Inventory Control</v>
          </cell>
          <cell r="H49">
            <v>1</v>
          </cell>
          <cell r="I49">
            <v>1</v>
          </cell>
          <cell r="K49">
            <v>1</v>
          </cell>
          <cell r="M49">
            <v>1</v>
          </cell>
          <cell r="O49">
            <v>1</v>
          </cell>
          <cell r="Q49">
            <v>1</v>
          </cell>
          <cell r="S49">
            <v>1</v>
          </cell>
          <cell r="U49">
            <v>1</v>
          </cell>
          <cell r="W49">
            <v>1</v>
          </cell>
          <cell r="Y49">
            <v>1</v>
          </cell>
        </row>
        <row r="50">
          <cell r="F50" t="str">
            <v>Supt Staff Allocations</v>
          </cell>
          <cell r="G50">
            <v>2</v>
          </cell>
          <cell r="I50">
            <v>2</v>
          </cell>
          <cell r="K50">
            <v>2</v>
          </cell>
          <cell r="M50">
            <v>2</v>
          </cell>
          <cell r="O50">
            <v>2</v>
          </cell>
          <cell r="Q50">
            <v>2</v>
          </cell>
          <cell r="S50">
            <v>2</v>
          </cell>
          <cell r="U50">
            <v>2</v>
          </cell>
          <cell r="W50">
            <v>2</v>
          </cell>
          <cell r="Y50">
            <v>2</v>
          </cell>
        </row>
        <row r="51">
          <cell r="F51" t="str">
            <v>Supv Ops Admin</v>
          </cell>
          <cell r="G51">
            <v>1</v>
          </cell>
          <cell r="I51">
            <v>1</v>
          </cell>
          <cell r="K51">
            <v>1</v>
          </cell>
          <cell r="M51">
            <v>1</v>
          </cell>
          <cell r="O51">
            <v>1</v>
          </cell>
          <cell r="Q51">
            <v>1</v>
          </cell>
          <cell r="S51">
            <v>1</v>
          </cell>
          <cell r="U51">
            <v>1</v>
          </cell>
          <cell r="W51">
            <v>1</v>
          </cell>
          <cell r="Y51">
            <v>1</v>
          </cell>
        </row>
        <row r="52">
          <cell r="F52" t="str">
            <v>Asst Acctg Mgr</v>
          </cell>
          <cell r="G52">
            <v>3</v>
          </cell>
          <cell r="I52">
            <v>3</v>
          </cell>
          <cell r="J52">
            <v>1</v>
          </cell>
          <cell r="K52">
            <v>4</v>
          </cell>
          <cell r="M52">
            <v>4</v>
          </cell>
          <cell r="O52">
            <v>4</v>
          </cell>
          <cell r="Q52">
            <v>4</v>
          </cell>
          <cell r="S52">
            <v>4</v>
          </cell>
          <cell r="U52">
            <v>4</v>
          </cell>
          <cell r="W52">
            <v>4</v>
          </cell>
          <cell r="Y52">
            <v>4</v>
          </cell>
        </row>
        <row r="53">
          <cell r="F53" t="str">
            <v>Supt Planning</v>
          </cell>
          <cell r="G53">
            <v>3</v>
          </cell>
          <cell r="I53">
            <v>3</v>
          </cell>
          <cell r="K53">
            <v>3</v>
          </cell>
          <cell r="M53">
            <v>3</v>
          </cell>
          <cell r="O53">
            <v>3</v>
          </cell>
          <cell r="Q53">
            <v>3</v>
          </cell>
          <cell r="S53">
            <v>3</v>
          </cell>
          <cell r="U53">
            <v>3</v>
          </cell>
          <cell r="W53">
            <v>3</v>
          </cell>
          <cell r="Y53">
            <v>3</v>
          </cell>
        </row>
        <row r="54">
          <cell r="F54" t="str">
            <v>Maintenance Supervisor</v>
          </cell>
          <cell r="G54">
            <v>4</v>
          </cell>
          <cell r="I54">
            <v>4</v>
          </cell>
          <cell r="K54">
            <v>4</v>
          </cell>
          <cell r="M54">
            <v>4</v>
          </cell>
          <cell r="O54">
            <v>4</v>
          </cell>
          <cell r="Q54">
            <v>4</v>
          </cell>
          <cell r="S54">
            <v>4</v>
          </cell>
          <cell r="U54">
            <v>4</v>
          </cell>
          <cell r="W54">
            <v>4</v>
          </cell>
          <cell r="Y54">
            <v>4</v>
          </cell>
        </row>
        <row r="55">
          <cell r="F55" t="str">
            <v>Supt Operations</v>
          </cell>
          <cell r="G55">
            <v>12</v>
          </cell>
          <cell r="I55">
            <v>12</v>
          </cell>
          <cell r="K55">
            <v>12</v>
          </cell>
          <cell r="M55">
            <v>12</v>
          </cell>
          <cell r="O55">
            <v>12</v>
          </cell>
          <cell r="Q55">
            <v>12</v>
          </cell>
          <cell r="S55">
            <v>12</v>
          </cell>
          <cell r="U55">
            <v>12</v>
          </cell>
          <cell r="W55">
            <v>12</v>
          </cell>
          <cell r="Y55">
            <v>12</v>
          </cell>
        </row>
        <row r="56">
          <cell r="F56" t="str">
            <v>Gate/CFS Supervisor</v>
          </cell>
          <cell r="G56">
            <v>1</v>
          </cell>
          <cell r="I56">
            <v>1</v>
          </cell>
          <cell r="K56">
            <v>1</v>
          </cell>
          <cell r="M56">
            <v>1</v>
          </cell>
          <cell r="O56">
            <v>1</v>
          </cell>
          <cell r="Q56">
            <v>1</v>
          </cell>
          <cell r="S56">
            <v>1</v>
          </cell>
          <cell r="U56">
            <v>1</v>
          </cell>
          <cell r="W56">
            <v>1</v>
          </cell>
          <cell r="Y56">
            <v>1</v>
          </cell>
        </row>
        <row r="57">
          <cell r="F57" t="str">
            <v>Reefer Supervisor</v>
          </cell>
          <cell r="G57">
            <v>1</v>
          </cell>
          <cell r="I57">
            <v>1</v>
          </cell>
          <cell r="K57">
            <v>1</v>
          </cell>
          <cell r="M57">
            <v>1</v>
          </cell>
          <cell r="O57">
            <v>1</v>
          </cell>
          <cell r="Q57">
            <v>1</v>
          </cell>
          <cell r="S57">
            <v>1</v>
          </cell>
          <cell r="U57">
            <v>1</v>
          </cell>
          <cell r="W57">
            <v>1</v>
          </cell>
          <cell r="Y57">
            <v>1</v>
          </cell>
        </row>
        <row r="58">
          <cell r="F58" t="str">
            <v>Supv Employment Services</v>
          </cell>
          <cell r="G58">
            <v>1</v>
          </cell>
          <cell r="I58">
            <v>1</v>
          </cell>
          <cell r="K58">
            <v>1</v>
          </cell>
          <cell r="M58">
            <v>1</v>
          </cell>
          <cell r="O58">
            <v>1</v>
          </cell>
          <cell r="Q58">
            <v>1</v>
          </cell>
          <cell r="S58">
            <v>1</v>
          </cell>
          <cell r="U58">
            <v>1</v>
          </cell>
          <cell r="W58">
            <v>1</v>
          </cell>
          <cell r="Y58">
            <v>1</v>
          </cell>
        </row>
        <row r="59">
          <cell r="F59" t="str">
            <v>Supv Facilities Maintenance</v>
          </cell>
          <cell r="G59">
            <v>1</v>
          </cell>
          <cell r="I59">
            <v>1</v>
          </cell>
          <cell r="K59">
            <v>1</v>
          </cell>
          <cell r="M59">
            <v>1</v>
          </cell>
          <cell r="O59">
            <v>1</v>
          </cell>
          <cell r="Q59">
            <v>1</v>
          </cell>
          <cell r="S59">
            <v>1</v>
          </cell>
          <cell r="U59">
            <v>1</v>
          </cell>
          <cell r="W59">
            <v>1</v>
          </cell>
          <cell r="Y59">
            <v>1</v>
          </cell>
        </row>
        <row r="60">
          <cell r="F60" t="str">
            <v>Security Supervisor</v>
          </cell>
          <cell r="G60">
            <v>1</v>
          </cell>
          <cell r="H60">
            <v>1</v>
          </cell>
          <cell r="I60">
            <v>2</v>
          </cell>
          <cell r="K60">
            <v>2</v>
          </cell>
          <cell r="M60">
            <v>2</v>
          </cell>
          <cell r="O60">
            <v>2</v>
          </cell>
          <cell r="Q60">
            <v>2</v>
          </cell>
          <cell r="S60">
            <v>2</v>
          </cell>
          <cell r="U60">
            <v>2</v>
          </cell>
          <cell r="W60">
            <v>2</v>
          </cell>
          <cell r="Y60">
            <v>2</v>
          </cell>
        </row>
        <row r="61">
          <cell r="F61" t="str">
            <v>Damage And Clamis Officer</v>
          </cell>
          <cell r="G61">
            <v>1</v>
          </cell>
          <cell r="I61">
            <v>1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</row>
        <row r="62">
          <cell r="F62" t="str">
            <v>English Lanague Instractor</v>
          </cell>
          <cell r="G62">
            <v>1</v>
          </cell>
          <cell r="I62">
            <v>1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</row>
        <row r="63">
          <cell r="F63" t="str">
            <v>Mgmt Accountant</v>
          </cell>
          <cell r="G63">
            <v>1</v>
          </cell>
          <cell r="I63">
            <v>1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</row>
        <row r="64">
          <cell r="F64" t="str">
            <v>Ops Relations Advisor</v>
          </cell>
          <cell r="G64">
            <v>1</v>
          </cell>
          <cell r="I64">
            <v>1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</row>
        <row r="65">
          <cell r="F65" t="str">
            <v>Port Development Project Eng</v>
          </cell>
          <cell r="G65">
            <v>1</v>
          </cell>
          <cell r="I65">
            <v>1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F66" t="str">
            <v>Senior Planning Coordinator</v>
          </cell>
          <cell r="G66">
            <v>1</v>
          </cell>
          <cell r="I66">
            <v>1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</row>
        <row r="67">
          <cell r="F67" t="str">
            <v>Sr Database Administrator</v>
          </cell>
          <cell r="G67">
            <v>1</v>
          </cell>
          <cell r="I67">
            <v>1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</row>
        <row r="68">
          <cell r="F68" t="str">
            <v>Sr Network Admin</v>
          </cell>
          <cell r="G68">
            <v>1</v>
          </cell>
          <cell r="I68">
            <v>1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</row>
        <row r="69">
          <cell r="F69" t="str">
            <v>Sr Planner</v>
          </cell>
          <cell r="G69">
            <v>4</v>
          </cell>
          <cell r="H69">
            <v>1</v>
          </cell>
          <cell r="I69">
            <v>5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</row>
        <row r="70">
          <cell r="F70" t="str">
            <v>Systems Analyst</v>
          </cell>
          <cell r="G70">
            <v>1</v>
          </cell>
          <cell r="H70">
            <v>1</v>
          </cell>
          <cell r="I70">
            <v>2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</row>
        <row r="71">
          <cell r="F71" t="str">
            <v>Translator EL Instructor</v>
          </cell>
          <cell r="G71">
            <v>1</v>
          </cell>
          <cell r="I71">
            <v>1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</row>
        <row r="72">
          <cell r="F72" t="str">
            <v>Berthing Coordinator</v>
          </cell>
          <cell r="G72">
            <v>2</v>
          </cell>
          <cell r="I72">
            <v>2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</row>
        <row r="73">
          <cell r="F73" t="str">
            <v>Database Administrator</v>
          </cell>
          <cell r="G73">
            <v>1</v>
          </cell>
          <cell r="H73">
            <v>1</v>
          </cell>
          <cell r="I73">
            <v>2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</row>
        <row r="74">
          <cell r="F74" t="str">
            <v>Human Resources Administrator</v>
          </cell>
          <cell r="G74">
            <v>2</v>
          </cell>
          <cell r="I74">
            <v>2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</row>
        <row r="75">
          <cell r="F75" t="str">
            <v>Imam</v>
          </cell>
          <cell r="G75">
            <v>1</v>
          </cell>
          <cell r="I75">
            <v>1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</row>
        <row r="76">
          <cell r="F76" t="str">
            <v>Sr Accountant</v>
          </cell>
          <cell r="H76">
            <v>1</v>
          </cell>
          <cell r="I76">
            <v>1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</row>
        <row r="77">
          <cell r="F77" t="str">
            <v>Internal Auditor</v>
          </cell>
          <cell r="G77">
            <v>1</v>
          </cell>
          <cell r="H77">
            <v>1</v>
          </cell>
          <cell r="I77">
            <v>2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</row>
        <row r="78">
          <cell r="F78" t="str">
            <v>Network Adminstrator</v>
          </cell>
          <cell r="G78">
            <v>1</v>
          </cell>
          <cell r="I78">
            <v>1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</row>
        <row r="79">
          <cell r="F79" t="str">
            <v>Safety Training Instructor</v>
          </cell>
          <cell r="G79">
            <v>1</v>
          </cell>
          <cell r="I79">
            <v>1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</row>
        <row r="80">
          <cell r="F80" t="str">
            <v>Social Insurance Claims Admin</v>
          </cell>
          <cell r="G80">
            <v>1</v>
          </cell>
          <cell r="I80">
            <v>1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</row>
        <row r="81">
          <cell r="F81" t="str">
            <v>Sr Buyer</v>
          </cell>
          <cell r="G81">
            <v>1</v>
          </cell>
          <cell r="I81">
            <v>1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</row>
        <row r="82">
          <cell r="F82" t="str">
            <v>Sr. Eqpmt Instructor</v>
          </cell>
          <cell r="G82">
            <v>1</v>
          </cell>
          <cell r="I82">
            <v>1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</row>
        <row r="83">
          <cell r="F83" t="str">
            <v>Media &amp; Communication Executive</v>
          </cell>
          <cell r="H83">
            <v>1</v>
          </cell>
          <cell r="I83">
            <v>1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</row>
        <row r="84">
          <cell r="F84" t="str">
            <v>Accountant</v>
          </cell>
          <cell r="G84">
            <v>4</v>
          </cell>
          <cell r="I84">
            <v>4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</row>
        <row r="85">
          <cell r="F85" t="str">
            <v>Helpdesk Coordinator</v>
          </cell>
          <cell r="G85">
            <v>1</v>
          </cell>
          <cell r="H85">
            <v>1</v>
          </cell>
          <cell r="I85">
            <v>2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</row>
        <row r="86">
          <cell r="F86" t="str">
            <v>Camp Coordinator</v>
          </cell>
          <cell r="G86">
            <v>1</v>
          </cell>
          <cell r="I86">
            <v>1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</row>
        <row r="87">
          <cell r="F87" t="str">
            <v>Employment Associate</v>
          </cell>
          <cell r="G87">
            <v>2</v>
          </cell>
          <cell r="I87">
            <v>2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</row>
        <row r="88">
          <cell r="F88" t="str">
            <v>Executive Assistant</v>
          </cell>
          <cell r="G88">
            <v>4</v>
          </cell>
          <cell r="I88">
            <v>4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</row>
        <row r="89">
          <cell r="F89" t="str">
            <v>Planner</v>
          </cell>
          <cell r="G89">
            <v>6</v>
          </cell>
          <cell r="H89">
            <v>2</v>
          </cell>
          <cell r="I89">
            <v>8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</row>
        <row r="90">
          <cell r="F90" t="str">
            <v>Security Shift Leader</v>
          </cell>
          <cell r="G90">
            <v>4</v>
          </cell>
          <cell r="I90">
            <v>4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</row>
        <row r="91">
          <cell r="F91" t="str">
            <v>Senior Operations Clerk</v>
          </cell>
          <cell r="G91">
            <v>2</v>
          </cell>
          <cell r="I91">
            <v>2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</row>
        <row r="92">
          <cell r="F92" t="str">
            <v>Accounting Associate</v>
          </cell>
          <cell r="G92">
            <v>6</v>
          </cell>
          <cell r="I92">
            <v>6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</row>
        <row r="93">
          <cell r="F93" t="str">
            <v>Administrative Assistant</v>
          </cell>
          <cell r="G93">
            <v>4</v>
          </cell>
          <cell r="I93">
            <v>4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</row>
        <row r="94">
          <cell r="F94" t="str">
            <v>Dispatcher</v>
          </cell>
          <cell r="G94">
            <v>7</v>
          </cell>
          <cell r="I94">
            <v>7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</row>
        <row r="95">
          <cell r="F95" t="str">
            <v>Document Associate</v>
          </cell>
          <cell r="G95">
            <v>4</v>
          </cell>
          <cell r="I95">
            <v>4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</row>
        <row r="96">
          <cell r="F96" t="str">
            <v>Emp Serv Associate</v>
          </cell>
          <cell r="G96">
            <v>1</v>
          </cell>
          <cell r="I96">
            <v>1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</row>
        <row r="97">
          <cell r="F97" t="str">
            <v>Facilities Coordinator</v>
          </cell>
          <cell r="G97">
            <v>1</v>
          </cell>
          <cell r="I97">
            <v>1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</row>
        <row r="98">
          <cell r="F98" t="str">
            <v>Gear Locker Foreman</v>
          </cell>
          <cell r="G98">
            <v>1</v>
          </cell>
          <cell r="I98">
            <v>1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</row>
        <row r="99">
          <cell r="F99" t="str">
            <v>HR Associate</v>
          </cell>
          <cell r="G99">
            <v>2</v>
          </cell>
          <cell r="I99">
            <v>2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</row>
        <row r="100">
          <cell r="F100" t="str">
            <v>Material Coordinator</v>
          </cell>
          <cell r="G100">
            <v>1</v>
          </cell>
          <cell r="I100">
            <v>1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</row>
        <row r="101">
          <cell r="F101" t="str">
            <v>Office Assistant</v>
          </cell>
          <cell r="G101">
            <v>1</v>
          </cell>
          <cell r="I101">
            <v>1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</row>
        <row r="102">
          <cell r="F102" t="str">
            <v>Operations Clerk</v>
          </cell>
          <cell r="G102">
            <v>3</v>
          </cell>
          <cell r="I102">
            <v>3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</row>
        <row r="103">
          <cell r="F103" t="str">
            <v>Operations Clerk ( Gate )</v>
          </cell>
          <cell r="G103">
            <v>2</v>
          </cell>
          <cell r="I103">
            <v>2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</row>
        <row r="104">
          <cell r="F104" t="str">
            <v>Port Development Project Coord</v>
          </cell>
          <cell r="G104">
            <v>1</v>
          </cell>
          <cell r="I104">
            <v>1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</row>
        <row r="105">
          <cell r="F105" t="str">
            <v>Security Clerk</v>
          </cell>
          <cell r="G105">
            <v>1</v>
          </cell>
          <cell r="I105">
            <v>1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</row>
        <row r="106">
          <cell r="F106" t="str">
            <v>Staff Allocations Coordinator</v>
          </cell>
          <cell r="G106">
            <v>1</v>
          </cell>
          <cell r="I106">
            <v>1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</row>
        <row r="107">
          <cell r="F107" t="str">
            <v>Timekeeper - CT</v>
          </cell>
          <cell r="G107">
            <v>4</v>
          </cell>
          <cell r="I107">
            <v>4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</row>
        <row r="108">
          <cell r="F108" t="str">
            <v>Training Assistant</v>
          </cell>
          <cell r="G108">
            <v>1</v>
          </cell>
          <cell r="I108">
            <v>1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</row>
        <row r="109">
          <cell r="F109" t="str">
            <v>Travel Coordinator</v>
          </cell>
          <cell r="G109">
            <v>1</v>
          </cell>
          <cell r="I109">
            <v>1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</row>
        <row r="110">
          <cell r="F110" t="str">
            <v>HSSE Associate</v>
          </cell>
          <cell r="H110">
            <v>1</v>
          </cell>
          <cell r="I110">
            <v>1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</row>
        <row r="111">
          <cell r="F111" t="str">
            <v>Workshop Coordinator</v>
          </cell>
          <cell r="G111">
            <v>5</v>
          </cell>
          <cell r="I111">
            <v>5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</row>
        <row r="112">
          <cell r="F112" t="str">
            <v>Camp Accom Clk</v>
          </cell>
          <cell r="G112">
            <v>1</v>
          </cell>
          <cell r="H112">
            <v>1</v>
          </cell>
          <cell r="I112">
            <v>2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</row>
        <row r="113">
          <cell r="F113" t="str">
            <v>Cashier / Bar</v>
          </cell>
          <cell r="G113">
            <v>1</v>
          </cell>
          <cell r="I113">
            <v>1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</row>
        <row r="114">
          <cell r="F114" t="str">
            <v>Mail Clerk</v>
          </cell>
          <cell r="G114">
            <v>2</v>
          </cell>
          <cell r="I114">
            <v>2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</row>
        <row r="115">
          <cell r="F115" t="str">
            <v>Purchasing Clerk</v>
          </cell>
          <cell r="G115">
            <v>1</v>
          </cell>
          <cell r="I115">
            <v>1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</row>
        <row r="116">
          <cell r="F116" t="str">
            <v>Purchasing Expediter</v>
          </cell>
          <cell r="G116">
            <v>1</v>
          </cell>
          <cell r="I116">
            <v>1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</row>
        <row r="117">
          <cell r="F117" t="str">
            <v>Receptionist</v>
          </cell>
          <cell r="G117">
            <v>1</v>
          </cell>
          <cell r="I117">
            <v>1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</row>
        <row r="118">
          <cell r="F118" t="str">
            <v>Store Clerk</v>
          </cell>
          <cell r="G118">
            <v>7</v>
          </cell>
          <cell r="H118">
            <v>1</v>
          </cell>
          <cell r="I118">
            <v>8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</row>
        <row r="119">
          <cell r="F119" t="str">
            <v>Yard Inventory Clk</v>
          </cell>
          <cell r="G119">
            <v>1</v>
          </cell>
          <cell r="I119">
            <v>1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</row>
        <row r="120">
          <cell r="F120" t="str">
            <v>Foreman Stores Inventory Contr</v>
          </cell>
          <cell r="G120">
            <v>1</v>
          </cell>
          <cell r="I120">
            <v>1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</row>
        <row r="121">
          <cell r="F121" t="str">
            <v>Safety/Fire Officer</v>
          </cell>
          <cell r="G121">
            <v>4</v>
          </cell>
          <cell r="I121">
            <v>4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</row>
        <row r="122">
          <cell r="F122" t="str">
            <v>Foreman Bus Drivers</v>
          </cell>
          <cell r="G122">
            <v>2</v>
          </cell>
          <cell r="I122">
            <v>2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</row>
        <row r="123">
          <cell r="F123" t="str">
            <v>Nurse</v>
          </cell>
          <cell r="G123">
            <v>2</v>
          </cell>
          <cell r="H123">
            <v>1</v>
          </cell>
          <cell r="I123">
            <v>3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</row>
        <row r="124">
          <cell r="F124" t="str">
            <v>Sr.Electrician</v>
          </cell>
          <cell r="G124">
            <v>1</v>
          </cell>
          <cell r="I124">
            <v>1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</row>
        <row r="125">
          <cell r="F125" t="str">
            <v>A/C Technician</v>
          </cell>
          <cell r="G125">
            <v>1</v>
          </cell>
          <cell r="I125">
            <v>1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</row>
        <row r="126">
          <cell r="F126" t="str">
            <v>Carpenter</v>
          </cell>
          <cell r="G126">
            <v>2</v>
          </cell>
          <cell r="I126">
            <v>2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</row>
        <row r="127">
          <cell r="F127" t="str">
            <v>Chef</v>
          </cell>
          <cell r="G127">
            <v>1</v>
          </cell>
          <cell r="I127">
            <v>1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</row>
        <row r="128">
          <cell r="F128" t="str">
            <v>Electrician</v>
          </cell>
          <cell r="G128">
            <v>10</v>
          </cell>
          <cell r="I128">
            <v>10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</row>
        <row r="129">
          <cell r="F129" t="str">
            <v>Plumber</v>
          </cell>
          <cell r="G129">
            <v>1</v>
          </cell>
          <cell r="I129">
            <v>1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</row>
        <row r="130">
          <cell r="F130" t="str">
            <v>Bus Driver</v>
          </cell>
          <cell r="G130">
            <v>10</v>
          </cell>
          <cell r="H130">
            <v>2</v>
          </cell>
          <cell r="I130">
            <v>12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</row>
        <row r="131">
          <cell r="F131" t="str">
            <v>Mason</v>
          </cell>
          <cell r="G131">
            <v>2</v>
          </cell>
          <cell r="I131">
            <v>2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</row>
        <row r="132">
          <cell r="F132" t="str">
            <v>Painter</v>
          </cell>
          <cell r="G132">
            <v>4</v>
          </cell>
          <cell r="I132">
            <v>4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</row>
        <row r="133">
          <cell r="F133" t="str">
            <v>Security Guard</v>
          </cell>
          <cell r="G133">
            <v>18</v>
          </cell>
          <cell r="H133">
            <v>5</v>
          </cell>
          <cell r="I133">
            <v>23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</row>
        <row r="134">
          <cell r="F134" t="str">
            <v>Ship Services Attendant</v>
          </cell>
          <cell r="G134">
            <v>7</v>
          </cell>
          <cell r="I134">
            <v>7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</row>
        <row r="135">
          <cell r="F135" t="str">
            <v>Office Service Attd</v>
          </cell>
          <cell r="G135">
            <v>3</v>
          </cell>
          <cell r="I135">
            <v>3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</row>
        <row r="136">
          <cell r="F136" t="str">
            <v>Security Worker</v>
          </cell>
          <cell r="G136">
            <v>4</v>
          </cell>
          <cell r="H136">
            <v>1</v>
          </cell>
          <cell r="I136">
            <v>5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</row>
        <row r="137">
          <cell r="F137" t="str">
            <v>Pilot</v>
          </cell>
          <cell r="G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</row>
        <row r="138">
          <cell r="F138" t="str">
            <v>Container Inspector</v>
          </cell>
          <cell r="G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</row>
        <row r="139">
          <cell r="F139" t="str">
            <v>Reefer Coordinator</v>
          </cell>
          <cell r="G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</row>
        <row r="140">
          <cell r="F140" t="str">
            <v>Equipment Controller</v>
          </cell>
          <cell r="G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</row>
        <row r="141">
          <cell r="F141" t="str">
            <v>Tally Clerk - CT</v>
          </cell>
          <cell r="G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</row>
        <row r="142">
          <cell r="F142" t="str">
            <v>Senior Tug Engineer</v>
          </cell>
          <cell r="G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</row>
        <row r="143">
          <cell r="F143" t="str">
            <v>Tug Engineer Trainee</v>
          </cell>
          <cell r="G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</row>
        <row r="144">
          <cell r="F144" t="str">
            <v>Equipment Control Foreman</v>
          </cell>
          <cell r="G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</row>
        <row r="145">
          <cell r="F145" t="str">
            <v>Foreman,Reefer</v>
          </cell>
          <cell r="G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</row>
        <row r="146">
          <cell r="F146" t="str">
            <v>Tug Master</v>
          </cell>
          <cell r="G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</row>
        <row r="147">
          <cell r="F147" t="str">
            <v>Maintenance Foreman - CM</v>
          </cell>
          <cell r="G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</row>
        <row r="148">
          <cell r="F148" t="str">
            <v>Port Control Officer</v>
          </cell>
          <cell r="G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</row>
        <row r="149">
          <cell r="F149" t="str">
            <v>Tug Engineer</v>
          </cell>
          <cell r="G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</row>
        <row r="150">
          <cell r="F150" t="str">
            <v>Maintenance Foreman - VS</v>
          </cell>
          <cell r="G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</row>
        <row r="151">
          <cell r="F151" t="str">
            <v>Quay Crane Foreman</v>
          </cell>
          <cell r="G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</row>
        <row r="152">
          <cell r="F152" t="str">
            <v>Foreman, Linehandling</v>
          </cell>
          <cell r="G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</row>
        <row r="153">
          <cell r="F153" t="str">
            <v>Pilot Boat Coxswain</v>
          </cell>
          <cell r="G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</row>
        <row r="154">
          <cell r="F154" t="str">
            <v>Senior Fabricator / Welder</v>
          </cell>
          <cell r="G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</row>
        <row r="155">
          <cell r="F155" t="str">
            <v>Sr Vehicle Electrician</v>
          </cell>
          <cell r="G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</row>
        <row r="156">
          <cell r="F156" t="str">
            <v>Sr. Reefer Technician</v>
          </cell>
          <cell r="G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</row>
        <row r="157">
          <cell r="F157" t="str">
            <v>Sr. Crane Technician</v>
          </cell>
          <cell r="G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</row>
        <row r="158">
          <cell r="F158" t="str">
            <v>Sr.Crane Mechanic</v>
          </cell>
          <cell r="G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</row>
        <row r="159">
          <cell r="F159" t="str">
            <v>Sr. Mechanic</v>
          </cell>
          <cell r="G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</row>
        <row r="160">
          <cell r="F160" t="str">
            <v>Quay Crane Operator</v>
          </cell>
          <cell r="G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</row>
        <row r="161">
          <cell r="F161" t="str">
            <v>Machinist</v>
          </cell>
          <cell r="G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</row>
        <row r="162">
          <cell r="F162" t="str">
            <v>Crane Technician</v>
          </cell>
          <cell r="G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</row>
        <row r="163">
          <cell r="F163" t="str">
            <v>Crane Mechanic</v>
          </cell>
          <cell r="G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</row>
        <row r="164">
          <cell r="F164" t="str">
            <v>Reefer Technician</v>
          </cell>
          <cell r="G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</row>
        <row r="165">
          <cell r="F165" t="str">
            <v>Vehicle Electrician</v>
          </cell>
          <cell r="G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</row>
        <row r="166">
          <cell r="F166" t="str">
            <v>Mechanic</v>
          </cell>
          <cell r="G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</row>
        <row r="167">
          <cell r="F167" t="str">
            <v>Fabricator/Welder</v>
          </cell>
          <cell r="G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</row>
        <row r="168">
          <cell r="F168" t="str">
            <v>YH Equipment Operator</v>
          </cell>
          <cell r="G168">
            <v>0</v>
          </cell>
          <cell r="I168">
            <v>0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</row>
        <row r="169">
          <cell r="F169" t="str">
            <v>GP Hand2</v>
          </cell>
          <cell r="G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</row>
        <row r="170">
          <cell r="F170" t="str">
            <v>Reefer Attendant</v>
          </cell>
          <cell r="G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</row>
        <row r="171">
          <cell r="F171" t="str">
            <v>Painter(Equipment)</v>
          </cell>
          <cell r="G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</row>
        <row r="172">
          <cell r="F172" t="str">
            <v>Tire Attendant</v>
          </cell>
          <cell r="G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</row>
        <row r="173">
          <cell r="F173" t="str">
            <v>Vehicle Service Attendant</v>
          </cell>
          <cell r="G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</row>
        <row r="174">
          <cell r="F174" t="str">
            <v>TT Operator</v>
          </cell>
          <cell r="G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</row>
        <row r="175">
          <cell r="F175" t="str">
            <v>Equipment Floaters</v>
          </cell>
          <cell r="G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</row>
        <row r="176">
          <cell r="F176" t="str">
            <v>Stevedore - CT</v>
          </cell>
          <cell r="G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</row>
        <row r="177">
          <cell r="F177" t="str">
            <v>Gear Locker Attendant - CT</v>
          </cell>
          <cell r="G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</row>
        <row r="178">
          <cell r="F178" t="str">
            <v>Linehandler</v>
          </cell>
          <cell r="G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</row>
        <row r="179">
          <cell r="F179" t="str">
            <v>Total</v>
          </cell>
          <cell r="G179" t="e">
            <v>#REF!</v>
          </cell>
          <cell r="H179">
            <v>23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</row>
      </sheetData>
      <sheetData sheetId="23" refreshError="1"/>
      <sheetData sheetId="24">
        <row r="14">
          <cell r="E14" t="str">
            <v>Asst Operations Mgr - GCT</v>
          </cell>
          <cell r="F14">
            <v>1</v>
          </cell>
          <cell r="H14">
            <v>1</v>
          </cell>
          <cell r="I14">
            <v>1</v>
          </cell>
          <cell r="J14">
            <v>2</v>
          </cell>
          <cell r="L14">
            <v>2</v>
          </cell>
          <cell r="N14">
            <v>2</v>
          </cell>
          <cell r="P14">
            <v>2</v>
          </cell>
          <cell r="R14">
            <v>2</v>
          </cell>
          <cell r="T14">
            <v>2</v>
          </cell>
          <cell r="V14">
            <v>2</v>
          </cell>
          <cell r="X14">
            <v>2</v>
          </cell>
        </row>
        <row r="15">
          <cell r="E15" t="str">
            <v>Supv Ops Admin - GCT</v>
          </cell>
          <cell r="F15">
            <v>1</v>
          </cell>
          <cell r="H15">
            <v>1</v>
          </cell>
          <cell r="J15">
            <v>1</v>
          </cell>
          <cell r="L15">
            <v>1</v>
          </cell>
          <cell r="N15">
            <v>1</v>
          </cell>
          <cell r="P15">
            <v>1</v>
          </cell>
          <cell r="R15">
            <v>1</v>
          </cell>
          <cell r="T15">
            <v>1</v>
          </cell>
          <cell r="V15">
            <v>1</v>
          </cell>
          <cell r="X15">
            <v>1</v>
          </cell>
        </row>
        <row r="16">
          <cell r="E16" t="str">
            <v>Operations Supervisor - GCT</v>
          </cell>
          <cell r="F16">
            <v>2</v>
          </cell>
          <cell r="H16">
            <v>2</v>
          </cell>
          <cell r="J16">
            <v>2</v>
          </cell>
          <cell r="K16">
            <v>1</v>
          </cell>
          <cell r="L16">
            <v>3</v>
          </cell>
          <cell r="N16">
            <v>3</v>
          </cell>
          <cell r="P16">
            <v>3</v>
          </cell>
          <cell r="R16">
            <v>3</v>
          </cell>
          <cell r="T16">
            <v>3</v>
          </cell>
          <cell r="V16">
            <v>3</v>
          </cell>
          <cell r="X16">
            <v>3</v>
          </cell>
        </row>
        <row r="17">
          <cell r="E17" t="str">
            <v>Administrative Assistant</v>
          </cell>
          <cell r="F17">
            <v>1</v>
          </cell>
          <cell r="H17">
            <v>1</v>
          </cell>
          <cell r="I17">
            <v>1</v>
          </cell>
          <cell r="J17">
            <v>2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</row>
        <row r="18">
          <cell r="E18" t="str">
            <v>Gear Locker Foreman</v>
          </cell>
          <cell r="F18">
            <v>1</v>
          </cell>
          <cell r="H18">
            <v>1</v>
          </cell>
          <cell r="J18">
            <v>1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</row>
        <row r="19">
          <cell r="E19" t="str">
            <v>CFS Coordinator</v>
          </cell>
          <cell r="F19">
            <v>1</v>
          </cell>
          <cell r="H19">
            <v>1</v>
          </cell>
          <cell r="I19">
            <v>1</v>
          </cell>
          <cell r="J19">
            <v>2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</row>
        <row r="20">
          <cell r="E20" t="str">
            <v>Dhow Coordinator</v>
          </cell>
          <cell r="F20">
            <v>1</v>
          </cell>
          <cell r="H20">
            <v>1</v>
          </cell>
          <cell r="J20">
            <v>1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</row>
        <row r="21">
          <cell r="E21" t="str">
            <v>Operations Associate ( C/S )</v>
          </cell>
          <cell r="F21">
            <v>1</v>
          </cell>
          <cell r="H21">
            <v>1</v>
          </cell>
          <cell r="J21">
            <v>1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</row>
        <row r="22">
          <cell r="E22" t="str">
            <v>Tally Foreman</v>
          </cell>
          <cell r="F22">
            <v>1</v>
          </cell>
          <cell r="H22">
            <v>1</v>
          </cell>
          <cell r="J22">
            <v>1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</row>
        <row r="23">
          <cell r="E23" t="str">
            <v>Timekeeper - GCT</v>
          </cell>
          <cell r="F23">
            <v>1</v>
          </cell>
          <cell r="H23">
            <v>1</v>
          </cell>
          <cell r="J23">
            <v>1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</row>
        <row r="24">
          <cell r="E24" t="str">
            <v>Tally Clerk - GCT</v>
          </cell>
          <cell r="F24">
            <v>10</v>
          </cell>
          <cell r="H24">
            <v>10</v>
          </cell>
          <cell r="I24">
            <v>5</v>
          </cell>
          <cell r="J24">
            <v>15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</row>
        <row r="25">
          <cell r="E25" t="str">
            <v>Operations Foreman - GCT</v>
          </cell>
          <cell r="F25">
            <v>2</v>
          </cell>
          <cell r="H25">
            <v>2</v>
          </cell>
          <cell r="J25">
            <v>2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</row>
        <row r="26">
          <cell r="E26" t="str">
            <v>Foreman Operations,CFS</v>
          </cell>
          <cell r="F26">
            <v>1</v>
          </cell>
          <cell r="H26">
            <v>1</v>
          </cell>
          <cell r="J26">
            <v>1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</row>
        <row r="27">
          <cell r="E27" t="str">
            <v>Crane Operator GCT</v>
          </cell>
          <cell r="F27">
            <v>6</v>
          </cell>
          <cell r="H27">
            <v>6</v>
          </cell>
          <cell r="I27">
            <v>12</v>
          </cell>
          <cell r="J27">
            <v>18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</row>
        <row r="28">
          <cell r="E28" t="str">
            <v>Gang Leader</v>
          </cell>
          <cell r="F28">
            <v>4</v>
          </cell>
          <cell r="H28">
            <v>4</v>
          </cell>
          <cell r="I28">
            <v>4</v>
          </cell>
          <cell r="J28">
            <v>8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</row>
        <row r="29">
          <cell r="E29" t="str">
            <v>Equipment Operator</v>
          </cell>
          <cell r="F29">
            <v>11</v>
          </cell>
          <cell r="H29">
            <v>11</v>
          </cell>
          <cell r="I29">
            <v>5</v>
          </cell>
          <cell r="J29">
            <v>16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</row>
        <row r="30">
          <cell r="E30" t="str">
            <v>Office Service Attd</v>
          </cell>
          <cell r="F30">
            <v>1</v>
          </cell>
          <cell r="H30">
            <v>1</v>
          </cell>
          <cell r="J30">
            <v>1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</row>
        <row r="31">
          <cell r="E31" t="str">
            <v>Stevedore - GCT</v>
          </cell>
          <cell r="F31">
            <v>26</v>
          </cell>
          <cell r="H31">
            <v>26</v>
          </cell>
          <cell r="I31">
            <v>30</v>
          </cell>
          <cell r="J31">
            <v>56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</row>
        <row r="32">
          <cell r="E32" t="str">
            <v>Gear Locker Attendant - GCT</v>
          </cell>
          <cell r="F32">
            <v>1</v>
          </cell>
          <cell r="H32">
            <v>1</v>
          </cell>
          <cell r="J32">
            <v>1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</row>
        <row r="33">
          <cell r="E33" t="str">
            <v>Total</v>
          </cell>
          <cell r="F33">
            <v>73</v>
          </cell>
          <cell r="G33">
            <v>0</v>
          </cell>
          <cell r="H33">
            <v>73</v>
          </cell>
          <cell r="I33">
            <v>59</v>
          </cell>
          <cell r="J33">
            <v>132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lement"/>
      <sheetName val="SUMMARY"/>
      <sheetName val="PortCost"/>
      <sheetName val="Shipdata"/>
      <sheetName val="BunkerPrice"/>
      <sheetName val="Exchange Rates"/>
      <sheetName val="LAS"/>
      <sheetName val="ATX"/>
      <sheetName val="SGX"/>
      <sheetName val="GMXA"/>
      <sheetName val="GMXH"/>
      <sheetName val="GAX"/>
      <sheetName val="PA1"/>
      <sheetName val="PA2"/>
      <sheetName val="PA3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 t="str">
            <v>HEX75EV51</v>
          </cell>
          <cell r="B5">
            <v>37261</v>
          </cell>
          <cell r="C5" t="str">
            <v>51</v>
          </cell>
          <cell r="D5">
            <v>0.17777999999999999</v>
          </cell>
          <cell r="E5">
            <v>0.15556</v>
          </cell>
          <cell r="F5">
            <v>0.12</v>
          </cell>
          <cell r="G5">
            <v>0.16889000000000001</v>
          </cell>
          <cell r="H5">
            <v>0.37776999999999999</v>
          </cell>
        </row>
        <row r="6">
          <cell r="A6" t="str">
            <v>GNO29WV51</v>
          </cell>
          <cell r="B6">
            <v>37258</v>
          </cell>
          <cell r="C6" t="str">
            <v>51</v>
          </cell>
          <cell r="D6">
            <v>0.17777999999999999</v>
          </cell>
          <cell r="E6">
            <v>0.15556</v>
          </cell>
          <cell r="F6">
            <v>0.12</v>
          </cell>
          <cell r="G6">
            <v>0.16889000000000001</v>
          </cell>
          <cell r="H6">
            <v>0.37776999999999999</v>
          </cell>
        </row>
        <row r="7">
          <cell r="A7" t="str">
            <v>GNO29EV01</v>
          </cell>
          <cell r="B7">
            <v>37272</v>
          </cell>
          <cell r="C7" t="str">
            <v>01</v>
          </cell>
          <cell r="D7">
            <v>0.17777999999999999</v>
          </cell>
          <cell r="E7">
            <v>0.15556</v>
          </cell>
          <cell r="F7">
            <v>0.12</v>
          </cell>
          <cell r="G7">
            <v>0.16889000000000001</v>
          </cell>
          <cell r="H7">
            <v>0.37776999999999999</v>
          </cell>
        </row>
        <row r="8">
          <cell r="A8" t="str">
            <v>HOX37WV01</v>
          </cell>
          <cell r="B8">
            <v>37271</v>
          </cell>
          <cell r="C8" t="str">
            <v>01</v>
          </cell>
          <cell r="D8">
            <v>0.17777999999999999</v>
          </cell>
          <cell r="E8">
            <v>0.15556</v>
          </cell>
          <cell r="F8">
            <v>0.12</v>
          </cell>
          <cell r="G8">
            <v>0.16889000000000001</v>
          </cell>
          <cell r="H8">
            <v>0.37776999999999999</v>
          </cell>
        </row>
        <row r="9">
          <cell r="A9" t="str">
            <v>HOX37EV03</v>
          </cell>
          <cell r="B9">
            <v>37287</v>
          </cell>
          <cell r="C9" t="str">
            <v>03</v>
          </cell>
          <cell r="D9">
            <v>0.17777999999999999</v>
          </cell>
          <cell r="E9">
            <v>0.15556</v>
          </cell>
          <cell r="F9">
            <v>0.12</v>
          </cell>
          <cell r="G9">
            <v>0.16889000000000001</v>
          </cell>
          <cell r="H9">
            <v>0.37776999999999999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HOX36EW51</v>
          </cell>
          <cell r="B15">
            <v>37259</v>
          </cell>
          <cell r="C15" t="str">
            <v>51</v>
          </cell>
          <cell r="D15">
            <v>0.14757999999999999</v>
          </cell>
          <cell r="E15">
            <v>0.18723000000000001</v>
          </cell>
          <cell r="F15">
            <v>8.8109999999999994E-2</v>
          </cell>
          <cell r="G15">
            <v>0.15859000000000001</v>
          </cell>
          <cell r="H15">
            <v>0.41848999999999997</v>
          </cell>
        </row>
        <row r="16">
          <cell r="A16" t="str">
            <v>MAR27WW51</v>
          </cell>
          <cell r="B16">
            <v>37258</v>
          </cell>
          <cell r="C16" t="str">
            <v>51</v>
          </cell>
          <cell r="D16">
            <v>0.14757999999999999</v>
          </cell>
          <cell r="E16">
            <v>0.18723000000000001</v>
          </cell>
          <cell r="F16">
            <v>8.8109999999999994E-2</v>
          </cell>
          <cell r="G16">
            <v>0.15859000000000001</v>
          </cell>
          <cell r="H16">
            <v>0.41848999999999997</v>
          </cell>
        </row>
        <row r="17">
          <cell r="A17" t="str">
            <v>OEU02EW52</v>
          </cell>
          <cell r="B17">
            <v>37265</v>
          </cell>
          <cell r="C17" t="str">
            <v>52</v>
          </cell>
          <cell r="D17">
            <v>0.14757999999999999</v>
          </cell>
          <cell r="E17">
            <v>0.18723000000000001</v>
          </cell>
          <cell r="F17">
            <v>8.8109999999999994E-2</v>
          </cell>
          <cell r="G17">
            <v>0.15859000000000001</v>
          </cell>
          <cell r="H17">
            <v>0.41848999999999997</v>
          </cell>
        </row>
        <row r="18">
          <cell r="A18" t="str">
            <v>LNN01WW52</v>
          </cell>
          <cell r="B18">
            <v>37267</v>
          </cell>
          <cell r="C18" t="str">
            <v>52</v>
          </cell>
          <cell r="D18">
            <v>0.14757999999999999</v>
          </cell>
          <cell r="E18">
            <v>0.18723000000000001</v>
          </cell>
          <cell r="F18">
            <v>8.8109999999999994E-2</v>
          </cell>
          <cell r="G18">
            <v>0.15859000000000001</v>
          </cell>
          <cell r="H18">
            <v>0.41848999999999997</v>
          </cell>
        </row>
        <row r="19">
          <cell r="A19" t="str">
            <v>MAR27EW01</v>
          </cell>
          <cell r="B19">
            <v>37273</v>
          </cell>
          <cell r="C19" t="str">
            <v>01</v>
          </cell>
          <cell r="D19">
            <v>0.14757999999999999</v>
          </cell>
          <cell r="E19">
            <v>0.18723000000000001</v>
          </cell>
          <cell r="F19">
            <v>8.8109999999999994E-2</v>
          </cell>
          <cell r="G19">
            <v>0.15859000000000001</v>
          </cell>
          <cell r="H19">
            <v>0.41848999999999997</v>
          </cell>
        </row>
        <row r="20">
          <cell r="A20" t="str">
            <v>HEX76WW02</v>
          </cell>
          <cell r="B20">
            <v>37281</v>
          </cell>
          <cell r="C20" t="str">
            <v>02</v>
          </cell>
          <cell r="D20">
            <v>0.14757999999999999</v>
          </cell>
          <cell r="E20">
            <v>0.18723000000000001</v>
          </cell>
          <cell r="F20">
            <v>8.8109999999999994E-2</v>
          </cell>
          <cell r="G20">
            <v>0.15859000000000001</v>
          </cell>
          <cell r="H20">
            <v>0.41848999999999997</v>
          </cell>
        </row>
        <row r="21">
          <cell r="A21" t="str">
            <v>LNN01EW02</v>
          </cell>
          <cell r="B21">
            <v>37280</v>
          </cell>
          <cell r="C21" t="str">
            <v>02</v>
          </cell>
          <cell r="D21">
            <v>0.14757999999999999</v>
          </cell>
          <cell r="E21">
            <v>0.18723000000000001</v>
          </cell>
          <cell r="F21">
            <v>8.8109999999999994E-2</v>
          </cell>
          <cell r="G21">
            <v>0.15859000000000001</v>
          </cell>
          <cell r="H21">
            <v>0.41848999999999997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AMB06EY51</v>
          </cell>
          <cell r="B25">
            <v>37267</v>
          </cell>
          <cell r="C25" t="str">
            <v>51</v>
          </cell>
          <cell r="D25">
            <v>0.68254000000000004</v>
          </cell>
          <cell r="E25">
            <v>0.22817999999999999</v>
          </cell>
          <cell r="F25">
            <v>0</v>
          </cell>
          <cell r="G25">
            <v>3.968E-2</v>
          </cell>
          <cell r="H25">
            <v>4.9599999999999998E-2</v>
          </cell>
        </row>
        <row r="26">
          <cell r="A26" t="str">
            <v>AMB07WY02</v>
          </cell>
          <cell r="B26">
            <v>37284</v>
          </cell>
          <cell r="C26" t="str">
            <v>02</v>
          </cell>
          <cell r="D26">
            <v>0.68254000000000004</v>
          </cell>
          <cell r="E26">
            <v>0.22817999999999999</v>
          </cell>
          <cell r="F26">
            <v>0</v>
          </cell>
          <cell r="G26">
            <v>3.968E-2</v>
          </cell>
          <cell r="H26">
            <v>4.9599999999999998E-2</v>
          </cell>
        </row>
        <row r="27">
          <cell r="A27" t="str">
            <v>JAL06EY52</v>
          </cell>
          <cell r="B27">
            <v>37273</v>
          </cell>
          <cell r="C27" t="str">
            <v>52</v>
          </cell>
          <cell r="D27">
            <v>0.68254000000000004</v>
          </cell>
          <cell r="E27">
            <v>0.22817999999999999</v>
          </cell>
          <cell r="F27">
            <v>0</v>
          </cell>
          <cell r="G27">
            <v>3.968E-2</v>
          </cell>
          <cell r="H27">
            <v>4.9599999999999998E-2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HOU45EY50</v>
          </cell>
          <cell r="B35">
            <v>37260</v>
          </cell>
          <cell r="C35" t="str">
            <v>50</v>
          </cell>
          <cell r="D35">
            <v>0.68254000000000004</v>
          </cell>
          <cell r="E35">
            <v>0.22817999999999999</v>
          </cell>
          <cell r="F35">
            <v>0</v>
          </cell>
          <cell r="G35">
            <v>3.968E-2</v>
          </cell>
          <cell r="H35">
            <v>4.9599999999999998E-2</v>
          </cell>
        </row>
        <row r="36">
          <cell r="A36" t="str">
            <v>KOX19WY51</v>
          </cell>
          <cell r="B36">
            <v>37261</v>
          </cell>
          <cell r="C36" t="str">
            <v>51</v>
          </cell>
          <cell r="D36">
            <v>0.68254000000000004</v>
          </cell>
          <cell r="E36">
            <v>0.22817999999999999</v>
          </cell>
          <cell r="F36">
            <v>0</v>
          </cell>
          <cell r="G36">
            <v>3.968E-2</v>
          </cell>
          <cell r="H36">
            <v>4.9599999999999998E-2</v>
          </cell>
        </row>
        <row r="37">
          <cell r="A37" t="str">
            <v>KOX19EY01</v>
          </cell>
          <cell r="B37">
            <v>37279</v>
          </cell>
          <cell r="C37" t="str">
            <v>01</v>
          </cell>
          <cell r="D37">
            <v>0.68254000000000004</v>
          </cell>
          <cell r="E37">
            <v>0.22817999999999999</v>
          </cell>
          <cell r="F37">
            <v>0</v>
          </cell>
          <cell r="G37">
            <v>3.968E-2</v>
          </cell>
          <cell r="H37">
            <v>4.9599999999999998E-2</v>
          </cell>
        </row>
        <row r="38">
          <cell r="A38" t="str">
            <v>HOU46WY01</v>
          </cell>
          <cell r="B38">
            <v>37275</v>
          </cell>
          <cell r="C38" t="str">
            <v>01</v>
          </cell>
          <cell r="D38">
            <v>0.68254000000000004</v>
          </cell>
          <cell r="E38">
            <v>0.22817999999999999</v>
          </cell>
          <cell r="F38">
            <v>0</v>
          </cell>
          <cell r="G38">
            <v>3.968E-2</v>
          </cell>
          <cell r="H38">
            <v>4.9599999999999998E-2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NAV40EZ51</v>
          </cell>
          <cell r="B45">
            <v>37262</v>
          </cell>
          <cell r="C45" t="str">
            <v>51</v>
          </cell>
          <cell r="D45">
            <v>0.66037999999999997</v>
          </cell>
          <cell r="E45">
            <v>0.16980999999999999</v>
          </cell>
          <cell r="F45">
            <v>0</v>
          </cell>
          <cell r="G45">
            <v>9.4339999999999993E-2</v>
          </cell>
          <cell r="H45">
            <v>7.5469999999999995E-2</v>
          </cell>
        </row>
        <row r="46">
          <cell r="A46" t="str">
            <v>LIB41WZ51</v>
          </cell>
          <cell r="B46">
            <v>37261</v>
          </cell>
          <cell r="C46" t="str">
            <v>51</v>
          </cell>
          <cell r="D46">
            <v>0.66037999999999997</v>
          </cell>
          <cell r="E46">
            <v>0.16980999999999999</v>
          </cell>
          <cell r="F46">
            <v>0</v>
          </cell>
          <cell r="G46">
            <v>9.4339999999999993E-2</v>
          </cell>
          <cell r="H46">
            <v>7.5469999999999995E-2</v>
          </cell>
        </row>
        <row r="47">
          <cell r="A47" t="str">
            <v>DIS41EZ52</v>
          </cell>
          <cell r="B47">
            <v>37269</v>
          </cell>
          <cell r="C47" t="str">
            <v>52</v>
          </cell>
          <cell r="D47">
            <v>0.66037999999999997</v>
          </cell>
          <cell r="E47">
            <v>0.16980999999999999</v>
          </cell>
          <cell r="F47">
            <v>0</v>
          </cell>
          <cell r="G47">
            <v>9.4339999999999993E-2</v>
          </cell>
          <cell r="H47">
            <v>7.5469999999999995E-2</v>
          </cell>
        </row>
        <row r="48">
          <cell r="A48" t="str">
            <v>EXP41WZ52</v>
          </cell>
          <cell r="B48">
            <v>37273</v>
          </cell>
          <cell r="C48" t="str">
            <v>52</v>
          </cell>
          <cell r="D48">
            <v>0.66037999999999997</v>
          </cell>
          <cell r="E48">
            <v>0.16980999999999999</v>
          </cell>
          <cell r="F48">
            <v>0</v>
          </cell>
          <cell r="G48">
            <v>9.4339999999999993E-2</v>
          </cell>
          <cell r="H48">
            <v>7.5469999999999995E-2</v>
          </cell>
        </row>
        <row r="49">
          <cell r="A49" t="str">
            <v>MOT12EZ01</v>
          </cell>
          <cell r="B49">
            <v>37276</v>
          </cell>
          <cell r="C49" t="str">
            <v>01</v>
          </cell>
          <cell r="D49">
            <v>0.64334000000000002</v>
          </cell>
          <cell r="E49">
            <v>0.17832999999999999</v>
          </cell>
          <cell r="F49">
            <v>0</v>
          </cell>
          <cell r="G49">
            <v>9.9070000000000005E-2</v>
          </cell>
          <cell r="H49">
            <v>7.9259999999999997E-2</v>
          </cell>
        </row>
        <row r="50">
          <cell r="A50" t="str">
            <v>NAV41WZ01</v>
          </cell>
          <cell r="B50">
            <v>37272</v>
          </cell>
          <cell r="C50" t="str">
            <v>01</v>
          </cell>
          <cell r="D50">
            <v>0.66037999999999997</v>
          </cell>
          <cell r="E50">
            <v>0.16980999999999999</v>
          </cell>
          <cell r="F50">
            <v>0</v>
          </cell>
          <cell r="G50">
            <v>9.4339999999999993E-2</v>
          </cell>
          <cell r="H50">
            <v>7.5469999999999995E-2</v>
          </cell>
        </row>
        <row r="51">
          <cell r="A51" t="str">
            <v>LIB41EZ02</v>
          </cell>
          <cell r="B51">
            <v>37284</v>
          </cell>
          <cell r="C51" t="str">
            <v>02</v>
          </cell>
          <cell r="D51">
            <v>0.66037999999999997</v>
          </cell>
          <cell r="E51">
            <v>0.16980999999999999</v>
          </cell>
          <cell r="F51">
            <v>0</v>
          </cell>
          <cell r="G51">
            <v>9.4339999999999993E-2</v>
          </cell>
          <cell r="H51">
            <v>7.5469999999999995E-2</v>
          </cell>
        </row>
        <row r="52">
          <cell r="A52" t="str">
            <v>DIS42WZ02</v>
          </cell>
          <cell r="B52">
            <v>37279</v>
          </cell>
          <cell r="C52" t="str">
            <v>02</v>
          </cell>
          <cell r="D52">
            <v>0.66037999999999997</v>
          </cell>
          <cell r="E52">
            <v>0.16980999999999999</v>
          </cell>
          <cell r="F52">
            <v>0</v>
          </cell>
          <cell r="G52">
            <v>9.4339999999999993E-2</v>
          </cell>
          <cell r="H52">
            <v>7.5469999999999995E-2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SNX08EP47A1</v>
          </cell>
          <cell r="B55">
            <v>37263</v>
          </cell>
          <cell r="C55" t="str">
            <v>47A1</v>
          </cell>
          <cell r="D55">
            <v>1.7680000000000001E-2</v>
          </cell>
          <cell r="E55">
            <v>0.43886999999999998</v>
          </cell>
          <cell r="F55">
            <v>0.21189</v>
          </cell>
          <cell r="G55">
            <v>0.10596</v>
          </cell>
          <cell r="H55">
            <v>0.22559999999999999</v>
          </cell>
        </row>
        <row r="56">
          <cell r="A56" t="str">
            <v>NYX08WP51A1</v>
          </cell>
          <cell r="B56">
            <v>37263</v>
          </cell>
          <cell r="C56" t="str">
            <v>51A1</v>
          </cell>
          <cell r="D56">
            <v>1.7680000000000001E-2</v>
          </cell>
          <cell r="E56">
            <v>0.43886999999999998</v>
          </cell>
          <cell r="F56">
            <v>0.21189</v>
          </cell>
          <cell r="G56">
            <v>0.10596</v>
          </cell>
          <cell r="H56">
            <v>0.22559999999999999</v>
          </cell>
        </row>
        <row r="57">
          <cell r="A57" t="str">
            <v>LEV64EP48A1</v>
          </cell>
          <cell r="B57">
            <v>37268</v>
          </cell>
          <cell r="C57" t="str">
            <v>48A1</v>
          </cell>
          <cell r="D57">
            <v>1.7680000000000001E-2</v>
          </cell>
          <cell r="E57">
            <v>0.43886999999999998</v>
          </cell>
          <cell r="F57">
            <v>0.21189</v>
          </cell>
          <cell r="G57">
            <v>0.10596</v>
          </cell>
          <cell r="H57">
            <v>0.22559999999999999</v>
          </cell>
        </row>
        <row r="58">
          <cell r="A58" t="str">
            <v>SHA27WP52A1</v>
          </cell>
          <cell r="B58">
            <v>37271</v>
          </cell>
          <cell r="C58" t="str">
            <v>52A1</v>
          </cell>
          <cell r="D58">
            <v>1.7680000000000001E-2</v>
          </cell>
          <cell r="E58">
            <v>0.43886999999999998</v>
          </cell>
          <cell r="F58">
            <v>0.21189</v>
          </cell>
          <cell r="G58">
            <v>0.10596</v>
          </cell>
          <cell r="H58">
            <v>0.22559999999999999</v>
          </cell>
        </row>
        <row r="59">
          <cell r="A59" t="str">
            <v>STU46EP49A1</v>
          </cell>
          <cell r="B59">
            <v>37275</v>
          </cell>
          <cell r="C59" t="str">
            <v>49A1</v>
          </cell>
          <cell r="D59">
            <v>1.7680000000000001E-2</v>
          </cell>
          <cell r="E59">
            <v>0.43886999999999998</v>
          </cell>
          <cell r="F59">
            <v>0.21189</v>
          </cell>
          <cell r="G59">
            <v>0.10596</v>
          </cell>
          <cell r="H59">
            <v>0.22559999999999999</v>
          </cell>
        </row>
        <row r="60">
          <cell r="A60" t="str">
            <v>SNX09WP01A1</v>
          </cell>
          <cell r="B60">
            <v>37277</v>
          </cell>
          <cell r="C60" t="str">
            <v>01A1</v>
          </cell>
          <cell r="D60">
            <v>1.7680000000000001E-2</v>
          </cell>
          <cell r="E60">
            <v>0.43886999999999998</v>
          </cell>
          <cell r="F60">
            <v>0.21189</v>
          </cell>
          <cell r="G60">
            <v>0.10596</v>
          </cell>
          <cell r="H60">
            <v>0.22559999999999999</v>
          </cell>
        </row>
        <row r="61">
          <cell r="A61" t="str">
            <v>ESS48EP50A1</v>
          </cell>
          <cell r="B61">
            <v>37282</v>
          </cell>
          <cell r="C61" t="str">
            <v>50A1</v>
          </cell>
          <cell r="D61">
            <v>1.7680000000000001E-2</v>
          </cell>
          <cell r="E61">
            <v>0.43886999999999998</v>
          </cell>
          <cell r="F61">
            <v>0.21189</v>
          </cell>
          <cell r="G61">
            <v>0.10596</v>
          </cell>
          <cell r="H61">
            <v>0.22559999999999999</v>
          </cell>
        </row>
        <row r="62">
          <cell r="A62" t="str">
            <v>LEV65WP02A1</v>
          </cell>
          <cell r="B62">
            <v>37285</v>
          </cell>
          <cell r="C62" t="str">
            <v>02A1</v>
          </cell>
          <cell r="D62">
            <v>1.7680000000000001E-2</v>
          </cell>
          <cell r="E62">
            <v>0.43886999999999998</v>
          </cell>
          <cell r="F62">
            <v>0.21189</v>
          </cell>
          <cell r="G62">
            <v>0.10596</v>
          </cell>
          <cell r="H62">
            <v>0.22559999999999999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SNX08EP47A2</v>
          </cell>
          <cell r="B65">
            <v>37263</v>
          </cell>
          <cell r="C65" t="str">
            <v>47A2</v>
          </cell>
          <cell r="D65">
            <v>3.5369999999999999E-2</v>
          </cell>
          <cell r="E65">
            <v>0.50126000000000004</v>
          </cell>
          <cell r="F65">
            <v>0.16497000000000001</v>
          </cell>
          <cell r="G65">
            <v>0.10603</v>
          </cell>
          <cell r="H65">
            <v>0.19237000000000001</v>
          </cell>
        </row>
        <row r="66">
          <cell r="A66" t="str">
            <v>NYX08WP51A2</v>
          </cell>
          <cell r="B66">
            <v>37263</v>
          </cell>
          <cell r="C66" t="str">
            <v>51A2</v>
          </cell>
          <cell r="D66">
            <v>3.5369999999999999E-2</v>
          </cell>
          <cell r="E66">
            <v>0.50126000000000004</v>
          </cell>
          <cell r="F66">
            <v>0.16497000000000001</v>
          </cell>
          <cell r="G66">
            <v>0.10603</v>
          </cell>
          <cell r="H66">
            <v>0.19237000000000001</v>
          </cell>
        </row>
        <row r="67">
          <cell r="A67" t="str">
            <v>LEV64EP48A2</v>
          </cell>
          <cell r="B67">
            <v>37268</v>
          </cell>
          <cell r="C67" t="str">
            <v>48A2</v>
          </cell>
          <cell r="D67">
            <v>3.5369999999999999E-2</v>
          </cell>
          <cell r="E67">
            <v>0.50126000000000004</v>
          </cell>
          <cell r="F67">
            <v>0.16497000000000001</v>
          </cell>
          <cell r="G67">
            <v>0.10603</v>
          </cell>
          <cell r="H67">
            <v>0.19237000000000001</v>
          </cell>
        </row>
        <row r="68">
          <cell r="A68" t="str">
            <v>SHA27WP52A2</v>
          </cell>
          <cell r="B68">
            <v>37271</v>
          </cell>
          <cell r="C68" t="str">
            <v>52A2</v>
          </cell>
          <cell r="D68">
            <v>3.5369999999999999E-2</v>
          </cell>
          <cell r="E68">
            <v>0.50126000000000004</v>
          </cell>
          <cell r="F68">
            <v>0.16497000000000001</v>
          </cell>
          <cell r="G68">
            <v>0.10603</v>
          </cell>
          <cell r="H68">
            <v>0.19237000000000001</v>
          </cell>
        </row>
        <row r="69">
          <cell r="A69" t="str">
            <v>STU46EP49A2</v>
          </cell>
          <cell r="B69">
            <v>37275</v>
          </cell>
          <cell r="C69" t="str">
            <v>49A2</v>
          </cell>
          <cell r="D69">
            <v>3.5369999999999999E-2</v>
          </cell>
          <cell r="E69">
            <v>0.50126000000000004</v>
          </cell>
          <cell r="F69">
            <v>0.16497000000000001</v>
          </cell>
          <cell r="G69">
            <v>0.10603</v>
          </cell>
          <cell r="H69">
            <v>0.19237000000000001</v>
          </cell>
        </row>
        <row r="70">
          <cell r="A70" t="str">
            <v>SNX09WP01A2</v>
          </cell>
          <cell r="B70">
            <v>37277</v>
          </cell>
          <cell r="C70" t="str">
            <v>01A2</v>
          </cell>
          <cell r="D70">
            <v>3.5369999999999999E-2</v>
          </cell>
          <cell r="E70">
            <v>0.50126000000000004</v>
          </cell>
          <cell r="F70">
            <v>0.16497000000000001</v>
          </cell>
          <cell r="G70">
            <v>0.10603</v>
          </cell>
          <cell r="H70">
            <v>0.19237000000000001</v>
          </cell>
        </row>
        <row r="71">
          <cell r="A71" t="str">
            <v>ESS48EP50A2</v>
          </cell>
          <cell r="B71">
            <v>37282</v>
          </cell>
          <cell r="C71" t="str">
            <v>50A2</v>
          </cell>
          <cell r="D71">
            <v>3.5369999999999999E-2</v>
          </cell>
          <cell r="E71">
            <v>0.50126000000000004</v>
          </cell>
          <cell r="F71">
            <v>0.16497000000000001</v>
          </cell>
          <cell r="G71">
            <v>0.10603</v>
          </cell>
          <cell r="H71">
            <v>0.19237000000000001</v>
          </cell>
        </row>
        <row r="72">
          <cell r="A72" t="str">
            <v>LEV65WP02A2</v>
          </cell>
          <cell r="B72">
            <v>37285</v>
          </cell>
          <cell r="C72" t="str">
            <v>02A2</v>
          </cell>
          <cell r="D72">
            <v>3.5369999999999999E-2</v>
          </cell>
          <cell r="E72">
            <v>0.50126000000000004</v>
          </cell>
          <cell r="F72">
            <v>0.16497000000000001</v>
          </cell>
          <cell r="G72">
            <v>0.10603</v>
          </cell>
          <cell r="H72">
            <v>0.19237000000000001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A75" t="str">
            <v>SNX08EP47A3</v>
          </cell>
          <cell r="B75">
            <v>37263</v>
          </cell>
          <cell r="C75" t="str">
            <v>47A3</v>
          </cell>
          <cell r="D75">
            <v>5.305E-2</v>
          </cell>
          <cell r="E75">
            <v>0.56366000000000005</v>
          </cell>
          <cell r="F75">
            <v>0.11804000000000001</v>
          </cell>
          <cell r="G75">
            <v>0.1061</v>
          </cell>
          <cell r="H75">
            <v>0.15915000000000001</v>
          </cell>
        </row>
        <row r="76">
          <cell r="A76" t="str">
            <v>NYX08WP51A3</v>
          </cell>
          <cell r="B76">
            <v>37263</v>
          </cell>
          <cell r="C76" t="str">
            <v>51A3</v>
          </cell>
          <cell r="D76">
            <v>5.305E-2</v>
          </cell>
          <cell r="E76">
            <v>0.56366000000000005</v>
          </cell>
          <cell r="F76">
            <v>0.11804000000000001</v>
          </cell>
          <cell r="G76">
            <v>0.1061</v>
          </cell>
          <cell r="H76">
            <v>0.15915000000000001</v>
          </cell>
        </row>
        <row r="77">
          <cell r="A77" t="str">
            <v>LEV64EP48A3</v>
          </cell>
          <cell r="B77">
            <v>37268</v>
          </cell>
          <cell r="C77" t="str">
            <v>48A3</v>
          </cell>
          <cell r="D77">
            <v>5.305E-2</v>
          </cell>
          <cell r="E77">
            <v>0.56366000000000005</v>
          </cell>
          <cell r="F77">
            <v>0.11804000000000001</v>
          </cell>
          <cell r="G77">
            <v>0.1061</v>
          </cell>
          <cell r="H77">
            <v>0.15915000000000001</v>
          </cell>
        </row>
        <row r="78">
          <cell r="A78" t="str">
            <v>SHA27WP52A3</v>
          </cell>
          <cell r="B78">
            <v>37271</v>
          </cell>
          <cell r="C78" t="str">
            <v>52A3</v>
          </cell>
          <cell r="D78">
            <v>5.305E-2</v>
          </cell>
          <cell r="E78">
            <v>0.56366000000000005</v>
          </cell>
          <cell r="F78">
            <v>0.11804000000000001</v>
          </cell>
          <cell r="G78">
            <v>0.1061</v>
          </cell>
          <cell r="H78">
            <v>0.15915000000000001</v>
          </cell>
        </row>
        <row r="79">
          <cell r="A79" t="str">
            <v>STU46EP49A3</v>
          </cell>
          <cell r="B79">
            <v>37275</v>
          </cell>
          <cell r="C79" t="str">
            <v>49A3</v>
          </cell>
          <cell r="D79">
            <v>5.305E-2</v>
          </cell>
          <cell r="E79">
            <v>0.56366000000000005</v>
          </cell>
          <cell r="F79">
            <v>0.11804000000000001</v>
          </cell>
          <cell r="G79">
            <v>0.1061</v>
          </cell>
          <cell r="H79">
            <v>0.15915000000000001</v>
          </cell>
        </row>
        <row r="80">
          <cell r="A80" t="str">
            <v>SNX09WP01A3</v>
          </cell>
          <cell r="B80">
            <v>37277</v>
          </cell>
          <cell r="C80" t="str">
            <v>01A3</v>
          </cell>
          <cell r="D80">
            <v>5.305E-2</v>
          </cell>
          <cell r="E80">
            <v>0.56366000000000005</v>
          </cell>
          <cell r="F80">
            <v>0.11804000000000001</v>
          </cell>
          <cell r="G80">
            <v>0.1061</v>
          </cell>
          <cell r="H80">
            <v>0.15915000000000001</v>
          </cell>
        </row>
        <row r="81">
          <cell r="A81" t="str">
            <v>ESS48EP50A3</v>
          </cell>
          <cell r="B81">
            <v>37282</v>
          </cell>
          <cell r="C81" t="str">
            <v>50A3</v>
          </cell>
          <cell r="D81">
            <v>5.305E-2</v>
          </cell>
          <cell r="E81">
            <v>0.56366000000000005</v>
          </cell>
          <cell r="F81">
            <v>0.11804000000000001</v>
          </cell>
          <cell r="G81">
            <v>0.1061</v>
          </cell>
          <cell r="H81">
            <v>0.15915000000000001</v>
          </cell>
        </row>
        <row r="82">
          <cell r="A82" t="str">
            <v>LEV65WP02A3</v>
          </cell>
          <cell r="B82">
            <v>37285</v>
          </cell>
          <cell r="C82" t="str">
            <v>02A3</v>
          </cell>
          <cell r="D82">
            <v>5.305E-2</v>
          </cell>
          <cell r="E82">
            <v>0.56366000000000005</v>
          </cell>
          <cell r="F82">
            <v>0.11804000000000001</v>
          </cell>
          <cell r="G82">
            <v>0.1061</v>
          </cell>
          <cell r="H82">
            <v>0.15915000000000001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>
        <row r="2">
          <cell r="A2">
            <v>36515</v>
          </cell>
          <cell r="B2" t="str">
            <v>South Korea</v>
          </cell>
          <cell r="C2">
            <v>151</v>
          </cell>
          <cell r="D2">
            <v>152</v>
          </cell>
          <cell r="E2">
            <v>151.5</v>
          </cell>
          <cell r="F2">
            <v>220</v>
          </cell>
          <cell r="G2">
            <v>225</v>
          </cell>
          <cell r="H2">
            <v>222.5</v>
          </cell>
        </row>
        <row r="3">
          <cell r="A3">
            <v>36516</v>
          </cell>
          <cell r="B3" t="str">
            <v>South Korea</v>
          </cell>
          <cell r="C3">
            <v>152</v>
          </cell>
          <cell r="D3">
            <v>153</v>
          </cell>
          <cell r="E3">
            <v>152.5</v>
          </cell>
          <cell r="F3">
            <v>220</v>
          </cell>
          <cell r="G3">
            <v>225</v>
          </cell>
          <cell r="H3">
            <v>222.5</v>
          </cell>
        </row>
        <row r="4">
          <cell r="A4">
            <v>36517</v>
          </cell>
          <cell r="B4" t="str">
            <v>South Korea</v>
          </cell>
          <cell r="C4">
            <v>152</v>
          </cell>
          <cell r="D4">
            <v>153</v>
          </cell>
          <cell r="E4">
            <v>152.5</v>
          </cell>
          <cell r="F4">
            <v>220</v>
          </cell>
          <cell r="G4">
            <v>225</v>
          </cell>
          <cell r="H4">
            <v>222.5</v>
          </cell>
        </row>
        <row r="5">
          <cell r="A5">
            <v>36518</v>
          </cell>
          <cell r="B5" t="str">
            <v>South Korea</v>
          </cell>
          <cell r="C5">
            <v>152</v>
          </cell>
          <cell r="D5">
            <v>153</v>
          </cell>
          <cell r="E5">
            <v>152.5</v>
          </cell>
          <cell r="F5">
            <v>220</v>
          </cell>
          <cell r="G5">
            <v>225</v>
          </cell>
          <cell r="H5">
            <v>222.5</v>
          </cell>
        </row>
        <row r="6">
          <cell r="A6">
            <v>36522</v>
          </cell>
          <cell r="B6" t="str">
            <v>South Korea</v>
          </cell>
          <cell r="C6">
            <v>150.5</v>
          </cell>
          <cell r="D6">
            <v>151.5</v>
          </cell>
          <cell r="E6">
            <v>151</v>
          </cell>
          <cell r="F6">
            <v>220</v>
          </cell>
          <cell r="G6">
            <v>225</v>
          </cell>
          <cell r="H6">
            <v>222.5</v>
          </cell>
        </row>
        <row r="7">
          <cell r="A7">
            <v>36523</v>
          </cell>
          <cell r="B7" t="str">
            <v>South Korea</v>
          </cell>
          <cell r="C7">
            <v>150.80000000000001</v>
          </cell>
          <cell r="D7">
            <v>151.5</v>
          </cell>
          <cell r="E7">
            <v>151.15</v>
          </cell>
          <cell r="F7">
            <v>220</v>
          </cell>
          <cell r="G7">
            <v>225</v>
          </cell>
          <cell r="H7">
            <v>222.5</v>
          </cell>
        </row>
        <row r="8">
          <cell r="A8">
            <v>36529</v>
          </cell>
          <cell r="B8" t="str">
            <v>South Korea</v>
          </cell>
          <cell r="C8">
            <v>149</v>
          </cell>
          <cell r="D8">
            <v>151</v>
          </cell>
          <cell r="E8">
            <v>150</v>
          </cell>
          <cell r="F8">
            <v>220</v>
          </cell>
          <cell r="G8">
            <v>225</v>
          </cell>
          <cell r="H8">
            <v>222.5</v>
          </cell>
        </row>
        <row r="9">
          <cell r="A9">
            <v>36530</v>
          </cell>
          <cell r="B9" t="str">
            <v>South Korea</v>
          </cell>
          <cell r="C9">
            <v>149</v>
          </cell>
          <cell r="D9">
            <v>151</v>
          </cell>
          <cell r="E9">
            <v>150</v>
          </cell>
          <cell r="F9">
            <v>220</v>
          </cell>
          <cell r="G9">
            <v>225</v>
          </cell>
          <cell r="H9">
            <v>222.5</v>
          </cell>
        </row>
        <row r="10">
          <cell r="A10">
            <v>36531</v>
          </cell>
          <cell r="B10" t="str">
            <v>South Korea</v>
          </cell>
          <cell r="C10">
            <v>146</v>
          </cell>
          <cell r="D10">
            <v>148</v>
          </cell>
          <cell r="E10">
            <v>147</v>
          </cell>
          <cell r="F10">
            <v>220</v>
          </cell>
          <cell r="G10">
            <v>225</v>
          </cell>
          <cell r="H10">
            <v>222.5</v>
          </cell>
        </row>
        <row r="11">
          <cell r="A11">
            <v>36532</v>
          </cell>
          <cell r="B11" t="str">
            <v>South Korea</v>
          </cell>
          <cell r="C11">
            <v>143</v>
          </cell>
          <cell r="D11">
            <v>145</v>
          </cell>
          <cell r="E11">
            <v>144</v>
          </cell>
          <cell r="F11">
            <v>220</v>
          </cell>
          <cell r="G11">
            <v>225</v>
          </cell>
          <cell r="H11">
            <v>222.5</v>
          </cell>
        </row>
        <row r="12">
          <cell r="A12">
            <v>36536</v>
          </cell>
          <cell r="B12" t="str">
            <v>South Korea</v>
          </cell>
          <cell r="C12">
            <v>143</v>
          </cell>
          <cell r="D12">
            <v>144</v>
          </cell>
          <cell r="E12">
            <v>143.5</v>
          </cell>
          <cell r="F12">
            <v>220</v>
          </cell>
          <cell r="G12">
            <v>225</v>
          </cell>
          <cell r="H12">
            <v>222.5</v>
          </cell>
        </row>
        <row r="13">
          <cell r="A13">
            <v>36537</v>
          </cell>
          <cell r="B13" t="str">
            <v>South Korea</v>
          </cell>
          <cell r="C13">
            <v>140</v>
          </cell>
          <cell r="D13">
            <v>142</v>
          </cell>
          <cell r="E13">
            <v>141</v>
          </cell>
          <cell r="F13">
            <v>220</v>
          </cell>
          <cell r="G13">
            <v>225</v>
          </cell>
          <cell r="H13">
            <v>222.5</v>
          </cell>
        </row>
        <row r="14">
          <cell r="A14">
            <v>36538</v>
          </cell>
          <cell r="B14" t="str">
            <v>South Korea</v>
          </cell>
          <cell r="C14">
            <v>139</v>
          </cell>
          <cell r="D14">
            <v>141</v>
          </cell>
          <cell r="E14">
            <v>140</v>
          </cell>
          <cell r="F14">
            <v>220</v>
          </cell>
          <cell r="G14">
            <v>225</v>
          </cell>
          <cell r="H14">
            <v>222.5</v>
          </cell>
        </row>
        <row r="15">
          <cell r="A15">
            <v>36539</v>
          </cell>
          <cell r="B15" t="str">
            <v>South Korea</v>
          </cell>
          <cell r="C15">
            <v>138</v>
          </cell>
          <cell r="D15">
            <v>139</v>
          </cell>
          <cell r="E15">
            <v>138.5</v>
          </cell>
          <cell r="F15">
            <v>220</v>
          </cell>
          <cell r="G15">
            <v>225</v>
          </cell>
          <cell r="H15">
            <v>222.5</v>
          </cell>
        </row>
        <row r="16">
          <cell r="A16">
            <v>36542</v>
          </cell>
          <cell r="B16" t="str">
            <v>South Korea</v>
          </cell>
          <cell r="C16">
            <v>138</v>
          </cell>
          <cell r="D16">
            <v>140</v>
          </cell>
          <cell r="E16">
            <v>139</v>
          </cell>
          <cell r="F16">
            <v>220</v>
          </cell>
          <cell r="G16">
            <v>225</v>
          </cell>
          <cell r="H16">
            <v>222.5</v>
          </cell>
        </row>
        <row r="17">
          <cell r="A17">
            <v>36543</v>
          </cell>
          <cell r="B17" t="str">
            <v>South Korea</v>
          </cell>
          <cell r="C17">
            <v>139</v>
          </cell>
          <cell r="D17">
            <v>141</v>
          </cell>
          <cell r="E17">
            <v>140</v>
          </cell>
          <cell r="F17">
            <v>225</v>
          </cell>
          <cell r="G17">
            <v>230</v>
          </cell>
          <cell r="H17">
            <v>227.5</v>
          </cell>
        </row>
        <row r="18">
          <cell r="A18">
            <v>36544</v>
          </cell>
          <cell r="B18" t="str">
            <v>South Korea</v>
          </cell>
          <cell r="C18">
            <v>145</v>
          </cell>
          <cell r="D18">
            <v>146</v>
          </cell>
          <cell r="E18">
            <v>145.5</v>
          </cell>
          <cell r="F18">
            <v>230</v>
          </cell>
          <cell r="G18">
            <v>235</v>
          </cell>
          <cell r="H18">
            <v>232.5</v>
          </cell>
        </row>
        <row r="19">
          <cell r="A19">
            <v>36545</v>
          </cell>
          <cell r="B19" t="str">
            <v>South Korea</v>
          </cell>
          <cell r="C19">
            <v>144</v>
          </cell>
          <cell r="D19">
            <v>145</v>
          </cell>
          <cell r="E19">
            <v>144.5</v>
          </cell>
          <cell r="F19">
            <v>230</v>
          </cell>
          <cell r="G19">
            <v>235</v>
          </cell>
          <cell r="H19">
            <v>232.5</v>
          </cell>
        </row>
        <row r="20">
          <cell r="A20">
            <v>36546</v>
          </cell>
          <cell r="B20" t="str">
            <v>South Korea</v>
          </cell>
          <cell r="C20">
            <v>144</v>
          </cell>
          <cell r="D20">
            <v>145</v>
          </cell>
          <cell r="E20">
            <v>144.5</v>
          </cell>
          <cell r="F20">
            <v>230</v>
          </cell>
          <cell r="G20">
            <v>235</v>
          </cell>
          <cell r="H20">
            <v>232.5</v>
          </cell>
        </row>
        <row r="21">
          <cell r="A21">
            <v>36549</v>
          </cell>
          <cell r="B21" t="str">
            <v>South Korea</v>
          </cell>
          <cell r="C21">
            <v>147</v>
          </cell>
          <cell r="D21">
            <v>149</v>
          </cell>
          <cell r="E21">
            <v>148</v>
          </cell>
          <cell r="F21">
            <v>250</v>
          </cell>
          <cell r="G21">
            <v>255</v>
          </cell>
          <cell r="H21">
            <v>252.5</v>
          </cell>
        </row>
        <row r="22">
          <cell r="A22">
            <v>36550</v>
          </cell>
          <cell r="B22" t="str">
            <v>South Korea</v>
          </cell>
          <cell r="C22">
            <v>148</v>
          </cell>
          <cell r="D22">
            <v>149</v>
          </cell>
          <cell r="E22">
            <v>148.5</v>
          </cell>
          <cell r="F22">
            <v>250</v>
          </cell>
          <cell r="G22">
            <v>255</v>
          </cell>
          <cell r="H22">
            <v>252.5</v>
          </cell>
        </row>
        <row r="23">
          <cell r="A23">
            <v>36551</v>
          </cell>
          <cell r="B23" t="str">
            <v>South Korea</v>
          </cell>
          <cell r="C23">
            <v>145.5</v>
          </cell>
          <cell r="D23">
            <v>146</v>
          </cell>
          <cell r="E23">
            <v>145.75</v>
          </cell>
          <cell r="F23">
            <v>250</v>
          </cell>
          <cell r="G23">
            <v>255</v>
          </cell>
          <cell r="H23">
            <v>252.5</v>
          </cell>
        </row>
        <row r="24">
          <cell r="A24">
            <v>36552</v>
          </cell>
          <cell r="B24" t="str">
            <v>South Korea</v>
          </cell>
          <cell r="C24">
            <v>144</v>
          </cell>
          <cell r="D24">
            <v>146</v>
          </cell>
          <cell r="E24">
            <v>145</v>
          </cell>
          <cell r="F24">
            <v>250</v>
          </cell>
          <cell r="G24">
            <v>255</v>
          </cell>
          <cell r="H24">
            <v>252.5</v>
          </cell>
        </row>
        <row r="25">
          <cell r="A25">
            <v>36553</v>
          </cell>
          <cell r="B25" t="str">
            <v>South Korea</v>
          </cell>
          <cell r="C25">
            <v>143</v>
          </cell>
          <cell r="D25">
            <v>145</v>
          </cell>
          <cell r="E25">
            <v>144</v>
          </cell>
          <cell r="F25">
            <v>250</v>
          </cell>
          <cell r="G25">
            <v>255</v>
          </cell>
          <cell r="H25">
            <v>252.5</v>
          </cell>
        </row>
        <row r="26">
          <cell r="A26">
            <v>36556</v>
          </cell>
          <cell r="B26" t="str">
            <v>South Korea</v>
          </cell>
          <cell r="C26">
            <v>142</v>
          </cell>
          <cell r="D26">
            <v>144</v>
          </cell>
          <cell r="E26">
            <v>143</v>
          </cell>
          <cell r="F26">
            <v>250</v>
          </cell>
          <cell r="G26">
            <v>255</v>
          </cell>
          <cell r="H26">
            <v>252.5</v>
          </cell>
        </row>
        <row r="27">
          <cell r="A27">
            <v>36557</v>
          </cell>
          <cell r="B27" t="str">
            <v>South Korea</v>
          </cell>
          <cell r="C27">
            <v>143</v>
          </cell>
          <cell r="D27">
            <v>145</v>
          </cell>
          <cell r="E27">
            <v>144</v>
          </cell>
          <cell r="F27">
            <v>250</v>
          </cell>
          <cell r="G27">
            <v>255</v>
          </cell>
          <cell r="H27">
            <v>252.5</v>
          </cell>
        </row>
        <row r="28">
          <cell r="A28">
            <v>36558</v>
          </cell>
          <cell r="B28" t="str">
            <v>South Korea</v>
          </cell>
          <cell r="C28">
            <v>145</v>
          </cell>
          <cell r="D28">
            <v>147</v>
          </cell>
          <cell r="E28">
            <v>146</v>
          </cell>
          <cell r="F28">
            <v>250</v>
          </cell>
          <cell r="G28">
            <v>255</v>
          </cell>
          <cell r="H28">
            <v>252.5</v>
          </cell>
        </row>
        <row r="29">
          <cell r="A29">
            <v>36559</v>
          </cell>
          <cell r="B29" t="str">
            <v>South Korea</v>
          </cell>
          <cell r="C29">
            <v>143</v>
          </cell>
          <cell r="D29">
            <v>145</v>
          </cell>
          <cell r="E29">
            <v>144</v>
          </cell>
          <cell r="F29">
            <v>250</v>
          </cell>
          <cell r="G29">
            <v>255</v>
          </cell>
          <cell r="H29">
            <v>252.5</v>
          </cell>
        </row>
        <row r="30">
          <cell r="A30">
            <v>36565</v>
          </cell>
          <cell r="B30" t="str">
            <v>South Korea</v>
          </cell>
          <cell r="C30">
            <v>143</v>
          </cell>
          <cell r="D30">
            <v>145</v>
          </cell>
          <cell r="E30">
            <v>144</v>
          </cell>
          <cell r="F30">
            <v>250</v>
          </cell>
          <cell r="G30">
            <v>255</v>
          </cell>
          <cell r="H30">
            <v>252.5</v>
          </cell>
        </row>
        <row r="31">
          <cell r="A31">
            <v>36566</v>
          </cell>
          <cell r="B31" t="str">
            <v>South Korea</v>
          </cell>
          <cell r="C31">
            <v>143</v>
          </cell>
          <cell r="D31">
            <v>145</v>
          </cell>
          <cell r="E31">
            <v>144</v>
          </cell>
          <cell r="F31">
            <v>250</v>
          </cell>
          <cell r="G31">
            <v>255</v>
          </cell>
          <cell r="H31">
            <v>252.5</v>
          </cell>
        </row>
        <row r="32">
          <cell r="A32">
            <v>36567</v>
          </cell>
          <cell r="B32" t="str">
            <v>South Korea</v>
          </cell>
          <cell r="C32">
            <v>144</v>
          </cell>
          <cell r="D32">
            <v>146</v>
          </cell>
          <cell r="E32">
            <v>145</v>
          </cell>
          <cell r="F32">
            <v>250</v>
          </cell>
          <cell r="G32">
            <v>255</v>
          </cell>
          <cell r="H32">
            <v>252.5</v>
          </cell>
        </row>
        <row r="33">
          <cell r="A33">
            <v>36570</v>
          </cell>
          <cell r="B33" t="str">
            <v>South Korea</v>
          </cell>
          <cell r="C33">
            <v>143</v>
          </cell>
          <cell r="D33">
            <v>144</v>
          </cell>
          <cell r="E33">
            <v>143.5</v>
          </cell>
          <cell r="F33">
            <v>250</v>
          </cell>
          <cell r="G33">
            <v>255</v>
          </cell>
          <cell r="H33">
            <v>252.5</v>
          </cell>
        </row>
        <row r="34">
          <cell r="A34">
            <v>36571</v>
          </cell>
          <cell r="B34" t="str">
            <v>South Korea</v>
          </cell>
          <cell r="C34">
            <v>145.5</v>
          </cell>
          <cell r="D34">
            <v>146</v>
          </cell>
          <cell r="E34">
            <v>145.75</v>
          </cell>
          <cell r="F34">
            <v>250</v>
          </cell>
          <cell r="G34">
            <v>255</v>
          </cell>
          <cell r="H34">
            <v>252.5</v>
          </cell>
        </row>
        <row r="35">
          <cell r="A35">
            <v>36572</v>
          </cell>
          <cell r="B35" t="str">
            <v>South Korea</v>
          </cell>
          <cell r="C35">
            <v>147.80000000000001</v>
          </cell>
          <cell r="D35">
            <v>148.80000000000001</v>
          </cell>
          <cell r="E35">
            <v>148.30000000000001</v>
          </cell>
          <cell r="F35">
            <v>250</v>
          </cell>
          <cell r="G35">
            <v>255</v>
          </cell>
          <cell r="H35">
            <v>252.5</v>
          </cell>
        </row>
        <row r="36">
          <cell r="A36">
            <v>36573</v>
          </cell>
          <cell r="B36" t="str">
            <v>South Korea</v>
          </cell>
          <cell r="C36">
            <v>148</v>
          </cell>
          <cell r="D36">
            <v>149</v>
          </cell>
          <cell r="E36">
            <v>148.5</v>
          </cell>
          <cell r="F36">
            <v>250</v>
          </cell>
          <cell r="G36">
            <v>255</v>
          </cell>
          <cell r="H36">
            <v>252.5</v>
          </cell>
        </row>
        <row r="37">
          <cell r="A37">
            <v>36574</v>
          </cell>
          <cell r="B37" t="str">
            <v>South Korea</v>
          </cell>
          <cell r="C37">
            <v>148</v>
          </cell>
          <cell r="D37">
            <v>149</v>
          </cell>
          <cell r="E37">
            <v>148.5</v>
          </cell>
          <cell r="F37">
            <v>250</v>
          </cell>
          <cell r="G37">
            <v>255</v>
          </cell>
          <cell r="H37">
            <v>252.5</v>
          </cell>
        </row>
        <row r="38">
          <cell r="A38">
            <v>36577</v>
          </cell>
          <cell r="B38" t="str">
            <v>South Korea</v>
          </cell>
          <cell r="C38">
            <v>146</v>
          </cell>
          <cell r="D38">
            <v>148</v>
          </cell>
          <cell r="E38">
            <v>147</v>
          </cell>
          <cell r="F38">
            <v>250</v>
          </cell>
          <cell r="G38">
            <v>255</v>
          </cell>
          <cell r="H38">
            <v>252.5</v>
          </cell>
        </row>
        <row r="39">
          <cell r="A39">
            <v>36578</v>
          </cell>
          <cell r="B39" t="str">
            <v>South Korea</v>
          </cell>
          <cell r="C39">
            <v>144</v>
          </cell>
          <cell r="D39">
            <v>145</v>
          </cell>
          <cell r="E39">
            <v>144.5</v>
          </cell>
          <cell r="F39">
            <v>250</v>
          </cell>
          <cell r="G39">
            <v>255</v>
          </cell>
          <cell r="H39">
            <v>252.5</v>
          </cell>
        </row>
        <row r="40">
          <cell r="A40">
            <v>36579</v>
          </cell>
          <cell r="B40" t="str">
            <v>South Korea</v>
          </cell>
          <cell r="C40">
            <v>144</v>
          </cell>
          <cell r="D40">
            <v>146</v>
          </cell>
          <cell r="E40">
            <v>145</v>
          </cell>
          <cell r="F40">
            <v>250</v>
          </cell>
          <cell r="G40">
            <v>255</v>
          </cell>
          <cell r="H40">
            <v>252.5</v>
          </cell>
        </row>
        <row r="41">
          <cell r="A41">
            <v>36580</v>
          </cell>
          <cell r="B41" t="str">
            <v>South Korea</v>
          </cell>
          <cell r="C41">
            <v>151</v>
          </cell>
          <cell r="D41">
            <v>153</v>
          </cell>
          <cell r="E41">
            <v>152</v>
          </cell>
          <cell r="F41">
            <v>250</v>
          </cell>
          <cell r="G41">
            <v>255</v>
          </cell>
          <cell r="H41">
            <v>252.5</v>
          </cell>
        </row>
        <row r="42">
          <cell r="A42">
            <v>36581</v>
          </cell>
          <cell r="B42" t="str">
            <v>South Korea</v>
          </cell>
          <cell r="C42">
            <v>152.5</v>
          </cell>
          <cell r="D42">
            <v>154</v>
          </cell>
          <cell r="E42">
            <v>153.25</v>
          </cell>
          <cell r="F42">
            <v>250</v>
          </cell>
          <cell r="G42">
            <v>255</v>
          </cell>
          <cell r="H42">
            <v>252.5</v>
          </cell>
        </row>
        <row r="43">
          <cell r="A43">
            <v>36584</v>
          </cell>
          <cell r="B43" t="str">
            <v>South Korea</v>
          </cell>
          <cell r="C43">
            <v>154</v>
          </cell>
          <cell r="D43">
            <v>155</v>
          </cell>
          <cell r="E43">
            <v>154.5</v>
          </cell>
          <cell r="F43">
            <v>250</v>
          </cell>
          <cell r="G43">
            <v>255</v>
          </cell>
          <cell r="H43">
            <v>252.5</v>
          </cell>
        </row>
        <row r="44">
          <cell r="A44">
            <v>36585</v>
          </cell>
          <cell r="B44" t="str">
            <v>South Korea</v>
          </cell>
          <cell r="C44">
            <v>157</v>
          </cell>
          <cell r="D44">
            <v>159</v>
          </cell>
          <cell r="E44">
            <v>158</v>
          </cell>
          <cell r="F44">
            <v>250</v>
          </cell>
          <cell r="G44">
            <v>255</v>
          </cell>
          <cell r="H44">
            <v>252.5</v>
          </cell>
        </row>
        <row r="45">
          <cell r="A45">
            <v>36587</v>
          </cell>
          <cell r="B45" t="str">
            <v>South Korea</v>
          </cell>
          <cell r="C45">
            <v>166</v>
          </cell>
          <cell r="D45">
            <v>168</v>
          </cell>
          <cell r="E45">
            <v>167</v>
          </cell>
          <cell r="F45">
            <v>270</v>
          </cell>
          <cell r="G45">
            <v>275</v>
          </cell>
          <cell r="H45">
            <v>272.5</v>
          </cell>
        </row>
        <row r="46">
          <cell r="A46">
            <v>36588</v>
          </cell>
          <cell r="B46" t="str">
            <v>South Korea</v>
          </cell>
          <cell r="C46">
            <v>173</v>
          </cell>
          <cell r="D46">
            <v>174</v>
          </cell>
          <cell r="E46">
            <v>173.5</v>
          </cell>
          <cell r="F46">
            <v>270</v>
          </cell>
          <cell r="G46">
            <v>275</v>
          </cell>
          <cell r="H46">
            <v>272.5</v>
          </cell>
        </row>
        <row r="47">
          <cell r="A47">
            <v>36591</v>
          </cell>
          <cell r="B47" t="str">
            <v>South Korea</v>
          </cell>
          <cell r="C47">
            <v>179</v>
          </cell>
          <cell r="D47">
            <v>181</v>
          </cell>
          <cell r="E47">
            <v>180</v>
          </cell>
          <cell r="F47">
            <v>270</v>
          </cell>
          <cell r="G47">
            <v>275</v>
          </cell>
          <cell r="H47">
            <v>272.5</v>
          </cell>
        </row>
        <row r="48">
          <cell r="A48">
            <v>36592</v>
          </cell>
          <cell r="B48" t="str">
            <v>South Korea</v>
          </cell>
          <cell r="C48">
            <v>195</v>
          </cell>
          <cell r="D48">
            <v>197</v>
          </cell>
          <cell r="E48">
            <v>196</v>
          </cell>
          <cell r="F48">
            <v>290</v>
          </cell>
          <cell r="G48">
            <v>295</v>
          </cell>
          <cell r="H48">
            <v>292.5</v>
          </cell>
        </row>
        <row r="49">
          <cell r="A49">
            <v>36593</v>
          </cell>
          <cell r="B49" t="str">
            <v>South Korea</v>
          </cell>
          <cell r="C49">
            <v>204</v>
          </cell>
          <cell r="D49">
            <v>206</v>
          </cell>
          <cell r="E49">
            <v>205</v>
          </cell>
          <cell r="F49">
            <v>300</v>
          </cell>
          <cell r="G49">
            <v>305</v>
          </cell>
          <cell r="H49">
            <v>302.5</v>
          </cell>
        </row>
        <row r="50">
          <cell r="A50">
            <v>36594</v>
          </cell>
          <cell r="B50" t="str">
            <v>South Korea</v>
          </cell>
          <cell r="C50">
            <v>198</v>
          </cell>
          <cell r="D50">
            <v>200</v>
          </cell>
          <cell r="E50">
            <v>199</v>
          </cell>
          <cell r="F50">
            <v>300</v>
          </cell>
          <cell r="G50">
            <v>305</v>
          </cell>
          <cell r="H50">
            <v>302.5</v>
          </cell>
        </row>
        <row r="51">
          <cell r="A51">
            <v>36595</v>
          </cell>
          <cell r="B51" t="str">
            <v>South Korea</v>
          </cell>
          <cell r="C51">
            <v>193</v>
          </cell>
          <cell r="D51">
            <v>195</v>
          </cell>
          <cell r="E51">
            <v>194</v>
          </cell>
          <cell r="F51">
            <v>300</v>
          </cell>
          <cell r="G51">
            <v>305</v>
          </cell>
          <cell r="H51">
            <v>302.5</v>
          </cell>
        </row>
        <row r="52">
          <cell r="A52">
            <v>36598</v>
          </cell>
          <cell r="B52" t="str">
            <v>South Korea</v>
          </cell>
          <cell r="C52">
            <v>186</v>
          </cell>
          <cell r="D52">
            <v>187</v>
          </cell>
          <cell r="E52">
            <v>186.5</v>
          </cell>
          <cell r="F52">
            <v>280</v>
          </cell>
          <cell r="G52">
            <v>285</v>
          </cell>
          <cell r="H52">
            <v>282.5</v>
          </cell>
        </row>
        <row r="53">
          <cell r="A53">
            <v>36599</v>
          </cell>
          <cell r="B53" t="str">
            <v>South Korea</v>
          </cell>
          <cell r="C53">
            <v>181.5</v>
          </cell>
          <cell r="D53">
            <v>182</v>
          </cell>
          <cell r="E53">
            <v>181.75</v>
          </cell>
          <cell r="F53">
            <v>280</v>
          </cell>
          <cell r="G53">
            <v>285</v>
          </cell>
          <cell r="H53">
            <v>282.5</v>
          </cell>
        </row>
        <row r="54">
          <cell r="A54">
            <v>36600</v>
          </cell>
          <cell r="B54" t="str">
            <v>South Korea</v>
          </cell>
          <cell r="C54">
            <v>180</v>
          </cell>
          <cell r="D54">
            <v>181</v>
          </cell>
          <cell r="E54">
            <v>180.5</v>
          </cell>
          <cell r="F54">
            <v>280</v>
          </cell>
          <cell r="G54">
            <v>285</v>
          </cell>
          <cell r="H54">
            <v>282.5</v>
          </cell>
        </row>
        <row r="55">
          <cell r="A55">
            <v>36600</v>
          </cell>
          <cell r="B55" t="str">
            <v>South Korea</v>
          </cell>
          <cell r="C55">
            <v>180</v>
          </cell>
          <cell r="D55">
            <v>181</v>
          </cell>
          <cell r="E55">
            <v>180.5</v>
          </cell>
          <cell r="F55">
            <v>280</v>
          </cell>
          <cell r="G55">
            <v>285</v>
          </cell>
          <cell r="H55">
            <v>282.5</v>
          </cell>
        </row>
        <row r="56">
          <cell r="A56">
            <v>36605</v>
          </cell>
          <cell r="B56" t="str">
            <v>South Korea</v>
          </cell>
          <cell r="C56">
            <v>169</v>
          </cell>
          <cell r="D56">
            <v>171</v>
          </cell>
          <cell r="E56">
            <v>170</v>
          </cell>
          <cell r="F56">
            <v>275</v>
          </cell>
          <cell r="G56">
            <v>280</v>
          </cell>
          <cell r="H56">
            <v>277.5</v>
          </cell>
        </row>
        <row r="57">
          <cell r="A57">
            <v>36606</v>
          </cell>
          <cell r="B57" t="str">
            <v>South Korea</v>
          </cell>
          <cell r="C57">
            <v>158</v>
          </cell>
          <cell r="D57">
            <v>159</v>
          </cell>
          <cell r="E57">
            <v>158.5</v>
          </cell>
          <cell r="F57">
            <v>265</v>
          </cell>
          <cell r="G57">
            <v>275</v>
          </cell>
          <cell r="H57">
            <v>270</v>
          </cell>
        </row>
        <row r="58">
          <cell r="A58">
            <v>36607</v>
          </cell>
          <cell r="B58" t="str">
            <v>South Korea</v>
          </cell>
          <cell r="C58">
            <v>151</v>
          </cell>
          <cell r="D58">
            <v>154</v>
          </cell>
          <cell r="E58">
            <v>152.5</v>
          </cell>
          <cell r="F58">
            <v>265</v>
          </cell>
          <cell r="G58">
            <v>275</v>
          </cell>
          <cell r="H58">
            <v>270</v>
          </cell>
        </row>
        <row r="59">
          <cell r="A59">
            <v>36608</v>
          </cell>
          <cell r="B59" t="str">
            <v>South Korea</v>
          </cell>
          <cell r="C59">
            <v>150</v>
          </cell>
          <cell r="D59">
            <v>152</v>
          </cell>
          <cell r="E59">
            <v>151</v>
          </cell>
          <cell r="F59">
            <v>265</v>
          </cell>
          <cell r="G59">
            <v>275</v>
          </cell>
          <cell r="H59">
            <v>270</v>
          </cell>
        </row>
        <row r="60">
          <cell r="A60">
            <v>36609</v>
          </cell>
          <cell r="B60" t="str">
            <v>South Korea</v>
          </cell>
          <cell r="C60">
            <v>156</v>
          </cell>
          <cell r="D60">
            <v>158</v>
          </cell>
          <cell r="E60">
            <v>157</v>
          </cell>
          <cell r="F60">
            <v>265</v>
          </cell>
          <cell r="G60">
            <v>275</v>
          </cell>
          <cell r="H60">
            <v>270</v>
          </cell>
        </row>
        <row r="61">
          <cell r="A61">
            <v>36612</v>
          </cell>
          <cell r="B61" t="str">
            <v>South Korea</v>
          </cell>
          <cell r="C61">
            <v>159</v>
          </cell>
          <cell r="D61">
            <v>160</v>
          </cell>
          <cell r="E61">
            <v>159.5</v>
          </cell>
          <cell r="F61">
            <v>265</v>
          </cell>
          <cell r="G61">
            <v>275</v>
          </cell>
          <cell r="H61">
            <v>270</v>
          </cell>
        </row>
        <row r="62">
          <cell r="A62">
            <v>36613</v>
          </cell>
          <cell r="B62" t="str">
            <v>South Korea</v>
          </cell>
          <cell r="C62">
            <v>160</v>
          </cell>
          <cell r="D62">
            <v>163</v>
          </cell>
          <cell r="E62">
            <v>161.5</v>
          </cell>
          <cell r="F62">
            <v>270</v>
          </cell>
          <cell r="G62">
            <v>275</v>
          </cell>
          <cell r="H62">
            <v>272.5</v>
          </cell>
        </row>
        <row r="63">
          <cell r="A63">
            <v>36614</v>
          </cell>
          <cell r="B63" t="str">
            <v>South Korea</v>
          </cell>
          <cell r="C63">
            <v>162</v>
          </cell>
          <cell r="D63">
            <v>164</v>
          </cell>
          <cell r="E63">
            <v>163</v>
          </cell>
          <cell r="F63">
            <v>270</v>
          </cell>
          <cell r="G63">
            <v>275</v>
          </cell>
          <cell r="H63">
            <v>272.5</v>
          </cell>
        </row>
        <row r="64">
          <cell r="A64">
            <v>36615</v>
          </cell>
          <cell r="B64" t="str">
            <v>South Korea</v>
          </cell>
          <cell r="C64">
            <v>164</v>
          </cell>
          <cell r="D64">
            <v>166</v>
          </cell>
          <cell r="E64">
            <v>165</v>
          </cell>
          <cell r="F64">
            <v>270</v>
          </cell>
          <cell r="G64">
            <v>275</v>
          </cell>
          <cell r="H64">
            <v>272.5</v>
          </cell>
        </row>
        <row r="65">
          <cell r="A65">
            <v>36616</v>
          </cell>
          <cell r="B65" t="str">
            <v>South Korea</v>
          </cell>
          <cell r="C65">
            <v>166</v>
          </cell>
          <cell r="D65">
            <v>168</v>
          </cell>
          <cell r="E65">
            <v>167</v>
          </cell>
          <cell r="F65">
            <v>270</v>
          </cell>
          <cell r="G65">
            <v>275</v>
          </cell>
          <cell r="H65">
            <v>272.5</v>
          </cell>
        </row>
        <row r="66">
          <cell r="A66">
            <v>36619</v>
          </cell>
          <cell r="B66" t="str">
            <v>South Korea</v>
          </cell>
          <cell r="C66">
            <v>174</v>
          </cell>
          <cell r="D66">
            <v>175</v>
          </cell>
          <cell r="E66">
            <v>174.5</v>
          </cell>
          <cell r="F66">
            <v>270</v>
          </cell>
          <cell r="G66">
            <v>275</v>
          </cell>
          <cell r="H66">
            <v>272.5</v>
          </cell>
        </row>
        <row r="67">
          <cell r="A67">
            <v>36620</v>
          </cell>
          <cell r="B67" t="str">
            <v>South Korea</v>
          </cell>
          <cell r="C67">
            <v>173</v>
          </cell>
          <cell r="D67">
            <v>174</v>
          </cell>
          <cell r="E67">
            <v>173.5</v>
          </cell>
          <cell r="F67">
            <v>270</v>
          </cell>
          <cell r="G67">
            <v>275</v>
          </cell>
          <cell r="H67">
            <v>272.5</v>
          </cell>
        </row>
        <row r="68">
          <cell r="A68">
            <v>36621</v>
          </cell>
          <cell r="B68" t="str">
            <v>South Korea</v>
          </cell>
          <cell r="C68">
            <v>173</v>
          </cell>
          <cell r="D68">
            <v>174</v>
          </cell>
          <cell r="E68">
            <v>173.5</v>
          </cell>
          <cell r="F68">
            <v>270</v>
          </cell>
          <cell r="G68">
            <v>275</v>
          </cell>
          <cell r="H68">
            <v>272.5</v>
          </cell>
        </row>
        <row r="69">
          <cell r="A69">
            <v>36622</v>
          </cell>
          <cell r="B69" t="str">
            <v>South Korea</v>
          </cell>
          <cell r="C69">
            <v>165</v>
          </cell>
          <cell r="D69">
            <v>167</v>
          </cell>
          <cell r="E69">
            <v>166</v>
          </cell>
          <cell r="F69">
            <v>270</v>
          </cell>
          <cell r="G69">
            <v>275</v>
          </cell>
          <cell r="H69">
            <v>272.5</v>
          </cell>
        </row>
        <row r="70">
          <cell r="A70">
            <v>36623</v>
          </cell>
          <cell r="B70" t="str">
            <v>South Korea</v>
          </cell>
          <cell r="C70">
            <v>163</v>
          </cell>
          <cell r="D70">
            <v>164</v>
          </cell>
          <cell r="E70">
            <v>163.5</v>
          </cell>
          <cell r="F70">
            <v>260</v>
          </cell>
          <cell r="G70">
            <v>265</v>
          </cell>
          <cell r="H70">
            <v>262.5</v>
          </cell>
        </row>
        <row r="71">
          <cell r="A71">
            <v>36626</v>
          </cell>
          <cell r="B71" t="str">
            <v>South Korea</v>
          </cell>
          <cell r="C71">
            <v>156</v>
          </cell>
          <cell r="D71">
            <v>158</v>
          </cell>
          <cell r="E71">
            <v>157</v>
          </cell>
          <cell r="F71">
            <v>260</v>
          </cell>
          <cell r="G71">
            <v>265</v>
          </cell>
          <cell r="H71">
            <v>262.5</v>
          </cell>
        </row>
        <row r="72">
          <cell r="A72">
            <v>36627</v>
          </cell>
          <cell r="B72" t="str">
            <v>South Korea</v>
          </cell>
          <cell r="C72">
            <v>151</v>
          </cell>
          <cell r="D72">
            <v>153</v>
          </cell>
          <cell r="E72">
            <v>152</v>
          </cell>
          <cell r="F72">
            <v>250</v>
          </cell>
          <cell r="G72">
            <v>260</v>
          </cell>
          <cell r="H72">
            <v>255</v>
          </cell>
        </row>
        <row r="73">
          <cell r="A73">
            <v>36628</v>
          </cell>
          <cell r="B73" t="str">
            <v>South Korea</v>
          </cell>
          <cell r="C73">
            <v>153.5</v>
          </cell>
          <cell r="D73">
            <v>154</v>
          </cell>
          <cell r="E73">
            <v>153.75</v>
          </cell>
          <cell r="F73">
            <v>250</v>
          </cell>
          <cell r="G73">
            <v>260</v>
          </cell>
          <cell r="H73">
            <v>255</v>
          </cell>
        </row>
        <row r="74">
          <cell r="A74">
            <v>36629</v>
          </cell>
          <cell r="B74" t="str">
            <v>South Korea</v>
          </cell>
          <cell r="C74">
            <v>153.5</v>
          </cell>
          <cell r="D74">
            <v>154</v>
          </cell>
          <cell r="E74">
            <v>153.75</v>
          </cell>
          <cell r="F74">
            <v>250</v>
          </cell>
          <cell r="G74">
            <v>260</v>
          </cell>
          <cell r="H74">
            <v>255</v>
          </cell>
        </row>
        <row r="75">
          <cell r="A75">
            <v>36630</v>
          </cell>
          <cell r="B75" t="str">
            <v>South Korea</v>
          </cell>
          <cell r="C75">
            <v>162</v>
          </cell>
          <cell r="D75">
            <v>164</v>
          </cell>
          <cell r="E75">
            <v>163</v>
          </cell>
          <cell r="F75">
            <v>250</v>
          </cell>
          <cell r="G75">
            <v>260</v>
          </cell>
          <cell r="H75">
            <v>255</v>
          </cell>
        </row>
        <row r="76">
          <cell r="A76">
            <v>36633</v>
          </cell>
          <cell r="B76" t="str">
            <v>South Korea</v>
          </cell>
          <cell r="C76">
            <v>163</v>
          </cell>
          <cell r="D76">
            <v>165</v>
          </cell>
          <cell r="E76">
            <v>164</v>
          </cell>
          <cell r="F76">
            <v>255</v>
          </cell>
          <cell r="G76">
            <v>260</v>
          </cell>
          <cell r="H76">
            <v>257.5</v>
          </cell>
        </row>
        <row r="77">
          <cell r="A77">
            <v>36634</v>
          </cell>
          <cell r="B77" t="str">
            <v>South Korea</v>
          </cell>
          <cell r="C77">
            <v>160</v>
          </cell>
          <cell r="D77">
            <v>162</v>
          </cell>
          <cell r="E77">
            <v>161</v>
          </cell>
          <cell r="F77">
            <v>255</v>
          </cell>
          <cell r="G77">
            <v>260</v>
          </cell>
          <cell r="H77">
            <v>257.5</v>
          </cell>
        </row>
        <row r="78">
          <cell r="A78">
            <v>36635</v>
          </cell>
          <cell r="B78" t="str">
            <v>South Korea</v>
          </cell>
          <cell r="C78">
            <v>168</v>
          </cell>
          <cell r="D78">
            <v>169</v>
          </cell>
          <cell r="E78">
            <v>168.5</v>
          </cell>
          <cell r="F78">
            <v>255</v>
          </cell>
          <cell r="G78">
            <v>260</v>
          </cell>
          <cell r="H78">
            <v>257.5</v>
          </cell>
        </row>
        <row r="79">
          <cell r="A79">
            <v>36636</v>
          </cell>
          <cell r="B79" t="str">
            <v>South Korea</v>
          </cell>
          <cell r="C79">
            <v>178</v>
          </cell>
          <cell r="D79">
            <v>180</v>
          </cell>
          <cell r="E79">
            <v>179</v>
          </cell>
          <cell r="F79">
            <v>255</v>
          </cell>
          <cell r="G79">
            <v>260</v>
          </cell>
          <cell r="H79">
            <v>257.5</v>
          </cell>
        </row>
        <row r="80">
          <cell r="A80">
            <v>36640</v>
          </cell>
          <cell r="B80" t="str">
            <v>South Korea</v>
          </cell>
          <cell r="C80">
            <v>183</v>
          </cell>
          <cell r="D80">
            <v>185</v>
          </cell>
          <cell r="E80">
            <v>184</v>
          </cell>
          <cell r="F80">
            <v>255</v>
          </cell>
          <cell r="G80">
            <v>260</v>
          </cell>
          <cell r="H80">
            <v>257.5</v>
          </cell>
        </row>
        <row r="81">
          <cell r="A81">
            <v>36641</v>
          </cell>
          <cell r="B81" t="str">
            <v>South Korea</v>
          </cell>
          <cell r="C81">
            <v>193</v>
          </cell>
          <cell r="D81">
            <v>195</v>
          </cell>
          <cell r="E81">
            <v>194</v>
          </cell>
          <cell r="F81">
            <v>255</v>
          </cell>
          <cell r="G81">
            <v>260</v>
          </cell>
          <cell r="H81">
            <v>257.5</v>
          </cell>
        </row>
        <row r="82">
          <cell r="A82">
            <v>36642</v>
          </cell>
          <cell r="B82" t="str">
            <v>South Korea</v>
          </cell>
          <cell r="C82">
            <v>192</v>
          </cell>
          <cell r="D82">
            <v>194</v>
          </cell>
          <cell r="E82">
            <v>193</v>
          </cell>
          <cell r="F82">
            <v>245</v>
          </cell>
          <cell r="G82">
            <v>255</v>
          </cell>
          <cell r="H82">
            <v>250</v>
          </cell>
        </row>
        <row r="83">
          <cell r="A83">
            <v>36643</v>
          </cell>
          <cell r="B83" t="str">
            <v>South Korea</v>
          </cell>
          <cell r="C83">
            <v>192</v>
          </cell>
          <cell r="D83">
            <v>194</v>
          </cell>
          <cell r="E83">
            <v>193</v>
          </cell>
          <cell r="F83">
            <v>245</v>
          </cell>
          <cell r="G83">
            <v>255</v>
          </cell>
          <cell r="H83">
            <v>250</v>
          </cell>
        </row>
        <row r="84">
          <cell r="A84">
            <v>36644</v>
          </cell>
          <cell r="B84" t="str">
            <v>South Korea</v>
          </cell>
          <cell r="C84">
            <v>192</v>
          </cell>
          <cell r="D84">
            <v>194</v>
          </cell>
          <cell r="E84">
            <v>193</v>
          </cell>
          <cell r="F84">
            <v>245</v>
          </cell>
          <cell r="G84">
            <v>255</v>
          </cell>
          <cell r="H84">
            <v>250</v>
          </cell>
        </row>
        <row r="85">
          <cell r="A85">
            <v>36645</v>
          </cell>
          <cell r="B85" t="str">
            <v>South Korea</v>
          </cell>
          <cell r="C85">
            <v>192</v>
          </cell>
          <cell r="D85">
            <v>194</v>
          </cell>
          <cell r="E85">
            <v>193</v>
          </cell>
          <cell r="F85">
            <v>245</v>
          </cell>
          <cell r="G85">
            <v>255</v>
          </cell>
          <cell r="H85">
            <v>250</v>
          </cell>
        </row>
        <row r="86">
          <cell r="A86">
            <v>36646</v>
          </cell>
          <cell r="B86" t="str">
            <v>South Korea</v>
          </cell>
          <cell r="C86">
            <v>192</v>
          </cell>
          <cell r="D86">
            <v>194</v>
          </cell>
          <cell r="E86">
            <v>193</v>
          </cell>
          <cell r="F86">
            <v>245</v>
          </cell>
          <cell r="G86">
            <v>255</v>
          </cell>
          <cell r="H86">
            <v>250</v>
          </cell>
        </row>
        <row r="87">
          <cell r="A87">
            <v>36647</v>
          </cell>
          <cell r="B87" t="str">
            <v>South Korea</v>
          </cell>
          <cell r="C87">
            <v>192</v>
          </cell>
          <cell r="D87">
            <v>194</v>
          </cell>
          <cell r="E87">
            <v>193</v>
          </cell>
          <cell r="F87">
            <v>245</v>
          </cell>
          <cell r="G87">
            <v>255</v>
          </cell>
          <cell r="H87">
            <v>250</v>
          </cell>
        </row>
        <row r="88">
          <cell r="A88">
            <v>36648</v>
          </cell>
          <cell r="B88" t="str">
            <v>South Korea</v>
          </cell>
          <cell r="C88">
            <v>183</v>
          </cell>
          <cell r="D88">
            <v>185</v>
          </cell>
          <cell r="E88">
            <v>184</v>
          </cell>
          <cell r="F88">
            <v>245</v>
          </cell>
          <cell r="G88">
            <v>255</v>
          </cell>
          <cell r="H88">
            <v>250</v>
          </cell>
        </row>
        <row r="89">
          <cell r="A89">
            <v>36649</v>
          </cell>
          <cell r="B89" t="str">
            <v>South Korea</v>
          </cell>
          <cell r="C89">
            <v>174</v>
          </cell>
          <cell r="D89">
            <v>176</v>
          </cell>
          <cell r="E89">
            <v>175</v>
          </cell>
          <cell r="F89">
            <v>245</v>
          </cell>
          <cell r="G89">
            <v>255</v>
          </cell>
          <cell r="H89">
            <v>250</v>
          </cell>
        </row>
        <row r="90">
          <cell r="A90">
            <v>36650</v>
          </cell>
          <cell r="B90" t="str">
            <v>South Korea</v>
          </cell>
          <cell r="C90">
            <v>173</v>
          </cell>
          <cell r="D90">
            <v>175</v>
          </cell>
          <cell r="E90">
            <v>174</v>
          </cell>
          <cell r="F90">
            <v>240</v>
          </cell>
          <cell r="G90">
            <v>250</v>
          </cell>
          <cell r="H90">
            <v>245</v>
          </cell>
        </row>
        <row r="91">
          <cell r="A91">
            <v>36651</v>
          </cell>
          <cell r="B91" t="str">
            <v>South Korea</v>
          </cell>
          <cell r="C91">
            <v>173</v>
          </cell>
          <cell r="D91">
            <v>175</v>
          </cell>
          <cell r="E91">
            <v>174</v>
          </cell>
          <cell r="F91">
            <v>240</v>
          </cell>
          <cell r="G91">
            <v>250</v>
          </cell>
          <cell r="H91">
            <v>245</v>
          </cell>
        </row>
        <row r="92">
          <cell r="A92">
            <v>36652</v>
          </cell>
          <cell r="B92" t="str">
            <v>South Korea</v>
          </cell>
          <cell r="C92">
            <v>173</v>
          </cell>
          <cell r="D92">
            <v>175</v>
          </cell>
          <cell r="E92">
            <v>174</v>
          </cell>
          <cell r="F92">
            <v>240</v>
          </cell>
          <cell r="G92">
            <v>250</v>
          </cell>
          <cell r="H92">
            <v>245</v>
          </cell>
        </row>
        <row r="93">
          <cell r="A93">
            <v>36653</v>
          </cell>
          <cell r="B93" t="str">
            <v>South Korea</v>
          </cell>
          <cell r="C93">
            <v>173</v>
          </cell>
          <cell r="D93">
            <v>175</v>
          </cell>
          <cell r="E93">
            <v>174</v>
          </cell>
          <cell r="F93">
            <v>240</v>
          </cell>
          <cell r="G93">
            <v>250</v>
          </cell>
          <cell r="H93">
            <v>245</v>
          </cell>
        </row>
        <row r="94">
          <cell r="A94">
            <v>36654</v>
          </cell>
          <cell r="B94" t="str">
            <v>South Korea</v>
          </cell>
          <cell r="C94">
            <v>166.5</v>
          </cell>
          <cell r="D94">
            <v>167</v>
          </cell>
          <cell r="E94">
            <v>166.75</v>
          </cell>
          <cell r="F94">
            <v>230</v>
          </cell>
          <cell r="G94">
            <v>235</v>
          </cell>
          <cell r="H94">
            <v>232.5</v>
          </cell>
        </row>
        <row r="95">
          <cell r="A95">
            <v>36655</v>
          </cell>
          <cell r="B95" t="str">
            <v>South Korea</v>
          </cell>
          <cell r="C95">
            <v>164</v>
          </cell>
          <cell r="D95">
            <v>166</v>
          </cell>
          <cell r="E95">
            <v>165</v>
          </cell>
          <cell r="F95">
            <v>225</v>
          </cell>
          <cell r="G95">
            <v>235</v>
          </cell>
          <cell r="H95">
            <v>230</v>
          </cell>
        </row>
        <row r="96">
          <cell r="A96">
            <v>36656</v>
          </cell>
          <cell r="B96" t="str">
            <v>South Korea</v>
          </cell>
          <cell r="C96">
            <v>164</v>
          </cell>
          <cell r="D96">
            <v>165</v>
          </cell>
          <cell r="E96">
            <v>164.5</v>
          </cell>
          <cell r="F96">
            <v>225</v>
          </cell>
          <cell r="G96">
            <v>235</v>
          </cell>
          <cell r="H96">
            <v>230</v>
          </cell>
        </row>
        <row r="97">
          <cell r="A97">
            <v>36657</v>
          </cell>
          <cell r="B97" t="str">
            <v>South Korea</v>
          </cell>
          <cell r="C97">
            <v>164</v>
          </cell>
          <cell r="D97">
            <v>165</v>
          </cell>
          <cell r="E97">
            <v>164.5</v>
          </cell>
          <cell r="F97">
            <v>225</v>
          </cell>
          <cell r="G97">
            <v>235</v>
          </cell>
          <cell r="H97">
            <v>230</v>
          </cell>
        </row>
        <row r="98">
          <cell r="A98">
            <v>36658</v>
          </cell>
          <cell r="B98" t="str">
            <v>South Korea</v>
          </cell>
          <cell r="C98">
            <v>166</v>
          </cell>
          <cell r="D98">
            <v>168</v>
          </cell>
          <cell r="E98">
            <v>167</v>
          </cell>
          <cell r="F98">
            <v>225</v>
          </cell>
          <cell r="G98">
            <v>230</v>
          </cell>
          <cell r="H98">
            <v>227.5</v>
          </cell>
        </row>
        <row r="99">
          <cell r="A99">
            <v>36659</v>
          </cell>
          <cell r="B99" t="str">
            <v>South Korea</v>
          </cell>
          <cell r="C99">
            <v>185</v>
          </cell>
          <cell r="D99">
            <v>188</v>
          </cell>
          <cell r="E99">
            <v>186.5</v>
          </cell>
          <cell r="F99">
            <v>245</v>
          </cell>
          <cell r="G99">
            <v>255</v>
          </cell>
          <cell r="H99">
            <v>250</v>
          </cell>
        </row>
        <row r="100">
          <cell r="A100">
            <v>36660</v>
          </cell>
          <cell r="B100" t="str">
            <v>South Korea</v>
          </cell>
          <cell r="C100">
            <v>185</v>
          </cell>
          <cell r="D100">
            <v>188</v>
          </cell>
          <cell r="E100">
            <v>186.5</v>
          </cell>
          <cell r="F100">
            <v>245</v>
          </cell>
          <cell r="G100">
            <v>255</v>
          </cell>
          <cell r="H100">
            <v>250</v>
          </cell>
        </row>
        <row r="101">
          <cell r="A101">
            <v>36661</v>
          </cell>
          <cell r="B101" t="str">
            <v>South Korea</v>
          </cell>
          <cell r="C101">
            <v>170</v>
          </cell>
          <cell r="D101">
            <v>171</v>
          </cell>
          <cell r="E101">
            <v>170.5</v>
          </cell>
          <cell r="F101">
            <v>245</v>
          </cell>
          <cell r="G101">
            <v>225</v>
          </cell>
          <cell r="H101">
            <v>230</v>
          </cell>
        </row>
        <row r="102">
          <cell r="A102">
            <v>36662</v>
          </cell>
          <cell r="B102" t="str">
            <v>South Korea</v>
          </cell>
          <cell r="C102">
            <v>169.5</v>
          </cell>
          <cell r="D102">
            <v>170.5</v>
          </cell>
          <cell r="E102">
            <v>170</v>
          </cell>
          <cell r="F102">
            <v>225</v>
          </cell>
          <cell r="G102">
            <v>230</v>
          </cell>
          <cell r="H102">
            <v>227.5</v>
          </cell>
        </row>
        <row r="103">
          <cell r="A103">
            <v>36663</v>
          </cell>
          <cell r="B103" t="str">
            <v>South Korea</v>
          </cell>
          <cell r="C103">
            <v>169.5</v>
          </cell>
          <cell r="D103">
            <v>170.5</v>
          </cell>
          <cell r="E103">
            <v>170</v>
          </cell>
          <cell r="F103">
            <v>220</v>
          </cell>
          <cell r="G103">
            <v>230</v>
          </cell>
          <cell r="H103">
            <v>225</v>
          </cell>
        </row>
        <row r="104">
          <cell r="A104">
            <v>36664</v>
          </cell>
          <cell r="B104" t="str">
            <v>South Korea</v>
          </cell>
          <cell r="C104">
            <v>169.5</v>
          </cell>
          <cell r="D104">
            <v>170.5</v>
          </cell>
          <cell r="E104">
            <v>170</v>
          </cell>
          <cell r="F104">
            <v>220</v>
          </cell>
          <cell r="G104">
            <v>230</v>
          </cell>
          <cell r="H104">
            <v>225</v>
          </cell>
        </row>
        <row r="105">
          <cell r="A105">
            <v>36665</v>
          </cell>
          <cell r="B105" t="str">
            <v>South Korea</v>
          </cell>
          <cell r="C105">
            <v>168</v>
          </cell>
          <cell r="D105">
            <v>170.5</v>
          </cell>
          <cell r="E105">
            <v>169.25</v>
          </cell>
          <cell r="F105">
            <v>235</v>
          </cell>
          <cell r="G105">
            <v>240</v>
          </cell>
          <cell r="H105">
            <v>237.5</v>
          </cell>
        </row>
        <row r="106">
          <cell r="A106">
            <v>36666</v>
          </cell>
          <cell r="B106" t="str">
            <v>South Korea</v>
          </cell>
          <cell r="C106">
            <v>168</v>
          </cell>
          <cell r="D106">
            <v>170.5</v>
          </cell>
          <cell r="E106">
            <v>169.25</v>
          </cell>
          <cell r="F106">
            <v>235</v>
          </cell>
          <cell r="G106">
            <v>240</v>
          </cell>
          <cell r="H106">
            <v>237.5</v>
          </cell>
        </row>
        <row r="107">
          <cell r="A107">
            <v>36667</v>
          </cell>
          <cell r="B107" t="str">
            <v>South Korea</v>
          </cell>
          <cell r="C107">
            <v>168</v>
          </cell>
          <cell r="D107">
            <v>170.5</v>
          </cell>
          <cell r="E107">
            <v>169.25</v>
          </cell>
          <cell r="F107">
            <v>235</v>
          </cell>
          <cell r="G107">
            <v>240</v>
          </cell>
          <cell r="H107">
            <v>237.5</v>
          </cell>
        </row>
        <row r="108">
          <cell r="A108">
            <v>36668</v>
          </cell>
          <cell r="B108" t="str">
            <v>South Korea</v>
          </cell>
          <cell r="C108">
            <v>168</v>
          </cell>
          <cell r="D108">
            <v>170.5</v>
          </cell>
          <cell r="E108">
            <v>169.25</v>
          </cell>
          <cell r="F108">
            <v>235</v>
          </cell>
          <cell r="G108">
            <v>240</v>
          </cell>
          <cell r="H108">
            <v>237.5</v>
          </cell>
        </row>
        <row r="109">
          <cell r="A109">
            <v>36669</v>
          </cell>
          <cell r="B109" t="str">
            <v>South Korea</v>
          </cell>
          <cell r="C109">
            <v>167</v>
          </cell>
          <cell r="D109">
            <v>168</v>
          </cell>
          <cell r="E109">
            <v>167.5</v>
          </cell>
          <cell r="F109">
            <v>240</v>
          </cell>
          <cell r="G109">
            <v>245</v>
          </cell>
          <cell r="H109">
            <v>242.5</v>
          </cell>
        </row>
        <row r="110">
          <cell r="A110">
            <v>36670</v>
          </cell>
          <cell r="B110" t="str">
            <v>South Korea</v>
          </cell>
          <cell r="C110">
            <v>167</v>
          </cell>
          <cell r="D110">
            <v>169</v>
          </cell>
          <cell r="E110">
            <v>168</v>
          </cell>
          <cell r="F110">
            <v>240</v>
          </cell>
          <cell r="G110">
            <v>245</v>
          </cell>
          <cell r="H110">
            <v>242.5</v>
          </cell>
        </row>
        <row r="111">
          <cell r="A111">
            <v>36671</v>
          </cell>
          <cell r="B111" t="str">
            <v>South Korea</v>
          </cell>
          <cell r="C111">
            <v>169</v>
          </cell>
          <cell r="D111">
            <v>171</v>
          </cell>
          <cell r="E111">
            <v>170</v>
          </cell>
          <cell r="F111">
            <v>240</v>
          </cell>
          <cell r="G111">
            <v>245</v>
          </cell>
          <cell r="H111">
            <v>242.5</v>
          </cell>
        </row>
        <row r="112">
          <cell r="A112">
            <v>36672</v>
          </cell>
          <cell r="B112" t="str">
            <v>South Korea</v>
          </cell>
          <cell r="C112">
            <v>171</v>
          </cell>
          <cell r="D112">
            <v>172</v>
          </cell>
          <cell r="E112">
            <v>171.5</v>
          </cell>
          <cell r="F112">
            <v>240</v>
          </cell>
          <cell r="G112">
            <v>245</v>
          </cell>
          <cell r="H112">
            <v>242.5</v>
          </cell>
        </row>
        <row r="113">
          <cell r="A113">
            <v>36673</v>
          </cell>
          <cell r="B113" t="str">
            <v>South Korea</v>
          </cell>
          <cell r="C113">
            <v>171</v>
          </cell>
          <cell r="D113">
            <v>172</v>
          </cell>
          <cell r="E113">
            <v>171.5</v>
          </cell>
          <cell r="F113">
            <v>240</v>
          </cell>
          <cell r="G113">
            <v>245</v>
          </cell>
          <cell r="H113">
            <v>242.5</v>
          </cell>
        </row>
        <row r="114">
          <cell r="A114">
            <v>36674</v>
          </cell>
          <cell r="B114" t="str">
            <v>South Korea</v>
          </cell>
          <cell r="C114">
            <v>171</v>
          </cell>
          <cell r="D114">
            <v>172</v>
          </cell>
          <cell r="E114">
            <v>171.5</v>
          </cell>
          <cell r="F114">
            <v>240</v>
          </cell>
          <cell r="G114">
            <v>245</v>
          </cell>
          <cell r="H114">
            <v>242.5</v>
          </cell>
        </row>
        <row r="115">
          <cell r="A115">
            <v>36675</v>
          </cell>
          <cell r="B115" t="str">
            <v>South Korea</v>
          </cell>
          <cell r="C115">
            <v>172</v>
          </cell>
          <cell r="D115">
            <v>173</v>
          </cell>
          <cell r="E115">
            <v>172.5</v>
          </cell>
          <cell r="F115">
            <v>240</v>
          </cell>
          <cell r="G115">
            <v>245</v>
          </cell>
          <cell r="H115">
            <v>242.5</v>
          </cell>
        </row>
        <row r="116">
          <cell r="A116">
            <v>36676</v>
          </cell>
          <cell r="B116" t="str">
            <v>South Korea</v>
          </cell>
          <cell r="C116">
            <v>171</v>
          </cell>
          <cell r="D116">
            <v>172</v>
          </cell>
          <cell r="E116">
            <v>171.5</v>
          </cell>
          <cell r="F116">
            <v>240</v>
          </cell>
          <cell r="G116">
            <v>245</v>
          </cell>
          <cell r="H116">
            <v>242.5</v>
          </cell>
        </row>
        <row r="117">
          <cell r="A117">
            <v>36677</v>
          </cell>
          <cell r="B117" t="str">
            <v>South Korea</v>
          </cell>
          <cell r="C117">
            <v>169</v>
          </cell>
          <cell r="D117">
            <v>170</v>
          </cell>
          <cell r="E117">
            <v>169.5</v>
          </cell>
          <cell r="F117">
            <v>240</v>
          </cell>
          <cell r="G117">
            <v>245</v>
          </cell>
          <cell r="H117">
            <v>242.5</v>
          </cell>
        </row>
        <row r="118">
          <cell r="A118">
            <v>36678</v>
          </cell>
          <cell r="B118" t="str">
            <v>South Korea</v>
          </cell>
          <cell r="C118">
            <v>169</v>
          </cell>
          <cell r="D118">
            <v>170</v>
          </cell>
          <cell r="E118">
            <v>169.5</v>
          </cell>
          <cell r="F118">
            <v>240</v>
          </cell>
          <cell r="G118">
            <v>245</v>
          </cell>
          <cell r="H118">
            <v>242.5</v>
          </cell>
        </row>
        <row r="119">
          <cell r="A119">
            <v>36679</v>
          </cell>
          <cell r="B119" t="str">
            <v>South Korea</v>
          </cell>
          <cell r="C119">
            <v>169</v>
          </cell>
          <cell r="D119">
            <v>170</v>
          </cell>
          <cell r="E119">
            <v>169.5</v>
          </cell>
          <cell r="F119">
            <v>240</v>
          </cell>
          <cell r="G119">
            <v>245</v>
          </cell>
          <cell r="H119">
            <v>242.5</v>
          </cell>
        </row>
        <row r="120">
          <cell r="A120">
            <v>36680</v>
          </cell>
          <cell r="B120" t="str">
            <v>South Korea</v>
          </cell>
          <cell r="C120">
            <v>169</v>
          </cell>
          <cell r="D120">
            <v>170</v>
          </cell>
          <cell r="E120">
            <v>169.5</v>
          </cell>
          <cell r="F120">
            <v>240</v>
          </cell>
          <cell r="G120">
            <v>245</v>
          </cell>
          <cell r="H120">
            <v>242.5</v>
          </cell>
        </row>
        <row r="121">
          <cell r="A121">
            <v>36681</v>
          </cell>
          <cell r="B121" t="str">
            <v>South Korea</v>
          </cell>
          <cell r="C121">
            <v>169</v>
          </cell>
          <cell r="D121">
            <v>170</v>
          </cell>
          <cell r="E121">
            <v>169.5</v>
          </cell>
          <cell r="F121">
            <v>240</v>
          </cell>
          <cell r="G121">
            <v>245</v>
          </cell>
          <cell r="H121">
            <v>242.5</v>
          </cell>
        </row>
        <row r="122">
          <cell r="A122">
            <v>36682</v>
          </cell>
          <cell r="B122" t="str">
            <v>South Korea</v>
          </cell>
          <cell r="C122">
            <v>169</v>
          </cell>
          <cell r="D122">
            <v>170</v>
          </cell>
          <cell r="E122">
            <v>169.5</v>
          </cell>
          <cell r="F122">
            <v>240</v>
          </cell>
          <cell r="G122">
            <v>245</v>
          </cell>
          <cell r="H122">
            <v>242.5</v>
          </cell>
        </row>
        <row r="123">
          <cell r="A123">
            <v>36683</v>
          </cell>
          <cell r="B123" t="str">
            <v>South Korea</v>
          </cell>
          <cell r="C123">
            <v>175</v>
          </cell>
          <cell r="D123">
            <v>177</v>
          </cell>
          <cell r="E123">
            <v>176</v>
          </cell>
          <cell r="F123">
            <v>250</v>
          </cell>
          <cell r="G123">
            <v>255</v>
          </cell>
          <cell r="H123">
            <v>252.5</v>
          </cell>
        </row>
        <row r="124">
          <cell r="A124">
            <v>36684</v>
          </cell>
          <cell r="B124" t="str">
            <v>South Korea</v>
          </cell>
          <cell r="C124">
            <v>175</v>
          </cell>
          <cell r="D124">
            <v>177</v>
          </cell>
          <cell r="E124">
            <v>176</v>
          </cell>
          <cell r="F124">
            <v>250</v>
          </cell>
          <cell r="G124">
            <v>255</v>
          </cell>
          <cell r="H124">
            <v>252.5</v>
          </cell>
        </row>
        <row r="125">
          <cell r="A125">
            <v>36685</v>
          </cell>
          <cell r="B125" t="str">
            <v>South Korea</v>
          </cell>
          <cell r="C125">
            <v>175</v>
          </cell>
          <cell r="D125">
            <v>177</v>
          </cell>
          <cell r="E125">
            <v>176</v>
          </cell>
          <cell r="F125">
            <v>250</v>
          </cell>
          <cell r="G125">
            <v>255</v>
          </cell>
          <cell r="H125">
            <v>252.5</v>
          </cell>
        </row>
        <row r="126">
          <cell r="A126">
            <v>36686</v>
          </cell>
          <cell r="B126" t="str">
            <v>South Korea</v>
          </cell>
          <cell r="C126">
            <v>175</v>
          </cell>
          <cell r="D126">
            <v>177</v>
          </cell>
          <cell r="E126">
            <v>176</v>
          </cell>
          <cell r="F126">
            <v>250</v>
          </cell>
          <cell r="G126">
            <v>255</v>
          </cell>
          <cell r="H126">
            <v>252.5</v>
          </cell>
        </row>
        <row r="127">
          <cell r="A127">
            <v>36687</v>
          </cell>
          <cell r="B127" t="str">
            <v>South Korea</v>
          </cell>
          <cell r="C127">
            <v>175</v>
          </cell>
          <cell r="D127">
            <v>177</v>
          </cell>
          <cell r="E127">
            <v>176</v>
          </cell>
          <cell r="F127">
            <v>250</v>
          </cell>
          <cell r="G127">
            <v>255</v>
          </cell>
          <cell r="H127">
            <v>252.5</v>
          </cell>
        </row>
        <row r="128">
          <cell r="A128">
            <v>36688</v>
          </cell>
          <cell r="B128" t="str">
            <v>South Korea</v>
          </cell>
          <cell r="C128">
            <v>175</v>
          </cell>
          <cell r="D128">
            <v>177</v>
          </cell>
          <cell r="E128">
            <v>176</v>
          </cell>
          <cell r="F128">
            <v>250</v>
          </cell>
          <cell r="G128">
            <v>255</v>
          </cell>
          <cell r="H128">
            <v>252.5</v>
          </cell>
        </row>
        <row r="129">
          <cell r="A129">
            <v>36689</v>
          </cell>
          <cell r="B129" t="str">
            <v>South Korea</v>
          </cell>
          <cell r="C129">
            <v>175</v>
          </cell>
          <cell r="D129">
            <v>177</v>
          </cell>
          <cell r="E129">
            <v>176</v>
          </cell>
          <cell r="F129">
            <v>250</v>
          </cell>
          <cell r="G129">
            <v>255</v>
          </cell>
          <cell r="H129">
            <v>252.5</v>
          </cell>
        </row>
        <row r="130">
          <cell r="A130">
            <v>36690</v>
          </cell>
          <cell r="B130" t="str">
            <v>South Korea</v>
          </cell>
          <cell r="C130">
            <v>185</v>
          </cell>
          <cell r="D130">
            <v>185</v>
          </cell>
          <cell r="E130">
            <v>188</v>
          </cell>
          <cell r="F130">
            <v>250</v>
          </cell>
          <cell r="G130">
            <v>255</v>
          </cell>
          <cell r="H130">
            <v>252.5</v>
          </cell>
        </row>
        <row r="131">
          <cell r="A131">
            <v>36691</v>
          </cell>
          <cell r="B131" t="str">
            <v>South Korea</v>
          </cell>
          <cell r="C131">
            <v>185</v>
          </cell>
          <cell r="D131">
            <v>185</v>
          </cell>
          <cell r="E131">
            <v>188</v>
          </cell>
          <cell r="F131">
            <v>250</v>
          </cell>
          <cell r="G131">
            <v>255</v>
          </cell>
          <cell r="H131">
            <v>252.5</v>
          </cell>
        </row>
        <row r="132">
          <cell r="A132">
            <v>36692</v>
          </cell>
          <cell r="B132" t="str">
            <v>South Korea</v>
          </cell>
          <cell r="C132">
            <v>185</v>
          </cell>
          <cell r="D132">
            <v>185</v>
          </cell>
          <cell r="E132">
            <v>188</v>
          </cell>
          <cell r="F132">
            <v>250</v>
          </cell>
          <cell r="G132">
            <v>255</v>
          </cell>
          <cell r="H132">
            <v>252.5</v>
          </cell>
        </row>
      </sheetData>
      <sheetData sheetId="2" refreshError="1">
        <row r="1">
          <cell r="A1" t="str">
            <v>DAY (1)</v>
          </cell>
          <cell r="B1" t="str">
            <v>PORT (2)</v>
          </cell>
          <cell r="C1" t="str">
            <v xml:space="preserve">380 LOW (3) </v>
          </cell>
          <cell r="D1" t="str">
            <v>380 HIGH (4)</v>
          </cell>
          <cell r="E1" t="str">
            <v>380 Avg (5)</v>
          </cell>
          <cell r="F1" t="str">
            <v>barcaza (6)</v>
          </cell>
          <cell r="G1" t="str">
            <v>Total (7)</v>
          </cell>
          <cell r="H1" t="str">
            <v>DIESEL LOW (8)</v>
          </cell>
          <cell r="I1" t="str">
            <v>DIESEL HIGH (9)</v>
          </cell>
          <cell r="J1" t="str">
            <v>Diesel Avg (10)</v>
          </cell>
        </row>
        <row r="2">
          <cell r="A2">
            <v>36529</v>
          </cell>
          <cell r="B2" t="str">
            <v>Los Angeles</v>
          </cell>
          <cell r="C2">
            <v>135</v>
          </cell>
          <cell r="D2">
            <v>137</v>
          </cell>
          <cell r="E2">
            <v>136</v>
          </cell>
          <cell r="F2">
            <v>10</v>
          </cell>
          <cell r="G2">
            <v>146</v>
          </cell>
          <cell r="H2">
            <v>194</v>
          </cell>
          <cell r="I2">
            <v>210</v>
          </cell>
          <cell r="J2">
            <v>202</v>
          </cell>
        </row>
        <row r="3">
          <cell r="A3">
            <v>36530</v>
          </cell>
          <cell r="B3" t="str">
            <v>Los Angeles</v>
          </cell>
          <cell r="C3">
            <v>130</v>
          </cell>
          <cell r="D3">
            <v>133</v>
          </cell>
          <cell r="E3">
            <v>131.5</v>
          </cell>
          <cell r="F3">
            <v>10</v>
          </cell>
          <cell r="G3">
            <v>141.5</v>
          </cell>
          <cell r="H3">
            <v>194</v>
          </cell>
          <cell r="I3">
            <v>210</v>
          </cell>
          <cell r="J3">
            <v>202</v>
          </cell>
        </row>
        <row r="4">
          <cell r="A4">
            <v>36531</v>
          </cell>
          <cell r="B4" t="str">
            <v>Los Angeles</v>
          </cell>
          <cell r="C4">
            <v>130</v>
          </cell>
          <cell r="D4">
            <v>133</v>
          </cell>
          <cell r="E4">
            <v>131.5</v>
          </cell>
          <cell r="F4">
            <v>10</v>
          </cell>
          <cell r="G4">
            <v>141.5</v>
          </cell>
          <cell r="H4">
            <v>194</v>
          </cell>
          <cell r="I4">
            <v>210</v>
          </cell>
          <cell r="J4">
            <v>202</v>
          </cell>
        </row>
        <row r="5">
          <cell r="A5">
            <v>36532</v>
          </cell>
          <cell r="B5" t="str">
            <v>Los Angeles</v>
          </cell>
          <cell r="C5">
            <v>130</v>
          </cell>
          <cell r="D5">
            <v>132</v>
          </cell>
          <cell r="E5">
            <v>131</v>
          </cell>
          <cell r="F5">
            <v>10</v>
          </cell>
          <cell r="G5">
            <v>141</v>
          </cell>
          <cell r="H5">
            <v>193</v>
          </cell>
          <cell r="I5">
            <v>205</v>
          </cell>
          <cell r="J5">
            <v>199</v>
          </cell>
        </row>
        <row r="6">
          <cell r="A6">
            <v>36535</v>
          </cell>
          <cell r="B6" t="str">
            <v>Los Angeles</v>
          </cell>
          <cell r="C6">
            <v>128</v>
          </cell>
          <cell r="D6">
            <v>130</v>
          </cell>
          <cell r="E6">
            <v>129</v>
          </cell>
          <cell r="F6">
            <v>10</v>
          </cell>
          <cell r="G6">
            <v>139</v>
          </cell>
          <cell r="H6">
            <v>193</v>
          </cell>
          <cell r="I6">
            <v>205</v>
          </cell>
          <cell r="J6">
            <v>199</v>
          </cell>
        </row>
        <row r="7">
          <cell r="A7">
            <v>36536</v>
          </cell>
          <cell r="B7" t="str">
            <v>Los Angeles</v>
          </cell>
          <cell r="C7">
            <v>125</v>
          </cell>
          <cell r="D7">
            <v>128</v>
          </cell>
          <cell r="E7">
            <v>126.5</v>
          </cell>
          <cell r="F7">
            <v>10</v>
          </cell>
          <cell r="G7">
            <v>136.5</v>
          </cell>
          <cell r="H7">
            <v>190</v>
          </cell>
          <cell r="I7">
            <v>200</v>
          </cell>
          <cell r="J7">
            <v>195</v>
          </cell>
        </row>
        <row r="8">
          <cell r="A8">
            <v>36537</v>
          </cell>
          <cell r="B8" t="str">
            <v>Los Angeles</v>
          </cell>
          <cell r="C8">
            <v>125</v>
          </cell>
          <cell r="D8">
            <v>127</v>
          </cell>
          <cell r="E8">
            <v>126</v>
          </cell>
          <cell r="F8">
            <v>10</v>
          </cell>
          <cell r="G8">
            <v>136</v>
          </cell>
          <cell r="H8">
            <v>190</v>
          </cell>
          <cell r="I8">
            <v>200</v>
          </cell>
          <cell r="J8">
            <v>195</v>
          </cell>
        </row>
        <row r="9">
          <cell r="A9">
            <v>36538</v>
          </cell>
          <cell r="B9" t="str">
            <v>Los Angeles</v>
          </cell>
          <cell r="C9">
            <v>128</v>
          </cell>
          <cell r="D9">
            <v>130</v>
          </cell>
          <cell r="E9">
            <v>129</v>
          </cell>
          <cell r="F9">
            <v>10</v>
          </cell>
          <cell r="G9">
            <v>139</v>
          </cell>
          <cell r="H9">
            <v>190</v>
          </cell>
          <cell r="I9">
            <v>200</v>
          </cell>
          <cell r="J9">
            <v>195</v>
          </cell>
        </row>
        <row r="10">
          <cell r="A10">
            <v>36539</v>
          </cell>
          <cell r="B10" t="str">
            <v>Los Angeles</v>
          </cell>
          <cell r="C10">
            <v>128</v>
          </cell>
          <cell r="D10">
            <v>130</v>
          </cell>
          <cell r="E10">
            <v>129</v>
          </cell>
          <cell r="F10">
            <v>10</v>
          </cell>
          <cell r="G10">
            <v>139</v>
          </cell>
          <cell r="H10">
            <v>190</v>
          </cell>
          <cell r="I10">
            <v>200</v>
          </cell>
          <cell r="J10">
            <v>195</v>
          </cell>
        </row>
        <row r="11">
          <cell r="A11">
            <v>36543</v>
          </cell>
          <cell r="B11" t="str">
            <v>Los Angeles</v>
          </cell>
          <cell r="C11">
            <v>130</v>
          </cell>
          <cell r="D11">
            <v>135</v>
          </cell>
          <cell r="E11">
            <v>132.5</v>
          </cell>
          <cell r="F11">
            <v>10</v>
          </cell>
          <cell r="G11">
            <v>142.5</v>
          </cell>
          <cell r="H11">
            <v>190</v>
          </cell>
          <cell r="I11">
            <v>200</v>
          </cell>
          <cell r="J11">
            <v>195</v>
          </cell>
        </row>
        <row r="12">
          <cell r="A12">
            <v>36544</v>
          </cell>
          <cell r="B12" t="str">
            <v>Los Angeles</v>
          </cell>
          <cell r="C12">
            <v>135</v>
          </cell>
          <cell r="D12">
            <v>140</v>
          </cell>
          <cell r="E12">
            <v>137.5</v>
          </cell>
          <cell r="F12">
            <v>10</v>
          </cell>
          <cell r="G12">
            <v>147.5</v>
          </cell>
          <cell r="H12">
            <v>195</v>
          </cell>
          <cell r="I12">
            <v>205</v>
          </cell>
          <cell r="J12">
            <v>200</v>
          </cell>
        </row>
        <row r="13">
          <cell r="A13">
            <v>36545</v>
          </cell>
          <cell r="B13" t="str">
            <v>Los Angeles</v>
          </cell>
          <cell r="C13">
            <v>138</v>
          </cell>
          <cell r="D13">
            <v>145</v>
          </cell>
          <cell r="E13">
            <v>141.5</v>
          </cell>
          <cell r="F13">
            <v>10</v>
          </cell>
          <cell r="G13">
            <v>151.5</v>
          </cell>
          <cell r="H13">
            <v>195</v>
          </cell>
          <cell r="I13">
            <v>205</v>
          </cell>
          <cell r="J13">
            <v>200</v>
          </cell>
        </row>
        <row r="14">
          <cell r="A14">
            <v>36546</v>
          </cell>
          <cell r="B14" t="str">
            <v>Los Angeles</v>
          </cell>
          <cell r="C14">
            <v>142</v>
          </cell>
          <cell r="D14">
            <v>148</v>
          </cell>
          <cell r="E14">
            <v>145</v>
          </cell>
          <cell r="F14">
            <v>10</v>
          </cell>
          <cell r="G14">
            <v>155</v>
          </cell>
          <cell r="H14">
            <v>210</v>
          </cell>
          <cell r="I14">
            <v>220</v>
          </cell>
          <cell r="J14">
            <v>215</v>
          </cell>
        </row>
        <row r="15">
          <cell r="A15">
            <v>36549</v>
          </cell>
          <cell r="B15" t="str">
            <v>Los Angeles</v>
          </cell>
          <cell r="C15">
            <v>142</v>
          </cell>
          <cell r="D15">
            <v>147</v>
          </cell>
          <cell r="E15">
            <v>144.5</v>
          </cell>
          <cell r="F15">
            <v>10</v>
          </cell>
          <cell r="G15">
            <v>154.5</v>
          </cell>
          <cell r="H15">
            <v>210</v>
          </cell>
          <cell r="I15">
            <v>220</v>
          </cell>
          <cell r="J15">
            <v>215</v>
          </cell>
        </row>
        <row r="16">
          <cell r="A16">
            <v>36550</v>
          </cell>
          <cell r="B16" t="str">
            <v>Los Angeles</v>
          </cell>
          <cell r="C16">
            <v>141</v>
          </cell>
          <cell r="D16">
            <v>144</v>
          </cell>
          <cell r="E16">
            <v>142.5</v>
          </cell>
          <cell r="F16">
            <v>10</v>
          </cell>
          <cell r="G16">
            <v>152.5</v>
          </cell>
          <cell r="H16">
            <v>210</v>
          </cell>
          <cell r="I16">
            <v>220</v>
          </cell>
          <cell r="J16">
            <v>215</v>
          </cell>
        </row>
        <row r="17">
          <cell r="A17">
            <v>36551</v>
          </cell>
          <cell r="B17" t="str">
            <v>Los Angeles</v>
          </cell>
          <cell r="C17">
            <v>144</v>
          </cell>
          <cell r="D17">
            <v>146</v>
          </cell>
          <cell r="E17">
            <v>145</v>
          </cell>
          <cell r="F17">
            <v>10</v>
          </cell>
          <cell r="G17">
            <v>155</v>
          </cell>
          <cell r="H17">
            <v>240</v>
          </cell>
          <cell r="I17">
            <v>250</v>
          </cell>
          <cell r="J17">
            <v>245</v>
          </cell>
        </row>
        <row r="18">
          <cell r="A18">
            <v>36552</v>
          </cell>
          <cell r="B18" t="str">
            <v>Los Angeles</v>
          </cell>
          <cell r="C18">
            <v>142.5</v>
          </cell>
          <cell r="D18">
            <v>143.5</v>
          </cell>
          <cell r="E18">
            <v>143</v>
          </cell>
          <cell r="F18">
            <v>10</v>
          </cell>
          <cell r="G18">
            <v>153</v>
          </cell>
          <cell r="H18">
            <v>240</v>
          </cell>
          <cell r="I18">
            <v>250</v>
          </cell>
          <cell r="J18">
            <v>245</v>
          </cell>
        </row>
        <row r="19">
          <cell r="A19">
            <v>36553</v>
          </cell>
          <cell r="B19" t="str">
            <v>Los Angeles</v>
          </cell>
          <cell r="C19">
            <v>140</v>
          </cell>
          <cell r="D19">
            <v>142</v>
          </cell>
          <cell r="E19">
            <v>141</v>
          </cell>
          <cell r="F19">
            <v>10</v>
          </cell>
          <cell r="G19">
            <v>151</v>
          </cell>
          <cell r="H19">
            <v>240</v>
          </cell>
          <cell r="I19">
            <v>250</v>
          </cell>
          <cell r="J19">
            <v>245</v>
          </cell>
        </row>
        <row r="20">
          <cell r="A20">
            <v>36556</v>
          </cell>
          <cell r="B20" t="str">
            <v>Los Angeles</v>
          </cell>
          <cell r="C20">
            <v>136.5</v>
          </cell>
          <cell r="D20">
            <v>141</v>
          </cell>
          <cell r="E20">
            <v>138.75</v>
          </cell>
          <cell r="F20">
            <v>10</v>
          </cell>
          <cell r="G20">
            <v>148.75</v>
          </cell>
          <cell r="H20">
            <v>240</v>
          </cell>
          <cell r="I20">
            <v>250</v>
          </cell>
          <cell r="J20">
            <v>245</v>
          </cell>
        </row>
        <row r="21">
          <cell r="A21">
            <v>36557</v>
          </cell>
          <cell r="B21" t="str">
            <v>Los Angeles</v>
          </cell>
          <cell r="C21">
            <v>133</v>
          </cell>
          <cell r="D21">
            <v>137</v>
          </cell>
          <cell r="E21">
            <v>135</v>
          </cell>
          <cell r="F21">
            <v>10</v>
          </cell>
          <cell r="G21">
            <v>145</v>
          </cell>
          <cell r="H21">
            <v>240</v>
          </cell>
          <cell r="I21">
            <v>250</v>
          </cell>
          <cell r="J21">
            <v>245</v>
          </cell>
        </row>
        <row r="22">
          <cell r="A22">
            <v>36558</v>
          </cell>
          <cell r="B22" t="str">
            <v>Los Angeles</v>
          </cell>
          <cell r="C22">
            <v>135</v>
          </cell>
          <cell r="D22">
            <v>138</v>
          </cell>
          <cell r="E22">
            <v>136.5</v>
          </cell>
          <cell r="F22">
            <v>10</v>
          </cell>
          <cell r="G22">
            <v>146.5</v>
          </cell>
          <cell r="H22">
            <v>230</v>
          </cell>
          <cell r="I22">
            <v>240</v>
          </cell>
          <cell r="J22">
            <v>235</v>
          </cell>
        </row>
        <row r="23">
          <cell r="A23">
            <v>36559</v>
          </cell>
          <cell r="B23" t="str">
            <v>Los Angeles</v>
          </cell>
          <cell r="C23">
            <v>133</v>
          </cell>
          <cell r="D23">
            <v>142</v>
          </cell>
          <cell r="E23">
            <v>137.5</v>
          </cell>
          <cell r="F23">
            <v>10</v>
          </cell>
          <cell r="G23">
            <v>147.5</v>
          </cell>
          <cell r="H23">
            <v>230</v>
          </cell>
          <cell r="I23">
            <v>240</v>
          </cell>
          <cell r="J23">
            <v>235</v>
          </cell>
        </row>
        <row r="24">
          <cell r="A24">
            <v>36560</v>
          </cell>
          <cell r="B24" t="str">
            <v>Los Angeles</v>
          </cell>
          <cell r="C24">
            <v>132</v>
          </cell>
          <cell r="D24">
            <v>136</v>
          </cell>
          <cell r="E24">
            <v>134</v>
          </cell>
          <cell r="F24">
            <v>10</v>
          </cell>
          <cell r="G24">
            <v>144</v>
          </cell>
          <cell r="H24">
            <v>230</v>
          </cell>
          <cell r="I24">
            <v>240</v>
          </cell>
          <cell r="J24">
            <v>235</v>
          </cell>
        </row>
        <row r="25">
          <cell r="A25">
            <v>36563</v>
          </cell>
          <cell r="B25" t="str">
            <v>Los Angeles</v>
          </cell>
          <cell r="C25">
            <v>135</v>
          </cell>
          <cell r="D25">
            <v>137</v>
          </cell>
          <cell r="E25">
            <v>136</v>
          </cell>
          <cell r="F25">
            <v>10</v>
          </cell>
          <cell r="G25">
            <v>146</v>
          </cell>
          <cell r="H25">
            <v>230</v>
          </cell>
          <cell r="I25">
            <v>240</v>
          </cell>
          <cell r="J25">
            <v>235</v>
          </cell>
        </row>
        <row r="26">
          <cell r="A26">
            <v>36564</v>
          </cell>
          <cell r="B26" t="str">
            <v>Los Angeles</v>
          </cell>
          <cell r="C26">
            <v>135</v>
          </cell>
          <cell r="D26">
            <v>137</v>
          </cell>
          <cell r="E26">
            <v>136</v>
          </cell>
          <cell r="F26">
            <v>10</v>
          </cell>
          <cell r="G26">
            <v>146</v>
          </cell>
          <cell r="H26">
            <v>230</v>
          </cell>
          <cell r="I26">
            <v>240</v>
          </cell>
          <cell r="J26">
            <v>235</v>
          </cell>
        </row>
        <row r="27">
          <cell r="A27">
            <v>36565</v>
          </cell>
          <cell r="B27" t="str">
            <v>Los Angeles</v>
          </cell>
          <cell r="C27">
            <v>135</v>
          </cell>
          <cell r="D27">
            <v>140</v>
          </cell>
          <cell r="E27">
            <v>137.5</v>
          </cell>
          <cell r="F27">
            <v>10</v>
          </cell>
          <cell r="G27">
            <v>147.5</v>
          </cell>
          <cell r="H27">
            <v>230</v>
          </cell>
          <cell r="I27">
            <v>240</v>
          </cell>
          <cell r="J27">
            <v>235</v>
          </cell>
        </row>
        <row r="28">
          <cell r="A28">
            <v>36566</v>
          </cell>
          <cell r="B28" t="str">
            <v>Los Angeles</v>
          </cell>
          <cell r="C28">
            <v>135</v>
          </cell>
          <cell r="D28">
            <v>140</v>
          </cell>
          <cell r="E28">
            <v>137.5</v>
          </cell>
          <cell r="F28">
            <v>10</v>
          </cell>
          <cell r="G28">
            <v>147.5</v>
          </cell>
          <cell r="H28">
            <v>230</v>
          </cell>
          <cell r="I28">
            <v>240</v>
          </cell>
          <cell r="J28">
            <v>235</v>
          </cell>
        </row>
        <row r="29">
          <cell r="A29">
            <v>36567</v>
          </cell>
          <cell r="B29" t="str">
            <v>Los Angeles</v>
          </cell>
          <cell r="C29">
            <v>143</v>
          </cell>
          <cell r="D29">
            <v>146</v>
          </cell>
          <cell r="E29">
            <v>144.5</v>
          </cell>
          <cell r="F29">
            <v>10</v>
          </cell>
          <cell r="G29">
            <v>154.5</v>
          </cell>
          <cell r="H29">
            <v>230</v>
          </cell>
          <cell r="I29">
            <v>240</v>
          </cell>
          <cell r="J29">
            <v>235</v>
          </cell>
        </row>
        <row r="30">
          <cell r="A30">
            <v>36570</v>
          </cell>
          <cell r="B30" t="str">
            <v>Los Angeles</v>
          </cell>
          <cell r="C30">
            <v>143</v>
          </cell>
          <cell r="D30">
            <v>146</v>
          </cell>
          <cell r="E30">
            <v>144.5</v>
          </cell>
          <cell r="F30">
            <v>10</v>
          </cell>
          <cell r="G30">
            <v>154.5</v>
          </cell>
          <cell r="H30">
            <v>230</v>
          </cell>
          <cell r="I30">
            <v>240</v>
          </cell>
          <cell r="J30">
            <v>235</v>
          </cell>
        </row>
        <row r="31">
          <cell r="A31">
            <v>36571</v>
          </cell>
          <cell r="B31" t="str">
            <v>Los Angeles</v>
          </cell>
          <cell r="C31">
            <v>139</v>
          </cell>
          <cell r="D31">
            <v>144.5</v>
          </cell>
          <cell r="E31">
            <v>141.75</v>
          </cell>
          <cell r="F31">
            <v>10</v>
          </cell>
          <cell r="G31">
            <v>151.75</v>
          </cell>
          <cell r="H31">
            <v>230</v>
          </cell>
          <cell r="I31">
            <v>240</v>
          </cell>
          <cell r="J31">
            <v>235</v>
          </cell>
        </row>
        <row r="32">
          <cell r="A32">
            <v>36572</v>
          </cell>
          <cell r="B32" t="str">
            <v>Los Angeles</v>
          </cell>
          <cell r="C32">
            <v>138</v>
          </cell>
          <cell r="D32">
            <v>140</v>
          </cell>
          <cell r="E32">
            <v>139</v>
          </cell>
          <cell r="F32">
            <v>10</v>
          </cell>
          <cell r="G32">
            <v>149</v>
          </cell>
          <cell r="H32">
            <v>230</v>
          </cell>
          <cell r="I32">
            <v>240</v>
          </cell>
          <cell r="J32">
            <v>235</v>
          </cell>
        </row>
        <row r="33">
          <cell r="A33">
            <v>36573</v>
          </cell>
          <cell r="B33" t="str">
            <v>Los Angeles</v>
          </cell>
          <cell r="C33">
            <v>138</v>
          </cell>
          <cell r="D33">
            <v>140</v>
          </cell>
          <cell r="E33">
            <v>139</v>
          </cell>
          <cell r="F33">
            <v>10</v>
          </cell>
          <cell r="G33">
            <v>149</v>
          </cell>
          <cell r="H33">
            <v>230</v>
          </cell>
          <cell r="I33">
            <v>240</v>
          </cell>
          <cell r="J33">
            <v>235</v>
          </cell>
        </row>
        <row r="34">
          <cell r="A34">
            <v>36574</v>
          </cell>
          <cell r="B34" t="str">
            <v>Los Angeles</v>
          </cell>
          <cell r="C34">
            <v>137</v>
          </cell>
          <cell r="D34">
            <v>139</v>
          </cell>
          <cell r="E34">
            <v>138</v>
          </cell>
          <cell r="F34">
            <v>10</v>
          </cell>
          <cell r="G34">
            <v>148</v>
          </cell>
          <cell r="H34">
            <v>230</v>
          </cell>
          <cell r="I34">
            <v>240</v>
          </cell>
          <cell r="J34">
            <v>235</v>
          </cell>
        </row>
        <row r="35">
          <cell r="A35">
            <v>36578</v>
          </cell>
          <cell r="B35" t="str">
            <v>Los Angeles</v>
          </cell>
          <cell r="C35">
            <v>141</v>
          </cell>
          <cell r="D35">
            <v>143</v>
          </cell>
          <cell r="E35">
            <v>142</v>
          </cell>
          <cell r="F35">
            <v>10</v>
          </cell>
          <cell r="G35">
            <v>152</v>
          </cell>
          <cell r="H35">
            <v>230</v>
          </cell>
          <cell r="I35">
            <v>240</v>
          </cell>
          <cell r="J35">
            <v>235</v>
          </cell>
        </row>
        <row r="36">
          <cell r="A36">
            <v>36579</v>
          </cell>
          <cell r="B36" t="str">
            <v>Los Angeles</v>
          </cell>
          <cell r="C36">
            <v>146</v>
          </cell>
          <cell r="D36">
            <v>150.5</v>
          </cell>
          <cell r="E36">
            <v>148.25</v>
          </cell>
          <cell r="F36">
            <v>10</v>
          </cell>
          <cell r="G36">
            <v>158.25</v>
          </cell>
          <cell r="H36">
            <v>240</v>
          </cell>
          <cell r="I36">
            <v>250</v>
          </cell>
          <cell r="J36">
            <v>245</v>
          </cell>
        </row>
        <row r="37">
          <cell r="A37">
            <v>36580</v>
          </cell>
          <cell r="B37" t="str">
            <v>Los Angeles</v>
          </cell>
          <cell r="C37">
            <v>149</v>
          </cell>
          <cell r="D37">
            <v>150</v>
          </cell>
          <cell r="E37">
            <v>149.5</v>
          </cell>
          <cell r="F37">
            <v>10</v>
          </cell>
          <cell r="G37">
            <v>159.5</v>
          </cell>
          <cell r="H37">
            <v>240</v>
          </cell>
          <cell r="I37">
            <v>250</v>
          </cell>
          <cell r="J37">
            <v>245</v>
          </cell>
        </row>
        <row r="38">
          <cell r="A38">
            <v>36581</v>
          </cell>
          <cell r="B38" t="str">
            <v>Los Angeles</v>
          </cell>
          <cell r="C38">
            <v>141</v>
          </cell>
          <cell r="D38">
            <v>145</v>
          </cell>
          <cell r="E38">
            <v>143</v>
          </cell>
          <cell r="F38">
            <v>10</v>
          </cell>
          <cell r="G38">
            <v>153</v>
          </cell>
          <cell r="H38">
            <v>240</v>
          </cell>
          <cell r="I38">
            <v>250</v>
          </cell>
          <cell r="J38">
            <v>245</v>
          </cell>
        </row>
        <row r="39">
          <cell r="A39">
            <v>36584</v>
          </cell>
          <cell r="B39" t="str">
            <v>Los Angeles</v>
          </cell>
          <cell r="C39">
            <v>140.5</v>
          </cell>
          <cell r="D39">
            <v>141.5</v>
          </cell>
          <cell r="E39">
            <v>141</v>
          </cell>
          <cell r="F39">
            <v>10</v>
          </cell>
          <cell r="G39">
            <v>151</v>
          </cell>
          <cell r="H39">
            <v>240</v>
          </cell>
          <cell r="I39">
            <v>250</v>
          </cell>
          <cell r="J39">
            <v>245</v>
          </cell>
        </row>
        <row r="40">
          <cell r="A40">
            <v>36585</v>
          </cell>
          <cell r="B40" t="str">
            <v>Los Angeles</v>
          </cell>
          <cell r="C40">
            <v>144</v>
          </cell>
          <cell r="D40">
            <v>148</v>
          </cell>
          <cell r="E40">
            <v>146</v>
          </cell>
          <cell r="F40">
            <v>10</v>
          </cell>
          <cell r="G40">
            <v>156</v>
          </cell>
          <cell r="H40">
            <v>240</v>
          </cell>
          <cell r="I40">
            <v>250</v>
          </cell>
          <cell r="J40">
            <v>245</v>
          </cell>
        </row>
        <row r="41">
          <cell r="A41">
            <v>36586</v>
          </cell>
          <cell r="B41" t="str">
            <v>Los Angeles</v>
          </cell>
          <cell r="C41">
            <v>147</v>
          </cell>
          <cell r="D41">
            <v>149</v>
          </cell>
          <cell r="E41">
            <v>148</v>
          </cell>
          <cell r="F41">
            <v>10</v>
          </cell>
          <cell r="G41">
            <v>158</v>
          </cell>
          <cell r="H41">
            <v>250</v>
          </cell>
          <cell r="I41">
            <v>265</v>
          </cell>
          <cell r="J41">
            <v>257.5</v>
          </cell>
        </row>
        <row r="42">
          <cell r="A42">
            <v>36587</v>
          </cell>
          <cell r="B42" t="str">
            <v>Los Angeles</v>
          </cell>
          <cell r="C42">
            <v>149</v>
          </cell>
          <cell r="D42">
            <v>150</v>
          </cell>
          <cell r="E42">
            <v>149.5</v>
          </cell>
          <cell r="F42">
            <v>10</v>
          </cell>
          <cell r="G42">
            <v>159.5</v>
          </cell>
          <cell r="H42">
            <v>260</v>
          </cell>
          <cell r="I42">
            <v>280</v>
          </cell>
          <cell r="J42">
            <v>270</v>
          </cell>
        </row>
        <row r="43">
          <cell r="A43">
            <v>36588</v>
          </cell>
          <cell r="B43" t="str">
            <v>Los Angeles</v>
          </cell>
          <cell r="C43">
            <v>151</v>
          </cell>
          <cell r="D43">
            <v>154.5</v>
          </cell>
          <cell r="E43">
            <v>152.75</v>
          </cell>
          <cell r="F43">
            <v>10</v>
          </cell>
          <cell r="G43">
            <v>162.75</v>
          </cell>
          <cell r="H43">
            <v>265</v>
          </cell>
          <cell r="I43">
            <v>285</v>
          </cell>
          <cell r="J43">
            <v>275</v>
          </cell>
        </row>
        <row r="44">
          <cell r="A44">
            <v>36591</v>
          </cell>
          <cell r="B44" t="str">
            <v>Los Angeles</v>
          </cell>
          <cell r="C44">
            <v>156</v>
          </cell>
          <cell r="D44">
            <v>160</v>
          </cell>
          <cell r="E44">
            <v>158</v>
          </cell>
          <cell r="F44">
            <v>10</v>
          </cell>
          <cell r="G44">
            <v>168</v>
          </cell>
          <cell r="H44">
            <v>275</v>
          </cell>
          <cell r="I44">
            <v>295</v>
          </cell>
          <cell r="J44">
            <v>285</v>
          </cell>
        </row>
        <row r="45">
          <cell r="A45">
            <v>36592</v>
          </cell>
          <cell r="B45" t="str">
            <v>Los Angeles</v>
          </cell>
          <cell r="C45">
            <v>170</v>
          </cell>
          <cell r="D45">
            <v>174.5</v>
          </cell>
          <cell r="E45">
            <v>172.25</v>
          </cell>
          <cell r="F45">
            <v>10</v>
          </cell>
          <cell r="G45">
            <v>182.25</v>
          </cell>
          <cell r="H45">
            <v>275</v>
          </cell>
          <cell r="I45">
            <v>295</v>
          </cell>
          <cell r="J45">
            <v>285</v>
          </cell>
        </row>
        <row r="46">
          <cell r="A46">
            <v>36593</v>
          </cell>
          <cell r="B46" t="str">
            <v>Los Angeles</v>
          </cell>
          <cell r="C46">
            <v>183</v>
          </cell>
          <cell r="D46">
            <v>191</v>
          </cell>
          <cell r="E46">
            <v>187</v>
          </cell>
          <cell r="F46">
            <v>10</v>
          </cell>
          <cell r="G46">
            <v>197</v>
          </cell>
          <cell r="H46">
            <v>275</v>
          </cell>
          <cell r="I46">
            <v>295</v>
          </cell>
          <cell r="J46">
            <v>285</v>
          </cell>
        </row>
        <row r="47">
          <cell r="A47">
            <v>36594</v>
          </cell>
          <cell r="B47" t="str">
            <v>Los Angeles</v>
          </cell>
          <cell r="C47">
            <v>183</v>
          </cell>
          <cell r="D47">
            <v>191</v>
          </cell>
          <cell r="E47">
            <v>187</v>
          </cell>
          <cell r="F47">
            <v>10</v>
          </cell>
          <cell r="G47">
            <v>197</v>
          </cell>
          <cell r="H47">
            <v>275</v>
          </cell>
          <cell r="I47">
            <v>295</v>
          </cell>
          <cell r="J47">
            <v>285</v>
          </cell>
        </row>
        <row r="48">
          <cell r="A48">
            <v>36595</v>
          </cell>
          <cell r="B48" t="str">
            <v>Los Angeles</v>
          </cell>
          <cell r="C48">
            <v>175</v>
          </cell>
          <cell r="D48">
            <v>179</v>
          </cell>
          <cell r="E48">
            <v>177</v>
          </cell>
          <cell r="F48">
            <v>10</v>
          </cell>
          <cell r="G48">
            <v>187</v>
          </cell>
          <cell r="H48">
            <v>275</v>
          </cell>
          <cell r="I48">
            <v>295</v>
          </cell>
          <cell r="J48">
            <v>285</v>
          </cell>
        </row>
        <row r="49">
          <cell r="A49">
            <v>36598</v>
          </cell>
          <cell r="B49" t="str">
            <v>Los Angeles</v>
          </cell>
          <cell r="C49">
            <v>165</v>
          </cell>
          <cell r="D49">
            <v>170</v>
          </cell>
          <cell r="E49">
            <v>167.5</v>
          </cell>
          <cell r="F49">
            <v>10</v>
          </cell>
          <cell r="G49">
            <v>177.5</v>
          </cell>
          <cell r="H49">
            <v>270</v>
          </cell>
          <cell r="I49">
            <v>290</v>
          </cell>
          <cell r="J49">
            <v>280</v>
          </cell>
        </row>
        <row r="50">
          <cell r="A50">
            <v>36599</v>
          </cell>
          <cell r="B50" t="str">
            <v>Los Angeles</v>
          </cell>
          <cell r="C50">
            <v>161</v>
          </cell>
          <cell r="D50">
            <v>165</v>
          </cell>
          <cell r="E50">
            <v>163</v>
          </cell>
          <cell r="F50">
            <v>10</v>
          </cell>
          <cell r="G50">
            <v>173</v>
          </cell>
          <cell r="H50">
            <v>270</v>
          </cell>
          <cell r="I50">
            <v>290</v>
          </cell>
          <cell r="J50">
            <v>280</v>
          </cell>
        </row>
        <row r="51">
          <cell r="A51">
            <v>36600</v>
          </cell>
          <cell r="B51" t="str">
            <v>Los Angeles</v>
          </cell>
          <cell r="C51">
            <v>161</v>
          </cell>
          <cell r="D51">
            <v>163.5</v>
          </cell>
          <cell r="E51">
            <v>162.25</v>
          </cell>
          <cell r="F51">
            <v>10</v>
          </cell>
          <cell r="G51">
            <v>172.25</v>
          </cell>
          <cell r="H51">
            <v>270</v>
          </cell>
          <cell r="I51">
            <v>280</v>
          </cell>
          <cell r="J51">
            <v>275</v>
          </cell>
        </row>
        <row r="52">
          <cell r="A52">
            <v>36601</v>
          </cell>
          <cell r="B52" t="str">
            <v>Los Angeles</v>
          </cell>
          <cell r="C52">
            <v>159.5</v>
          </cell>
          <cell r="D52">
            <v>165</v>
          </cell>
          <cell r="E52">
            <v>162.25</v>
          </cell>
          <cell r="F52">
            <v>10</v>
          </cell>
          <cell r="G52">
            <v>172.25</v>
          </cell>
          <cell r="H52">
            <v>275</v>
          </cell>
          <cell r="I52">
            <v>285</v>
          </cell>
          <cell r="J52">
            <v>280</v>
          </cell>
        </row>
        <row r="53">
          <cell r="A53">
            <v>36602</v>
          </cell>
          <cell r="B53" t="str">
            <v>Los Angeles</v>
          </cell>
          <cell r="C53">
            <v>159.5</v>
          </cell>
          <cell r="D53">
            <v>165</v>
          </cell>
          <cell r="E53">
            <v>162.25</v>
          </cell>
          <cell r="F53">
            <v>10</v>
          </cell>
          <cell r="G53">
            <v>172.25</v>
          </cell>
          <cell r="H53">
            <v>275</v>
          </cell>
          <cell r="I53">
            <v>285</v>
          </cell>
          <cell r="J53">
            <v>280</v>
          </cell>
        </row>
        <row r="54">
          <cell r="A54">
            <v>36605</v>
          </cell>
          <cell r="B54" t="str">
            <v>Los Angeles</v>
          </cell>
          <cell r="C54">
            <v>153.5</v>
          </cell>
          <cell r="D54">
            <v>155.5</v>
          </cell>
          <cell r="E54">
            <v>154.5</v>
          </cell>
          <cell r="F54">
            <v>10</v>
          </cell>
          <cell r="G54">
            <v>164.5</v>
          </cell>
          <cell r="H54">
            <v>275</v>
          </cell>
          <cell r="I54">
            <v>285</v>
          </cell>
          <cell r="J54">
            <v>280</v>
          </cell>
        </row>
        <row r="55">
          <cell r="A55">
            <v>36606</v>
          </cell>
          <cell r="B55" t="str">
            <v>Los Angeles</v>
          </cell>
          <cell r="C55">
            <v>146.5</v>
          </cell>
          <cell r="D55">
            <v>150</v>
          </cell>
          <cell r="E55">
            <v>148.25</v>
          </cell>
          <cell r="F55">
            <v>10</v>
          </cell>
          <cell r="G55">
            <v>158.25</v>
          </cell>
          <cell r="H55">
            <v>275</v>
          </cell>
          <cell r="I55">
            <v>285</v>
          </cell>
          <cell r="J55">
            <v>280</v>
          </cell>
        </row>
        <row r="56">
          <cell r="A56">
            <v>36607</v>
          </cell>
          <cell r="B56" t="str">
            <v>Los Angeles</v>
          </cell>
          <cell r="C56">
            <v>140</v>
          </cell>
          <cell r="D56">
            <v>144</v>
          </cell>
          <cell r="E56">
            <v>142</v>
          </cell>
          <cell r="F56">
            <v>10</v>
          </cell>
          <cell r="G56">
            <v>152</v>
          </cell>
          <cell r="H56">
            <v>270</v>
          </cell>
          <cell r="I56">
            <v>280</v>
          </cell>
          <cell r="J56">
            <v>275</v>
          </cell>
        </row>
        <row r="57">
          <cell r="A57">
            <v>36608</v>
          </cell>
          <cell r="B57" t="str">
            <v>Los Angeles</v>
          </cell>
          <cell r="C57">
            <v>141</v>
          </cell>
          <cell r="D57">
            <v>145</v>
          </cell>
          <cell r="E57">
            <v>143</v>
          </cell>
          <cell r="F57">
            <v>10</v>
          </cell>
          <cell r="G57">
            <v>153</v>
          </cell>
          <cell r="H57">
            <v>270</v>
          </cell>
          <cell r="I57">
            <v>280</v>
          </cell>
          <cell r="J57">
            <v>275</v>
          </cell>
        </row>
        <row r="58">
          <cell r="A58">
            <v>36609</v>
          </cell>
          <cell r="B58" t="str">
            <v>Los Angeles</v>
          </cell>
          <cell r="C58">
            <v>146</v>
          </cell>
          <cell r="D58">
            <v>151</v>
          </cell>
          <cell r="E58">
            <v>148.5</v>
          </cell>
          <cell r="F58">
            <v>10</v>
          </cell>
          <cell r="G58">
            <v>158.5</v>
          </cell>
          <cell r="H58">
            <v>275</v>
          </cell>
          <cell r="I58">
            <v>285</v>
          </cell>
          <cell r="J58">
            <v>280</v>
          </cell>
        </row>
        <row r="59">
          <cell r="A59">
            <v>36612</v>
          </cell>
          <cell r="B59" t="str">
            <v>Los Angeles</v>
          </cell>
          <cell r="C59">
            <v>147</v>
          </cell>
          <cell r="D59">
            <v>150</v>
          </cell>
          <cell r="E59">
            <v>148.5</v>
          </cell>
          <cell r="F59">
            <v>10</v>
          </cell>
          <cell r="G59">
            <v>158.5</v>
          </cell>
          <cell r="H59">
            <v>275</v>
          </cell>
          <cell r="I59">
            <v>285</v>
          </cell>
          <cell r="J59">
            <v>280</v>
          </cell>
        </row>
        <row r="60">
          <cell r="A60">
            <v>36613</v>
          </cell>
          <cell r="B60" t="str">
            <v>Los Angeles</v>
          </cell>
          <cell r="C60">
            <v>146</v>
          </cell>
          <cell r="D60">
            <v>147</v>
          </cell>
          <cell r="E60">
            <v>146.5</v>
          </cell>
          <cell r="F60">
            <v>10</v>
          </cell>
          <cell r="G60">
            <v>156.5</v>
          </cell>
          <cell r="H60">
            <v>275</v>
          </cell>
          <cell r="I60">
            <v>285</v>
          </cell>
          <cell r="J60">
            <v>280</v>
          </cell>
        </row>
        <row r="61">
          <cell r="A61">
            <v>36614</v>
          </cell>
          <cell r="B61" t="str">
            <v>Los Angeles</v>
          </cell>
          <cell r="C61">
            <v>147</v>
          </cell>
          <cell r="D61">
            <v>151</v>
          </cell>
          <cell r="E61">
            <v>149</v>
          </cell>
          <cell r="F61">
            <v>10</v>
          </cell>
          <cell r="G61">
            <v>159</v>
          </cell>
          <cell r="H61">
            <v>275</v>
          </cell>
          <cell r="I61">
            <v>285</v>
          </cell>
          <cell r="J61">
            <v>280</v>
          </cell>
        </row>
        <row r="62">
          <cell r="A62">
            <v>36615</v>
          </cell>
          <cell r="B62" t="str">
            <v>Los Angeles</v>
          </cell>
          <cell r="C62">
            <v>148</v>
          </cell>
          <cell r="D62">
            <v>151</v>
          </cell>
          <cell r="E62">
            <v>149.5</v>
          </cell>
          <cell r="F62">
            <v>10</v>
          </cell>
          <cell r="G62">
            <v>159.5</v>
          </cell>
          <cell r="H62">
            <v>275</v>
          </cell>
          <cell r="I62">
            <v>285</v>
          </cell>
          <cell r="J62">
            <v>280</v>
          </cell>
        </row>
        <row r="63">
          <cell r="A63">
            <v>36616</v>
          </cell>
          <cell r="B63" t="str">
            <v>Los Angeles</v>
          </cell>
          <cell r="C63">
            <v>154</v>
          </cell>
          <cell r="D63">
            <v>156</v>
          </cell>
          <cell r="E63">
            <v>155</v>
          </cell>
          <cell r="F63">
            <v>10</v>
          </cell>
          <cell r="G63">
            <v>165</v>
          </cell>
          <cell r="H63">
            <v>275</v>
          </cell>
          <cell r="I63">
            <v>285</v>
          </cell>
          <cell r="J63">
            <v>280</v>
          </cell>
        </row>
        <row r="64">
          <cell r="A64">
            <v>36619</v>
          </cell>
          <cell r="B64" t="str">
            <v>Los Angeles</v>
          </cell>
          <cell r="C64">
            <v>154</v>
          </cell>
          <cell r="D64">
            <v>158</v>
          </cell>
          <cell r="E64">
            <v>156</v>
          </cell>
          <cell r="F64">
            <v>10</v>
          </cell>
          <cell r="G64">
            <v>166</v>
          </cell>
          <cell r="H64">
            <v>275</v>
          </cell>
          <cell r="I64">
            <v>285</v>
          </cell>
          <cell r="J64">
            <v>280</v>
          </cell>
        </row>
        <row r="65">
          <cell r="A65">
            <v>36620</v>
          </cell>
          <cell r="B65" t="str">
            <v>Los Angeles</v>
          </cell>
          <cell r="C65">
            <v>165</v>
          </cell>
          <cell r="D65">
            <v>167</v>
          </cell>
          <cell r="E65">
            <v>166</v>
          </cell>
          <cell r="F65">
            <v>10</v>
          </cell>
          <cell r="G65">
            <v>176</v>
          </cell>
          <cell r="H65">
            <v>275</v>
          </cell>
          <cell r="I65">
            <v>285</v>
          </cell>
          <cell r="J65">
            <v>280</v>
          </cell>
        </row>
        <row r="66">
          <cell r="A66">
            <v>36621</v>
          </cell>
          <cell r="B66" t="str">
            <v>Los Angeles</v>
          </cell>
          <cell r="C66">
            <v>167</v>
          </cell>
          <cell r="D66">
            <v>170.5</v>
          </cell>
          <cell r="E66">
            <v>168.75</v>
          </cell>
          <cell r="F66">
            <v>10</v>
          </cell>
          <cell r="G66">
            <v>178.75</v>
          </cell>
          <cell r="H66">
            <v>275</v>
          </cell>
          <cell r="I66">
            <v>285</v>
          </cell>
          <cell r="J66">
            <v>280</v>
          </cell>
        </row>
        <row r="67">
          <cell r="A67">
            <v>36622</v>
          </cell>
          <cell r="B67" t="str">
            <v>Los Angeles</v>
          </cell>
          <cell r="C67">
            <v>165</v>
          </cell>
          <cell r="D67">
            <v>167</v>
          </cell>
          <cell r="E67">
            <v>166</v>
          </cell>
          <cell r="F67">
            <v>10</v>
          </cell>
          <cell r="G67">
            <v>176</v>
          </cell>
          <cell r="H67">
            <v>275</v>
          </cell>
          <cell r="I67">
            <v>285</v>
          </cell>
          <cell r="J67">
            <v>280</v>
          </cell>
        </row>
        <row r="68">
          <cell r="A68">
            <v>36623</v>
          </cell>
          <cell r="B68" t="str">
            <v>Los Angeles</v>
          </cell>
          <cell r="C68">
            <v>163</v>
          </cell>
          <cell r="D68">
            <v>167</v>
          </cell>
          <cell r="E68">
            <v>165</v>
          </cell>
          <cell r="F68">
            <v>10</v>
          </cell>
          <cell r="G68">
            <v>175</v>
          </cell>
          <cell r="H68">
            <v>275</v>
          </cell>
          <cell r="I68">
            <v>285</v>
          </cell>
          <cell r="J68">
            <v>280</v>
          </cell>
        </row>
        <row r="69">
          <cell r="A69">
            <v>36626</v>
          </cell>
          <cell r="B69" t="str">
            <v>Los Angeles</v>
          </cell>
          <cell r="C69">
            <v>158</v>
          </cell>
          <cell r="D69">
            <v>162</v>
          </cell>
          <cell r="E69">
            <v>160</v>
          </cell>
          <cell r="F69">
            <v>10</v>
          </cell>
          <cell r="G69">
            <v>170</v>
          </cell>
          <cell r="H69">
            <v>275</v>
          </cell>
          <cell r="I69">
            <v>285</v>
          </cell>
          <cell r="J69">
            <v>280</v>
          </cell>
        </row>
        <row r="70">
          <cell r="A70">
            <v>36627</v>
          </cell>
          <cell r="B70" t="str">
            <v>Los Angeles</v>
          </cell>
          <cell r="C70">
            <v>141</v>
          </cell>
          <cell r="D70">
            <v>145</v>
          </cell>
          <cell r="E70">
            <v>143</v>
          </cell>
          <cell r="F70">
            <v>10</v>
          </cell>
          <cell r="G70">
            <v>153</v>
          </cell>
          <cell r="H70">
            <v>265</v>
          </cell>
          <cell r="I70">
            <v>275</v>
          </cell>
          <cell r="J70">
            <v>270</v>
          </cell>
        </row>
        <row r="71">
          <cell r="A71">
            <v>36628</v>
          </cell>
          <cell r="B71" t="str">
            <v>Los Angeles</v>
          </cell>
          <cell r="C71">
            <v>132</v>
          </cell>
          <cell r="D71">
            <v>136</v>
          </cell>
          <cell r="E71">
            <v>134</v>
          </cell>
          <cell r="F71">
            <v>10</v>
          </cell>
          <cell r="G71">
            <v>144</v>
          </cell>
          <cell r="H71">
            <v>285</v>
          </cell>
          <cell r="I71">
            <v>290</v>
          </cell>
          <cell r="J71">
            <v>287.5</v>
          </cell>
        </row>
        <row r="72">
          <cell r="A72">
            <v>36629</v>
          </cell>
          <cell r="B72" t="str">
            <v>Los Angeles</v>
          </cell>
          <cell r="C72">
            <v>135</v>
          </cell>
          <cell r="D72">
            <v>138</v>
          </cell>
          <cell r="E72">
            <v>136.5</v>
          </cell>
          <cell r="F72">
            <v>10</v>
          </cell>
          <cell r="G72">
            <v>146.5</v>
          </cell>
          <cell r="H72">
            <v>265</v>
          </cell>
          <cell r="I72">
            <v>275</v>
          </cell>
          <cell r="J72">
            <v>270</v>
          </cell>
        </row>
        <row r="73">
          <cell r="A73">
            <v>36630</v>
          </cell>
          <cell r="B73" t="str">
            <v>Los Angeles</v>
          </cell>
          <cell r="C73">
            <v>138</v>
          </cell>
          <cell r="D73">
            <v>140</v>
          </cell>
          <cell r="E73">
            <v>139</v>
          </cell>
          <cell r="F73">
            <v>10</v>
          </cell>
          <cell r="G73">
            <v>149</v>
          </cell>
          <cell r="H73">
            <v>265</v>
          </cell>
          <cell r="I73">
            <v>275</v>
          </cell>
          <cell r="J73">
            <v>270</v>
          </cell>
        </row>
        <row r="74">
          <cell r="A74">
            <v>36633</v>
          </cell>
          <cell r="B74" t="str">
            <v>Los Angeles</v>
          </cell>
          <cell r="C74">
            <v>135</v>
          </cell>
          <cell r="D74">
            <v>140</v>
          </cell>
          <cell r="E74">
            <v>137.5</v>
          </cell>
          <cell r="F74">
            <v>10</v>
          </cell>
          <cell r="G74">
            <v>147.5</v>
          </cell>
          <cell r="H74">
            <v>285</v>
          </cell>
          <cell r="I74">
            <v>290</v>
          </cell>
          <cell r="J74">
            <v>287.5</v>
          </cell>
        </row>
        <row r="75">
          <cell r="A75">
            <v>36634</v>
          </cell>
          <cell r="B75" t="str">
            <v>Los Angeles</v>
          </cell>
          <cell r="C75">
            <v>142</v>
          </cell>
          <cell r="D75">
            <v>149</v>
          </cell>
          <cell r="E75">
            <v>145.5</v>
          </cell>
          <cell r="F75">
            <v>10</v>
          </cell>
          <cell r="G75">
            <v>155.5</v>
          </cell>
          <cell r="H75">
            <v>255</v>
          </cell>
          <cell r="I75">
            <v>265</v>
          </cell>
          <cell r="J75">
            <v>260</v>
          </cell>
        </row>
        <row r="76">
          <cell r="A76">
            <v>36635</v>
          </cell>
          <cell r="B76" t="str">
            <v>Los Angeles</v>
          </cell>
          <cell r="C76">
            <v>149</v>
          </cell>
          <cell r="D76">
            <v>154</v>
          </cell>
          <cell r="E76">
            <v>151.5</v>
          </cell>
          <cell r="F76">
            <v>10</v>
          </cell>
          <cell r="G76">
            <v>161.5</v>
          </cell>
          <cell r="H76">
            <v>255</v>
          </cell>
          <cell r="I76">
            <v>265</v>
          </cell>
          <cell r="J76">
            <v>260</v>
          </cell>
        </row>
        <row r="77">
          <cell r="A77">
            <v>36636</v>
          </cell>
          <cell r="B77" t="str">
            <v>Los Angeles</v>
          </cell>
          <cell r="C77">
            <v>147</v>
          </cell>
          <cell r="D77">
            <v>152</v>
          </cell>
          <cell r="E77">
            <v>149.5</v>
          </cell>
          <cell r="F77">
            <v>10</v>
          </cell>
          <cell r="G77">
            <v>159.5</v>
          </cell>
          <cell r="H77">
            <v>255</v>
          </cell>
          <cell r="I77">
            <v>265</v>
          </cell>
          <cell r="J77">
            <v>260</v>
          </cell>
        </row>
        <row r="78">
          <cell r="A78">
            <v>36637</v>
          </cell>
          <cell r="B78" t="str">
            <v>Los Angeles</v>
          </cell>
          <cell r="C78">
            <v>147</v>
          </cell>
          <cell r="D78">
            <v>152</v>
          </cell>
          <cell r="E78">
            <v>149.5</v>
          </cell>
          <cell r="F78">
            <v>10</v>
          </cell>
          <cell r="G78">
            <v>159.5</v>
          </cell>
          <cell r="H78">
            <v>255</v>
          </cell>
          <cell r="I78">
            <v>265</v>
          </cell>
          <cell r="J78">
            <v>260</v>
          </cell>
        </row>
        <row r="79">
          <cell r="A79">
            <v>36640</v>
          </cell>
          <cell r="B79" t="str">
            <v>Los Angeles</v>
          </cell>
          <cell r="C79">
            <v>146</v>
          </cell>
          <cell r="D79">
            <v>150</v>
          </cell>
          <cell r="E79">
            <v>148</v>
          </cell>
          <cell r="F79">
            <v>10</v>
          </cell>
          <cell r="G79">
            <v>158</v>
          </cell>
          <cell r="H79">
            <v>255</v>
          </cell>
          <cell r="I79">
            <v>265</v>
          </cell>
          <cell r="J79">
            <v>260</v>
          </cell>
        </row>
        <row r="80">
          <cell r="A80">
            <v>36641</v>
          </cell>
          <cell r="B80" t="str">
            <v>Los Angeles</v>
          </cell>
          <cell r="C80">
            <v>145</v>
          </cell>
          <cell r="D80">
            <v>150</v>
          </cell>
          <cell r="E80">
            <v>147.5</v>
          </cell>
          <cell r="F80">
            <v>10</v>
          </cell>
          <cell r="G80">
            <v>157.5</v>
          </cell>
          <cell r="H80">
            <v>255</v>
          </cell>
          <cell r="I80">
            <v>265</v>
          </cell>
          <cell r="J80">
            <v>260</v>
          </cell>
        </row>
        <row r="81">
          <cell r="A81">
            <v>36642</v>
          </cell>
          <cell r="B81" t="str">
            <v>Los Angeles</v>
          </cell>
          <cell r="C81">
            <v>143</v>
          </cell>
          <cell r="D81">
            <v>147</v>
          </cell>
          <cell r="E81">
            <v>145</v>
          </cell>
          <cell r="F81">
            <v>10</v>
          </cell>
          <cell r="G81">
            <v>155</v>
          </cell>
          <cell r="H81">
            <v>255</v>
          </cell>
          <cell r="I81">
            <v>265</v>
          </cell>
          <cell r="J81">
            <v>260</v>
          </cell>
        </row>
        <row r="82">
          <cell r="A82">
            <v>36643</v>
          </cell>
          <cell r="B82" t="str">
            <v>Los Angeles</v>
          </cell>
          <cell r="C82">
            <v>143</v>
          </cell>
          <cell r="D82">
            <v>147</v>
          </cell>
          <cell r="E82">
            <v>145</v>
          </cell>
          <cell r="F82">
            <v>10</v>
          </cell>
          <cell r="G82">
            <v>155</v>
          </cell>
          <cell r="H82">
            <v>255</v>
          </cell>
          <cell r="I82">
            <v>265</v>
          </cell>
          <cell r="J82">
            <v>260</v>
          </cell>
        </row>
        <row r="83">
          <cell r="A83">
            <v>36644</v>
          </cell>
          <cell r="B83" t="str">
            <v>Los Angeles</v>
          </cell>
          <cell r="C83">
            <v>145</v>
          </cell>
          <cell r="D83">
            <v>148</v>
          </cell>
          <cell r="E83">
            <v>146.5</v>
          </cell>
          <cell r="F83">
            <v>10</v>
          </cell>
          <cell r="G83">
            <v>156.5</v>
          </cell>
          <cell r="H83">
            <v>240</v>
          </cell>
          <cell r="I83">
            <v>265</v>
          </cell>
          <cell r="J83">
            <v>252.5</v>
          </cell>
        </row>
        <row r="84">
          <cell r="A84">
            <v>36645</v>
          </cell>
          <cell r="B84" t="str">
            <v>Los Angeles</v>
          </cell>
          <cell r="C84">
            <v>145</v>
          </cell>
          <cell r="D84">
            <v>148</v>
          </cell>
          <cell r="E84">
            <v>146.5</v>
          </cell>
          <cell r="F84">
            <v>10</v>
          </cell>
          <cell r="G84">
            <v>156.5</v>
          </cell>
          <cell r="H84">
            <v>240</v>
          </cell>
          <cell r="I84">
            <v>265</v>
          </cell>
          <cell r="J84">
            <v>252.5</v>
          </cell>
        </row>
        <row r="85">
          <cell r="A85">
            <v>36647</v>
          </cell>
          <cell r="B85" t="str">
            <v>Los Angeles</v>
          </cell>
          <cell r="C85">
            <v>145</v>
          </cell>
          <cell r="D85">
            <v>148</v>
          </cell>
          <cell r="E85">
            <v>146.5</v>
          </cell>
          <cell r="F85">
            <v>10</v>
          </cell>
          <cell r="G85">
            <v>156.5</v>
          </cell>
          <cell r="H85">
            <v>240</v>
          </cell>
          <cell r="I85">
            <v>265</v>
          </cell>
          <cell r="J85">
            <v>252.5</v>
          </cell>
        </row>
        <row r="86">
          <cell r="A86">
            <v>36648</v>
          </cell>
          <cell r="B86" t="str">
            <v>Los Angeles</v>
          </cell>
          <cell r="C86">
            <v>146</v>
          </cell>
          <cell r="D86">
            <v>149</v>
          </cell>
          <cell r="E86">
            <v>147.5</v>
          </cell>
          <cell r="F86">
            <v>10</v>
          </cell>
          <cell r="G86">
            <v>157.5</v>
          </cell>
          <cell r="H86">
            <v>250</v>
          </cell>
          <cell r="I86">
            <v>270</v>
          </cell>
          <cell r="J86">
            <v>260</v>
          </cell>
        </row>
        <row r="87">
          <cell r="A87">
            <v>36649</v>
          </cell>
          <cell r="B87" t="str">
            <v>Los Angeles</v>
          </cell>
          <cell r="C87">
            <v>146</v>
          </cell>
          <cell r="D87">
            <v>149</v>
          </cell>
          <cell r="E87">
            <v>147.5</v>
          </cell>
          <cell r="F87">
            <v>10</v>
          </cell>
          <cell r="G87">
            <v>157.5</v>
          </cell>
          <cell r="H87">
            <v>250</v>
          </cell>
          <cell r="I87">
            <v>270</v>
          </cell>
          <cell r="J87">
            <v>260</v>
          </cell>
        </row>
        <row r="88">
          <cell r="A88">
            <v>36650</v>
          </cell>
          <cell r="B88" t="str">
            <v>Los Angeles</v>
          </cell>
          <cell r="C88">
            <v>146</v>
          </cell>
          <cell r="D88">
            <v>149</v>
          </cell>
          <cell r="E88">
            <v>147.5</v>
          </cell>
          <cell r="F88">
            <v>10</v>
          </cell>
          <cell r="G88">
            <v>157.5</v>
          </cell>
          <cell r="H88">
            <v>250</v>
          </cell>
          <cell r="I88">
            <v>270</v>
          </cell>
          <cell r="J88">
            <v>260</v>
          </cell>
        </row>
        <row r="89">
          <cell r="A89">
            <v>36651</v>
          </cell>
          <cell r="B89" t="str">
            <v>Los Angeles</v>
          </cell>
          <cell r="C89">
            <v>146</v>
          </cell>
          <cell r="D89">
            <v>149</v>
          </cell>
          <cell r="E89">
            <v>147.5</v>
          </cell>
          <cell r="F89">
            <v>10</v>
          </cell>
          <cell r="G89">
            <v>157.5</v>
          </cell>
          <cell r="H89">
            <v>250</v>
          </cell>
          <cell r="I89">
            <v>270</v>
          </cell>
          <cell r="J89">
            <v>260</v>
          </cell>
        </row>
        <row r="90">
          <cell r="A90">
            <v>36652</v>
          </cell>
          <cell r="B90" t="str">
            <v>Los Angeles</v>
          </cell>
          <cell r="C90">
            <v>146</v>
          </cell>
          <cell r="D90">
            <v>149</v>
          </cell>
          <cell r="E90">
            <v>147.5</v>
          </cell>
          <cell r="F90">
            <v>10</v>
          </cell>
          <cell r="G90">
            <v>157.5</v>
          </cell>
          <cell r="H90">
            <v>250</v>
          </cell>
          <cell r="I90">
            <v>270</v>
          </cell>
          <cell r="J90">
            <v>260</v>
          </cell>
        </row>
        <row r="91">
          <cell r="A91">
            <v>36653</v>
          </cell>
          <cell r="B91" t="str">
            <v>Los Angeles</v>
          </cell>
          <cell r="C91">
            <v>146</v>
          </cell>
          <cell r="D91">
            <v>149</v>
          </cell>
          <cell r="E91">
            <v>147.5</v>
          </cell>
          <cell r="F91">
            <v>10</v>
          </cell>
          <cell r="G91">
            <v>157.5</v>
          </cell>
          <cell r="H91">
            <v>250</v>
          </cell>
          <cell r="I91">
            <v>270</v>
          </cell>
          <cell r="J91">
            <v>260</v>
          </cell>
        </row>
        <row r="92">
          <cell r="A92">
            <v>36654</v>
          </cell>
          <cell r="B92" t="str">
            <v>Los Angeles</v>
          </cell>
          <cell r="C92">
            <v>146</v>
          </cell>
          <cell r="D92">
            <v>149</v>
          </cell>
          <cell r="E92">
            <v>147.5</v>
          </cell>
          <cell r="F92">
            <v>10</v>
          </cell>
          <cell r="G92">
            <v>157.5</v>
          </cell>
          <cell r="H92">
            <v>250</v>
          </cell>
          <cell r="I92">
            <v>270</v>
          </cell>
          <cell r="J92">
            <v>260</v>
          </cell>
        </row>
        <row r="93">
          <cell r="A93">
            <v>36655</v>
          </cell>
          <cell r="B93" t="str">
            <v>Los Angeles</v>
          </cell>
          <cell r="C93">
            <v>149</v>
          </cell>
          <cell r="D93">
            <v>153</v>
          </cell>
          <cell r="E93">
            <v>151</v>
          </cell>
          <cell r="F93">
            <v>10</v>
          </cell>
          <cell r="G93">
            <v>161</v>
          </cell>
          <cell r="H93">
            <v>250</v>
          </cell>
          <cell r="I93">
            <v>270</v>
          </cell>
          <cell r="J93">
            <v>260</v>
          </cell>
        </row>
        <row r="94">
          <cell r="A94">
            <v>36656</v>
          </cell>
          <cell r="B94" t="str">
            <v>Los Angeles</v>
          </cell>
          <cell r="C94">
            <v>146</v>
          </cell>
          <cell r="D94">
            <v>149</v>
          </cell>
          <cell r="E94">
            <v>147.5</v>
          </cell>
          <cell r="F94">
            <v>10</v>
          </cell>
          <cell r="G94">
            <v>157.5</v>
          </cell>
          <cell r="H94">
            <v>250</v>
          </cell>
          <cell r="I94">
            <v>270</v>
          </cell>
          <cell r="J94">
            <v>260</v>
          </cell>
        </row>
        <row r="95">
          <cell r="A95">
            <v>36657</v>
          </cell>
          <cell r="B95" t="str">
            <v>Los Angeles</v>
          </cell>
          <cell r="C95">
            <v>146</v>
          </cell>
          <cell r="D95">
            <v>149</v>
          </cell>
          <cell r="E95">
            <v>147.5</v>
          </cell>
          <cell r="F95">
            <v>10</v>
          </cell>
          <cell r="G95">
            <v>157.5</v>
          </cell>
          <cell r="H95">
            <v>250</v>
          </cell>
          <cell r="I95">
            <v>270</v>
          </cell>
          <cell r="J95">
            <v>260</v>
          </cell>
        </row>
        <row r="96">
          <cell r="A96">
            <v>36658</v>
          </cell>
          <cell r="B96" t="str">
            <v>Los Angeles</v>
          </cell>
          <cell r="C96">
            <v>146</v>
          </cell>
          <cell r="D96">
            <v>149</v>
          </cell>
          <cell r="E96">
            <v>147.5</v>
          </cell>
          <cell r="F96">
            <v>10</v>
          </cell>
          <cell r="G96">
            <v>157.5</v>
          </cell>
          <cell r="H96">
            <v>250</v>
          </cell>
          <cell r="I96">
            <v>270</v>
          </cell>
          <cell r="J96">
            <v>260</v>
          </cell>
        </row>
        <row r="97">
          <cell r="A97">
            <v>36659</v>
          </cell>
          <cell r="B97" t="str">
            <v>Los Angeles</v>
          </cell>
          <cell r="C97">
            <v>146</v>
          </cell>
          <cell r="D97">
            <v>149</v>
          </cell>
          <cell r="E97">
            <v>147.5</v>
          </cell>
          <cell r="F97">
            <v>10</v>
          </cell>
          <cell r="G97">
            <v>157.5</v>
          </cell>
          <cell r="H97">
            <v>250</v>
          </cell>
          <cell r="I97">
            <v>270</v>
          </cell>
          <cell r="J97">
            <v>260</v>
          </cell>
        </row>
        <row r="98">
          <cell r="A98">
            <v>36660</v>
          </cell>
          <cell r="B98" t="str">
            <v>Los Angeles</v>
          </cell>
          <cell r="C98">
            <v>146</v>
          </cell>
          <cell r="D98">
            <v>149</v>
          </cell>
          <cell r="E98">
            <v>147.5</v>
          </cell>
          <cell r="F98">
            <v>10</v>
          </cell>
          <cell r="G98">
            <v>157.5</v>
          </cell>
          <cell r="H98">
            <v>250</v>
          </cell>
          <cell r="I98">
            <v>270</v>
          </cell>
          <cell r="J98">
            <v>260</v>
          </cell>
        </row>
        <row r="99">
          <cell r="A99">
            <v>36661</v>
          </cell>
          <cell r="B99" t="str">
            <v>Los Angeles</v>
          </cell>
          <cell r="C99">
            <v>146</v>
          </cell>
          <cell r="D99">
            <v>149</v>
          </cell>
          <cell r="E99">
            <v>147.5</v>
          </cell>
          <cell r="F99">
            <v>10</v>
          </cell>
          <cell r="G99">
            <v>157.5</v>
          </cell>
          <cell r="H99">
            <v>250</v>
          </cell>
          <cell r="I99">
            <v>270</v>
          </cell>
          <cell r="J99">
            <v>260</v>
          </cell>
        </row>
        <row r="100">
          <cell r="A100">
            <v>36662</v>
          </cell>
          <cell r="B100" t="str">
            <v>Los Angeles</v>
          </cell>
          <cell r="C100">
            <v>158</v>
          </cell>
          <cell r="D100">
            <v>160</v>
          </cell>
          <cell r="E100">
            <v>159</v>
          </cell>
          <cell r="F100">
            <v>10</v>
          </cell>
          <cell r="G100">
            <v>169</v>
          </cell>
          <cell r="H100">
            <v>260</v>
          </cell>
          <cell r="I100">
            <v>270</v>
          </cell>
          <cell r="J100">
            <v>265</v>
          </cell>
        </row>
        <row r="101">
          <cell r="A101">
            <v>36663</v>
          </cell>
          <cell r="B101" t="str">
            <v>Los Angeles</v>
          </cell>
          <cell r="C101">
            <v>158</v>
          </cell>
          <cell r="D101">
            <v>160</v>
          </cell>
          <cell r="E101">
            <v>159</v>
          </cell>
          <cell r="F101">
            <v>10</v>
          </cell>
          <cell r="G101">
            <v>169</v>
          </cell>
          <cell r="H101">
            <v>260</v>
          </cell>
          <cell r="I101">
            <v>270</v>
          </cell>
          <cell r="J101">
            <v>265</v>
          </cell>
        </row>
        <row r="102">
          <cell r="A102">
            <v>36664</v>
          </cell>
          <cell r="B102" t="str">
            <v>Los Angeles</v>
          </cell>
          <cell r="C102">
            <v>158</v>
          </cell>
          <cell r="D102">
            <v>160</v>
          </cell>
          <cell r="E102">
            <v>159</v>
          </cell>
          <cell r="F102">
            <v>10</v>
          </cell>
          <cell r="G102">
            <v>169</v>
          </cell>
          <cell r="H102">
            <v>260</v>
          </cell>
          <cell r="I102">
            <v>270</v>
          </cell>
          <cell r="J102">
            <v>265</v>
          </cell>
        </row>
        <row r="103">
          <cell r="A103">
            <v>36665</v>
          </cell>
          <cell r="B103" t="str">
            <v>Los Angeles</v>
          </cell>
          <cell r="C103">
            <v>158</v>
          </cell>
          <cell r="D103">
            <v>160</v>
          </cell>
          <cell r="E103">
            <v>159</v>
          </cell>
          <cell r="F103">
            <v>10</v>
          </cell>
          <cell r="G103">
            <v>169</v>
          </cell>
          <cell r="H103">
            <v>260</v>
          </cell>
          <cell r="I103">
            <v>270</v>
          </cell>
          <cell r="J103">
            <v>265</v>
          </cell>
        </row>
        <row r="104">
          <cell r="A104">
            <v>36666</v>
          </cell>
          <cell r="B104" t="str">
            <v>Los Angeles</v>
          </cell>
          <cell r="C104">
            <v>158</v>
          </cell>
          <cell r="D104">
            <v>160</v>
          </cell>
          <cell r="E104">
            <v>159</v>
          </cell>
          <cell r="F104">
            <v>10</v>
          </cell>
          <cell r="G104">
            <v>169</v>
          </cell>
          <cell r="H104">
            <v>260</v>
          </cell>
          <cell r="I104">
            <v>270</v>
          </cell>
          <cell r="J104">
            <v>265</v>
          </cell>
        </row>
        <row r="105">
          <cell r="A105">
            <v>36667</v>
          </cell>
          <cell r="B105" t="str">
            <v>Los Angeles</v>
          </cell>
          <cell r="C105">
            <v>158</v>
          </cell>
          <cell r="D105">
            <v>160</v>
          </cell>
          <cell r="E105">
            <v>159</v>
          </cell>
          <cell r="F105">
            <v>10</v>
          </cell>
          <cell r="G105">
            <v>169</v>
          </cell>
          <cell r="H105">
            <v>260</v>
          </cell>
          <cell r="I105">
            <v>270</v>
          </cell>
          <cell r="J105">
            <v>265</v>
          </cell>
        </row>
        <row r="106">
          <cell r="A106">
            <v>36668</v>
          </cell>
          <cell r="B106" t="str">
            <v>Los Angeles</v>
          </cell>
          <cell r="C106">
            <v>158</v>
          </cell>
          <cell r="D106">
            <v>160</v>
          </cell>
          <cell r="E106">
            <v>159</v>
          </cell>
          <cell r="F106">
            <v>10</v>
          </cell>
          <cell r="G106">
            <v>169</v>
          </cell>
          <cell r="H106">
            <v>260</v>
          </cell>
          <cell r="I106">
            <v>270</v>
          </cell>
          <cell r="J106">
            <v>265</v>
          </cell>
        </row>
        <row r="107">
          <cell r="A107">
            <v>36669</v>
          </cell>
          <cell r="B107" t="str">
            <v>Los Angeles</v>
          </cell>
          <cell r="C107">
            <v>155</v>
          </cell>
          <cell r="D107">
            <v>158</v>
          </cell>
          <cell r="E107">
            <v>156.5</v>
          </cell>
          <cell r="F107">
            <v>10</v>
          </cell>
          <cell r="G107">
            <v>166.5</v>
          </cell>
          <cell r="H107">
            <v>260</v>
          </cell>
          <cell r="I107">
            <v>270</v>
          </cell>
          <cell r="J107">
            <v>265</v>
          </cell>
        </row>
        <row r="108">
          <cell r="A108">
            <v>36670</v>
          </cell>
          <cell r="B108" t="str">
            <v>Los Angeles</v>
          </cell>
          <cell r="C108">
            <v>155</v>
          </cell>
          <cell r="D108">
            <v>158</v>
          </cell>
          <cell r="E108">
            <v>156.5</v>
          </cell>
          <cell r="F108">
            <v>10</v>
          </cell>
          <cell r="G108">
            <v>166.5</v>
          </cell>
          <cell r="H108">
            <v>260</v>
          </cell>
          <cell r="I108">
            <v>270</v>
          </cell>
          <cell r="J108">
            <v>265</v>
          </cell>
        </row>
        <row r="109">
          <cell r="A109">
            <v>36671</v>
          </cell>
          <cell r="B109" t="str">
            <v>Los Angeles</v>
          </cell>
          <cell r="C109">
            <v>155</v>
          </cell>
          <cell r="D109">
            <v>158</v>
          </cell>
          <cell r="E109">
            <v>156.5</v>
          </cell>
          <cell r="F109">
            <v>10</v>
          </cell>
          <cell r="G109">
            <v>166.5</v>
          </cell>
          <cell r="H109">
            <v>260</v>
          </cell>
          <cell r="I109">
            <v>270</v>
          </cell>
          <cell r="J109">
            <v>265</v>
          </cell>
        </row>
        <row r="110">
          <cell r="A110">
            <v>36672</v>
          </cell>
          <cell r="B110" t="str">
            <v>Los Angeles</v>
          </cell>
          <cell r="C110">
            <v>155</v>
          </cell>
          <cell r="D110">
            <v>158</v>
          </cell>
          <cell r="E110">
            <v>156.5</v>
          </cell>
          <cell r="F110">
            <v>10</v>
          </cell>
          <cell r="G110">
            <v>166.5</v>
          </cell>
          <cell r="H110">
            <v>260</v>
          </cell>
          <cell r="I110">
            <v>270</v>
          </cell>
          <cell r="J110">
            <v>265</v>
          </cell>
        </row>
        <row r="111">
          <cell r="A111">
            <v>36673</v>
          </cell>
          <cell r="B111" t="str">
            <v>Los Angeles</v>
          </cell>
          <cell r="C111">
            <v>155</v>
          </cell>
          <cell r="D111">
            <v>158</v>
          </cell>
          <cell r="E111">
            <v>156.5</v>
          </cell>
          <cell r="F111">
            <v>10</v>
          </cell>
          <cell r="G111">
            <v>166.5</v>
          </cell>
          <cell r="H111">
            <v>260</v>
          </cell>
          <cell r="I111">
            <v>270</v>
          </cell>
          <cell r="J111">
            <v>265</v>
          </cell>
        </row>
        <row r="112">
          <cell r="A112">
            <v>36674</v>
          </cell>
          <cell r="B112" t="str">
            <v>Los Angeles</v>
          </cell>
          <cell r="C112">
            <v>155</v>
          </cell>
          <cell r="D112">
            <v>158</v>
          </cell>
          <cell r="E112">
            <v>156.5</v>
          </cell>
          <cell r="F112">
            <v>10</v>
          </cell>
          <cell r="G112">
            <v>166.5</v>
          </cell>
          <cell r="H112">
            <v>260</v>
          </cell>
          <cell r="I112">
            <v>270</v>
          </cell>
          <cell r="J112">
            <v>265</v>
          </cell>
        </row>
        <row r="113">
          <cell r="A113">
            <v>36675</v>
          </cell>
          <cell r="B113" t="str">
            <v>Los Angeles</v>
          </cell>
          <cell r="C113">
            <v>155</v>
          </cell>
          <cell r="D113">
            <v>158</v>
          </cell>
          <cell r="E113">
            <v>156.5</v>
          </cell>
          <cell r="F113">
            <v>10</v>
          </cell>
          <cell r="G113">
            <v>166.5</v>
          </cell>
          <cell r="H113">
            <v>260</v>
          </cell>
          <cell r="I113">
            <v>270</v>
          </cell>
          <cell r="J113">
            <v>265</v>
          </cell>
        </row>
        <row r="114">
          <cell r="A114">
            <v>36676</v>
          </cell>
          <cell r="B114" t="str">
            <v>Los Angeles</v>
          </cell>
          <cell r="C114">
            <v>155</v>
          </cell>
          <cell r="D114">
            <v>158</v>
          </cell>
          <cell r="E114">
            <v>156.5</v>
          </cell>
          <cell r="F114">
            <v>10</v>
          </cell>
          <cell r="G114">
            <v>166.5</v>
          </cell>
          <cell r="H114">
            <v>260</v>
          </cell>
          <cell r="I114">
            <v>270</v>
          </cell>
          <cell r="J114">
            <v>265</v>
          </cell>
        </row>
        <row r="115">
          <cell r="A115">
            <v>36677</v>
          </cell>
          <cell r="B115" t="str">
            <v>Los Angeles</v>
          </cell>
          <cell r="C115">
            <v>155</v>
          </cell>
          <cell r="D115">
            <v>158</v>
          </cell>
          <cell r="E115">
            <v>156.5</v>
          </cell>
          <cell r="F115">
            <v>11</v>
          </cell>
          <cell r="G115">
            <v>167.5</v>
          </cell>
          <cell r="H115">
            <v>260</v>
          </cell>
          <cell r="I115">
            <v>270</v>
          </cell>
          <cell r="J115">
            <v>265</v>
          </cell>
        </row>
        <row r="116">
          <cell r="A116">
            <v>36678</v>
          </cell>
          <cell r="B116" t="str">
            <v>Los Angeles</v>
          </cell>
          <cell r="C116">
            <v>155</v>
          </cell>
          <cell r="D116">
            <v>158</v>
          </cell>
          <cell r="E116">
            <v>156.5</v>
          </cell>
          <cell r="F116">
            <v>12</v>
          </cell>
          <cell r="G116">
            <v>168.5</v>
          </cell>
          <cell r="H116">
            <v>260</v>
          </cell>
          <cell r="I116">
            <v>270</v>
          </cell>
          <cell r="J116">
            <v>265</v>
          </cell>
        </row>
        <row r="117">
          <cell r="A117">
            <v>36679</v>
          </cell>
          <cell r="B117" t="str">
            <v>Los Angeles</v>
          </cell>
          <cell r="C117">
            <v>155</v>
          </cell>
          <cell r="D117">
            <v>158</v>
          </cell>
          <cell r="E117">
            <v>156.5</v>
          </cell>
          <cell r="F117">
            <v>13</v>
          </cell>
          <cell r="G117">
            <v>169.5</v>
          </cell>
          <cell r="H117">
            <v>260</v>
          </cell>
          <cell r="I117">
            <v>270</v>
          </cell>
          <cell r="J117">
            <v>265</v>
          </cell>
        </row>
        <row r="118">
          <cell r="A118">
            <v>36680</v>
          </cell>
          <cell r="B118" t="str">
            <v>Los Angeles</v>
          </cell>
          <cell r="C118">
            <v>155</v>
          </cell>
          <cell r="D118">
            <v>158</v>
          </cell>
          <cell r="E118">
            <v>156.5</v>
          </cell>
          <cell r="F118">
            <v>14</v>
          </cell>
          <cell r="G118">
            <v>170.5</v>
          </cell>
          <cell r="H118">
            <v>260</v>
          </cell>
          <cell r="I118">
            <v>270</v>
          </cell>
          <cell r="J118">
            <v>265</v>
          </cell>
        </row>
        <row r="119">
          <cell r="A119">
            <v>36681</v>
          </cell>
          <cell r="B119" t="str">
            <v>Los Angeles</v>
          </cell>
          <cell r="C119">
            <v>155</v>
          </cell>
          <cell r="D119">
            <v>158</v>
          </cell>
          <cell r="E119">
            <v>156.5</v>
          </cell>
          <cell r="F119">
            <v>15</v>
          </cell>
          <cell r="G119">
            <v>171.5</v>
          </cell>
          <cell r="H119">
            <v>260</v>
          </cell>
          <cell r="I119">
            <v>270</v>
          </cell>
          <cell r="J119">
            <v>265</v>
          </cell>
        </row>
        <row r="120">
          <cell r="A120">
            <v>36682</v>
          </cell>
          <cell r="B120" t="str">
            <v>Los Angeles</v>
          </cell>
          <cell r="C120">
            <v>155</v>
          </cell>
          <cell r="D120">
            <v>158</v>
          </cell>
          <cell r="E120">
            <v>156.5</v>
          </cell>
          <cell r="F120">
            <v>16</v>
          </cell>
          <cell r="G120">
            <v>172.5</v>
          </cell>
          <cell r="H120">
            <v>260</v>
          </cell>
          <cell r="I120">
            <v>270</v>
          </cell>
          <cell r="J120">
            <v>265</v>
          </cell>
        </row>
        <row r="121">
          <cell r="A121">
            <v>36683</v>
          </cell>
          <cell r="B121" t="str">
            <v>Los Angeles</v>
          </cell>
          <cell r="C121">
            <v>157</v>
          </cell>
          <cell r="D121">
            <v>162</v>
          </cell>
          <cell r="E121">
            <v>159.5</v>
          </cell>
          <cell r="F121">
            <v>15</v>
          </cell>
          <cell r="G121">
            <v>174.5</v>
          </cell>
          <cell r="H121">
            <v>250</v>
          </cell>
          <cell r="I121">
            <v>260</v>
          </cell>
          <cell r="J121">
            <v>255</v>
          </cell>
        </row>
        <row r="122">
          <cell r="A122">
            <v>36684</v>
          </cell>
          <cell r="B122" t="str">
            <v>Los Angeles</v>
          </cell>
          <cell r="C122">
            <v>157</v>
          </cell>
          <cell r="D122">
            <v>162</v>
          </cell>
          <cell r="E122">
            <v>159.5</v>
          </cell>
          <cell r="F122">
            <v>16</v>
          </cell>
          <cell r="G122">
            <v>175.5</v>
          </cell>
          <cell r="H122">
            <v>250</v>
          </cell>
          <cell r="I122">
            <v>260</v>
          </cell>
          <cell r="J122">
            <v>255</v>
          </cell>
        </row>
        <row r="123">
          <cell r="A123">
            <v>36685</v>
          </cell>
          <cell r="B123" t="str">
            <v>Los Angeles</v>
          </cell>
          <cell r="C123">
            <v>157</v>
          </cell>
          <cell r="D123">
            <v>162</v>
          </cell>
          <cell r="E123">
            <v>159.5</v>
          </cell>
          <cell r="F123">
            <v>17</v>
          </cell>
          <cell r="G123">
            <v>176.5</v>
          </cell>
          <cell r="H123">
            <v>250</v>
          </cell>
          <cell r="I123">
            <v>260</v>
          </cell>
          <cell r="J123">
            <v>255</v>
          </cell>
        </row>
        <row r="124">
          <cell r="A124">
            <v>36686</v>
          </cell>
          <cell r="B124" t="str">
            <v>Los Angeles</v>
          </cell>
          <cell r="C124">
            <v>157</v>
          </cell>
          <cell r="D124">
            <v>162</v>
          </cell>
          <cell r="E124">
            <v>159.5</v>
          </cell>
          <cell r="F124">
            <v>18</v>
          </cell>
          <cell r="G124">
            <v>177.5</v>
          </cell>
          <cell r="H124">
            <v>250</v>
          </cell>
          <cell r="I124">
            <v>260</v>
          </cell>
          <cell r="J124">
            <v>255</v>
          </cell>
        </row>
        <row r="125">
          <cell r="A125">
            <v>36687</v>
          </cell>
          <cell r="B125" t="str">
            <v>Los Angeles</v>
          </cell>
          <cell r="C125">
            <v>157</v>
          </cell>
          <cell r="D125">
            <v>162</v>
          </cell>
          <cell r="E125">
            <v>159.5</v>
          </cell>
          <cell r="F125">
            <v>19</v>
          </cell>
          <cell r="G125">
            <v>178.5</v>
          </cell>
          <cell r="H125">
            <v>250</v>
          </cell>
          <cell r="I125">
            <v>260</v>
          </cell>
          <cell r="J125">
            <v>255</v>
          </cell>
        </row>
        <row r="126">
          <cell r="A126">
            <v>36688</v>
          </cell>
          <cell r="B126" t="str">
            <v>Los Angeles</v>
          </cell>
          <cell r="C126">
            <v>157</v>
          </cell>
          <cell r="D126">
            <v>162</v>
          </cell>
          <cell r="E126">
            <v>159.5</v>
          </cell>
          <cell r="F126">
            <v>20</v>
          </cell>
          <cell r="G126">
            <v>179.5</v>
          </cell>
          <cell r="H126">
            <v>250</v>
          </cell>
          <cell r="I126">
            <v>260</v>
          </cell>
          <cell r="J126">
            <v>255</v>
          </cell>
        </row>
        <row r="127">
          <cell r="A127">
            <v>36689</v>
          </cell>
          <cell r="B127" t="str">
            <v>Los Angeles</v>
          </cell>
          <cell r="C127">
            <v>157</v>
          </cell>
          <cell r="D127">
            <v>162</v>
          </cell>
          <cell r="E127">
            <v>159.5</v>
          </cell>
          <cell r="F127">
            <v>21</v>
          </cell>
          <cell r="G127">
            <v>180.5</v>
          </cell>
          <cell r="H127">
            <v>250</v>
          </cell>
          <cell r="I127">
            <v>260</v>
          </cell>
          <cell r="J127">
            <v>255</v>
          </cell>
        </row>
        <row r="128">
          <cell r="A128">
            <v>36690</v>
          </cell>
          <cell r="B128" t="str">
            <v>Los Angeles</v>
          </cell>
          <cell r="C128">
            <v>163</v>
          </cell>
          <cell r="D128">
            <v>165</v>
          </cell>
          <cell r="E128">
            <v>164</v>
          </cell>
          <cell r="F128">
            <v>10</v>
          </cell>
          <cell r="G128">
            <v>174</v>
          </cell>
          <cell r="H128">
            <v>250</v>
          </cell>
          <cell r="I128">
            <v>260</v>
          </cell>
          <cell r="J128">
            <v>255</v>
          </cell>
        </row>
        <row r="129">
          <cell r="A129">
            <v>36691</v>
          </cell>
          <cell r="B129" t="str">
            <v>Los Angeles</v>
          </cell>
          <cell r="C129">
            <v>163</v>
          </cell>
          <cell r="D129">
            <v>165</v>
          </cell>
          <cell r="E129">
            <v>164</v>
          </cell>
          <cell r="F129">
            <v>11</v>
          </cell>
          <cell r="G129">
            <v>175</v>
          </cell>
          <cell r="H129">
            <v>250</v>
          </cell>
          <cell r="I129">
            <v>260</v>
          </cell>
          <cell r="J129">
            <v>255</v>
          </cell>
        </row>
        <row r="130">
          <cell r="A130">
            <v>36692</v>
          </cell>
          <cell r="B130" t="str">
            <v>Los Angeles</v>
          </cell>
          <cell r="C130">
            <v>163</v>
          </cell>
          <cell r="D130">
            <v>165</v>
          </cell>
          <cell r="E130">
            <v>164</v>
          </cell>
          <cell r="F130">
            <v>12</v>
          </cell>
          <cell r="G130">
            <v>176</v>
          </cell>
          <cell r="H130">
            <v>250</v>
          </cell>
          <cell r="I130">
            <v>260</v>
          </cell>
          <cell r="J130">
            <v>255</v>
          </cell>
        </row>
        <row r="131">
          <cell r="A131">
            <v>36693</v>
          </cell>
          <cell r="B131" t="str">
            <v>Los Angeles</v>
          </cell>
          <cell r="C131">
            <v>163</v>
          </cell>
          <cell r="D131">
            <v>165</v>
          </cell>
          <cell r="E131">
            <v>164</v>
          </cell>
          <cell r="F131">
            <v>13</v>
          </cell>
          <cell r="G131">
            <v>177</v>
          </cell>
          <cell r="H131">
            <v>250</v>
          </cell>
          <cell r="I131">
            <v>260</v>
          </cell>
          <cell r="J131">
            <v>255</v>
          </cell>
        </row>
        <row r="132">
          <cell r="A132">
            <v>36694</v>
          </cell>
          <cell r="B132" t="str">
            <v>Los Angeles</v>
          </cell>
          <cell r="C132">
            <v>163</v>
          </cell>
          <cell r="D132">
            <v>165</v>
          </cell>
          <cell r="E132">
            <v>164</v>
          </cell>
          <cell r="F132">
            <v>14</v>
          </cell>
          <cell r="G132">
            <v>178</v>
          </cell>
          <cell r="H132">
            <v>250</v>
          </cell>
          <cell r="I132">
            <v>260</v>
          </cell>
          <cell r="J132">
            <v>255</v>
          </cell>
        </row>
        <row r="133">
          <cell r="A133">
            <v>36695</v>
          </cell>
          <cell r="B133" t="str">
            <v>Los Angeles</v>
          </cell>
          <cell r="C133">
            <v>163</v>
          </cell>
          <cell r="D133">
            <v>165</v>
          </cell>
          <cell r="E133">
            <v>164</v>
          </cell>
          <cell r="F133">
            <v>15</v>
          </cell>
          <cell r="G133">
            <v>179</v>
          </cell>
          <cell r="H133">
            <v>250</v>
          </cell>
          <cell r="I133">
            <v>260</v>
          </cell>
          <cell r="J133">
            <v>255</v>
          </cell>
        </row>
        <row r="134">
          <cell r="A134">
            <v>36696</v>
          </cell>
          <cell r="B134" t="str">
            <v>Los Angeles</v>
          </cell>
          <cell r="C134">
            <v>163</v>
          </cell>
          <cell r="D134">
            <v>165</v>
          </cell>
          <cell r="E134">
            <v>164</v>
          </cell>
          <cell r="F134">
            <v>16</v>
          </cell>
          <cell r="G134">
            <v>180</v>
          </cell>
          <cell r="H134">
            <v>250</v>
          </cell>
          <cell r="I134">
            <v>260</v>
          </cell>
          <cell r="J134">
            <v>255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OPO"/>
      <sheetName val="REPORT"/>
      <sheetName val="DATA"/>
      <sheetName val="ETA"/>
      <sheetName val="DISTTB"/>
      <sheetName val="INOBTB"/>
      <sheetName val="EXAMPLE"/>
    </sheetNames>
    <definedNames>
      <definedName name="OPO"/>
      <definedName name="RTN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민감도분석"/>
      <sheetName val="연간데이터"/>
      <sheetName val="불변현금흐름표"/>
      <sheetName val="지방_해외배부"/>
      <sheetName val="변제"/>
      <sheetName val="환율"/>
      <sheetName val="일반배최"/>
      <sheetName val="외화채권"/>
      <sheetName val="구주(03실적)"/>
      <sheetName val="미주(03실적))"/>
      <sheetName val="아주(03실적)"/>
      <sheetName val="공문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Plan"/>
      <sheetName val="Plan3"/>
      <sheetName val="Plan2"/>
      <sheetName val="검토결과"/>
      <sheetName val="Proforma"/>
      <sheetName val="Proforma3"/>
      <sheetName val="TNWA FORMAT"/>
      <sheetName val="ETA"/>
      <sheetName val="DISTTB"/>
      <sheetName val="INOBTB"/>
      <sheetName val="NewproformaAPR30"/>
      <sheetName val="지방,해외배부"/>
      <sheetName val="lax"/>
      <sheetName val="pusan"/>
      <sheetName val="Vessel Information"/>
      <sheetName val="LAS"/>
      <sheetName val="NB-MKT"/>
      <sheetName val="학교기부"/>
      <sheetName val="Revenue"/>
      <sheetName val="NS"/>
      <sheetName val="EB BSA"/>
      <sheetName val="Scenarios"/>
      <sheetName val="DECP1"/>
      <sheetName val="FEBP1"/>
      <sheetName val="JANP1"/>
      <sheetName val="FEBP2"/>
      <sheetName val="MARP2"/>
      <sheetName val="APRP3"/>
      <sheetName val="MAR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SKP</v>
          </cell>
          <cell r="B2">
            <v>1.0000000000000001E-5</v>
          </cell>
          <cell r="C2">
            <v>1E-4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</row>
        <row r="3">
          <cell r="A3" t="str">
            <v>HKG</v>
          </cell>
          <cell r="B3">
            <v>2</v>
          </cell>
          <cell r="C3">
            <v>1.5</v>
          </cell>
          <cell r="D3">
            <v>-8</v>
          </cell>
          <cell r="E3">
            <v>67</v>
          </cell>
          <cell r="F3" t="str">
            <v>Sun</v>
          </cell>
          <cell r="G3">
            <v>21</v>
          </cell>
          <cell r="H3">
            <v>0</v>
          </cell>
          <cell r="I3" t="str">
            <v>Sun</v>
          </cell>
          <cell r="J3">
            <v>23</v>
          </cell>
          <cell r="K3">
            <v>0</v>
          </cell>
          <cell r="L3" t="str">
            <v>Tue</v>
          </cell>
          <cell r="M3">
            <v>1</v>
          </cell>
          <cell r="N3">
            <v>0</v>
          </cell>
          <cell r="O3" t="str">
            <v xml:space="preserve"> </v>
          </cell>
          <cell r="P3" t="str">
            <v xml:space="preserve"> </v>
          </cell>
          <cell r="Q3" t="str">
            <v xml:space="preserve"> </v>
          </cell>
          <cell r="R3" t="str">
            <v xml:space="preserve"> </v>
          </cell>
          <cell r="S3" t="str">
            <v xml:space="preserve"> </v>
          </cell>
          <cell r="T3" t="str">
            <v xml:space="preserve"> </v>
          </cell>
          <cell r="U3" t="str">
            <v xml:space="preserve"> </v>
          </cell>
          <cell r="V3" t="str">
            <v xml:space="preserve"> </v>
          </cell>
          <cell r="W3" t="str">
            <v xml:space="preserve"> </v>
          </cell>
        </row>
        <row r="4">
          <cell r="A4" t="str">
            <v>KAO</v>
          </cell>
          <cell r="B4">
            <v>1</v>
          </cell>
          <cell r="C4">
            <v>1</v>
          </cell>
          <cell r="D4">
            <v>-8</v>
          </cell>
          <cell r="E4">
            <v>59</v>
          </cell>
          <cell r="F4" t="str">
            <v>Tue</v>
          </cell>
          <cell r="G4">
            <v>21</v>
          </cell>
          <cell r="H4">
            <v>0</v>
          </cell>
          <cell r="I4" t="str">
            <v>Tue</v>
          </cell>
          <cell r="J4">
            <v>22</v>
          </cell>
          <cell r="K4">
            <v>0</v>
          </cell>
          <cell r="L4" t="str">
            <v>Wed</v>
          </cell>
          <cell r="M4">
            <v>8</v>
          </cell>
          <cell r="N4">
            <v>0</v>
          </cell>
        </row>
        <row r="5">
          <cell r="A5" t="str">
            <v>KHT</v>
          </cell>
          <cell r="B5">
            <v>1</v>
          </cell>
          <cell r="C5">
            <v>1</v>
          </cell>
          <cell r="D5">
            <v>-8</v>
          </cell>
          <cell r="E5">
            <v>59</v>
          </cell>
          <cell r="F5" t="str">
            <v>Wed</v>
          </cell>
          <cell r="G5">
            <v>9</v>
          </cell>
          <cell r="H5">
            <v>0</v>
          </cell>
          <cell r="I5" t="str">
            <v>Wed</v>
          </cell>
          <cell r="J5">
            <v>11</v>
          </cell>
          <cell r="K5">
            <v>0</v>
          </cell>
          <cell r="L5" t="str">
            <v>Wed</v>
          </cell>
          <cell r="M5">
            <v>18</v>
          </cell>
          <cell r="N5">
            <v>0</v>
          </cell>
        </row>
        <row r="6">
          <cell r="A6" t="str">
            <v>KYG</v>
          </cell>
          <cell r="B6">
            <v>3</v>
          </cell>
          <cell r="C6">
            <v>2.5</v>
          </cell>
          <cell r="D6">
            <v>-9</v>
          </cell>
          <cell r="E6">
            <v>40</v>
          </cell>
          <cell r="F6" t="str">
            <v>Fri</v>
          </cell>
          <cell r="G6">
            <v>19</v>
          </cell>
          <cell r="H6">
            <v>0</v>
          </cell>
          <cell r="I6" t="str">
            <v>Fri</v>
          </cell>
          <cell r="J6">
            <v>22</v>
          </cell>
          <cell r="K6">
            <v>0</v>
          </cell>
          <cell r="L6" t="str">
            <v>Sat</v>
          </cell>
          <cell r="M6">
            <v>2</v>
          </cell>
          <cell r="N6">
            <v>0</v>
          </cell>
          <cell r="O6" t="str">
            <v>Thu</v>
          </cell>
          <cell r="P6">
            <v>16</v>
          </cell>
          <cell r="Q6">
            <v>0</v>
          </cell>
          <cell r="R6" t="str">
            <v>Thu</v>
          </cell>
          <cell r="S6">
            <v>19</v>
          </cell>
          <cell r="T6">
            <v>0</v>
          </cell>
          <cell r="U6" t="str">
            <v>Fri</v>
          </cell>
          <cell r="V6">
            <v>8</v>
          </cell>
          <cell r="W6">
            <v>0</v>
          </cell>
        </row>
        <row r="7">
          <cell r="A7" t="str">
            <v>BSN</v>
          </cell>
          <cell r="B7">
            <v>2</v>
          </cell>
          <cell r="C7">
            <v>1</v>
          </cell>
          <cell r="D7">
            <v>-9</v>
          </cell>
          <cell r="E7">
            <v>60</v>
          </cell>
          <cell r="F7" t="str">
            <v>Sat</v>
          </cell>
          <cell r="G7">
            <v>11</v>
          </cell>
          <cell r="H7">
            <v>0</v>
          </cell>
          <cell r="I7" t="str">
            <v>Sat</v>
          </cell>
          <cell r="J7">
            <v>13</v>
          </cell>
          <cell r="K7">
            <v>0</v>
          </cell>
          <cell r="L7" t="str">
            <v>Sun</v>
          </cell>
          <cell r="M7">
            <v>0</v>
          </cell>
          <cell r="N7">
            <v>1</v>
          </cell>
          <cell r="O7" t="str">
            <v>Wed</v>
          </cell>
          <cell r="P7">
            <v>7</v>
          </cell>
          <cell r="Q7">
            <v>0</v>
          </cell>
          <cell r="R7" t="str">
            <v>Wed</v>
          </cell>
          <cell r="S7">
            <v>9</v>
          </cell>
          <cell r="T7">
            <v>0</v>
          </cell>
          <cell r="U7" t="str">
            <v>Thu</v>
          </cell>
          <cell r="V7">
            <v>8</v>
          </cell>
          <cell r="W7">
            <v>0</v>
          </cell>
        </row>
        <row r="8">
          <cell r="A8" t="str">
            <v>TCM</v>
          </cell>
          <cell r="B8">
            <v>7</v>
          </cell>
          <cell r="C8">
            <v>7</v>
          </cell>
          <cell r="D8">
            <v>8</v>
          </cell>
          <cell r="E8">
            <v>40</v>
          </cell>
          <cell r="F8" t="str">
            <v>Tue</v>
          </cell>
          <cell r="G8">
            <v>16</v>
          </cell>
          <cell r="H8">
            <v>0</v>
          </cell>
          <cell r="I8" t="str">
            <v>Tue</v>
          </cell>
          <cell r="J8">
            <v>23</v>
          </cell>
          <cell r="K8">
            <v>0</v>
          </cell>
          <cell r="L8" t="str">
            <v>Wed</v>
          </cell>
          <cell r="M8">
            <v>22</v>
          </cell>
          <cell r="N8">
            <v>0</v>
          </cell>
          <cell r="O8" t="str">
            <v>Mon</v>
          </cell>
          <cell r="P8">
            <v>11</v>
          </cell>
          <cell r="Q8">
            <v>0</v>
          </cell>
          <cell r="R8" t="str">
            <v>Mon</v>
          </cell>
          <cell r="S8">
            <v>18</v>
          </cell>
          <cell r="T8">
            <v>0</v>
          </cell>
          <cell r="U8" t="str">
            <v>Tue</v>
          </cell>
          <cell r="V8">
            <v>8</v>
          </cell>
          <cell r="W8">
            <v>0</v>
          </cell>
        </row>
        <row r="9">
          <cell r="A9" t="str">
            <v>VCR</v>
          </cell>
          <cell r="B9">
            <v>6</v>
          </cell>
          <cell r="C9">
            <v>6</v>
          </cell>
          <cell r="D9">
            <v>8</v>
          </cell>
          <cell r="E9">
            <v>35</v>
          </cell>
          <cell r="F9" t="str">
            <v xml:space="preserve"> </v>
          </cell>
          <cell r="G9" t="str">
            <v xml:space="preserve"> </v>
          </cell>
          <cell r="H9" t="str">
            <v xml:space="preserve"> </v>
          </cell>
          <cell r="I9" t="str">
            <v xml:space="preserve"> </v>
          </cell>
          <cell r="J9" t="str">
            <v xml:space="preserve"> </v>
          </cell>
          <cell r="K9" t="str">
            <v xml:space="preserve"> </v>
          </cell>
          <cell r="L9" t="str">
            <v xml:space="preserve"> </v>
          </cell>
          <cell r="M9" t="str">
            <v xml:space="preserve"> </v>
          </cell>
          <cell r="N9" t="str">
            <v xml:space="preserve"> </v>
          </cell>
          <cell r="O9" t="str">
            <v>Thu</v>
          </cell>
          <cell r="P9">
            <v>6</v>
          </cell>
          <cell r="Q9">
            <v>0</v>
          </cell>
          <cell r="R9" t="str">
            <v>Thu</v>
          </cell>
          <cell r="S9">
            <v>12</v>
          </cell>
          <cell r="T9">
            <v>0</v>
          </cell>
          <cell r="U9" t="str">
            <v>Fri</v>
          </cell>
          <cell r="V9">
            <v>16</v>
          </cell>
          <cell r="W9">
            <v>0</v>
          </cell>
        </row>
        <row r="10">
          <cell r="A10" t="str">
            <v>PTL</v>
          </cell>
          <cell r="B10">
            <v>8</v>
          </cell>
          <cell r="C10">
            <v>7</v>
          </cell>
          <cell r="D10">
            <v>8</v>
          </cell>
          <cell r="E10">
            <v>35</v>
          </cell>
          <cell r="F10" t="str">
            <v xml:space="preserve"> </v>
          </cell>
          <cell r="I10" t="str">
            <v xml:space="preserve"> </v>
          </cell>
          <cell r="L10" t="str">
            <v xml:space="preserve"> </v>
          </cell>
          <cell r="O10" t="str">
            <v>Sat</v>
          </cell>
          <cell r="P10">
            <v>10</v>
          </cell>
          <cell r="Q10">
            <v>0</v>
          </cell>
          <cell r="R10" t="str">
            <v>Sat</v>
          </cell>
          <cell r="S10">
            <v>18</v>
          </cell>
          <cell r="T10">
            <v>0</v>
          </cell>
          <cell r="U10" t="str">
            <v>Sun</v>
          </cell>
          <cell r="V10">
            <v>13</v>
          </cell>
          <cell r="W10">
            <v>0</v>
          </cell>
        </row>
        <row r="11">
          <cell r="A11" t="str">
            <v>YOK</v>
          </cell>
          <cell r="B11">
            <v>2.5</v>
          </cell>
          <cell r="C11">
            <v>1.5</v>
          </cell>
          <cell r="D11">
            <v>-9</v>
          </cell>
          <cell r="E11">
            <v>55</v>
          </cell>
          <cell r="F11" t="str">
            <v xml:space="preserve"> </v>
          </cell>
          <cell r="G11" t="str">
            <v xml:space="preserve"> </v>
          </cell>
          <cell r="H11" t="str">
            <v xml:space="preserve"> </v>
          </cell>
          <cell r="I11" t="str">
            <v xml:space="preserve"> </v>
          </cell>
          <cell r="J11" t="str">
            <v xml:space="preserve"> </v>
          </cell>
          <cell r="K11" t="str">
            <v xml:space="preserve"> </v>
          </cell>
          <cell r="L11" t="str">
            <v xml:space="preserve"> </v>
          </cell>
          <cell r="M11" t="str">
            <v xml:space="preserve"> </v>
          </cell>
          <cell r="N11" t="str">
            <v xml:space="preserve"> </v>
          </cell>
          <cell r="O11" t="str">
            <v>Sat</v>
          </cell>
          <cell r="P11">
            <v>15</v>
          </cell>
          <cell r="Q11">
            <v>30</v>
          </cell>
          <cell r="R11" t="str">
            <v>Sat</v>
          </cell>
          <cell r="S11">
            <v>18</v>
          </cell>
          <cell r="T11">
            <v>0</v>
          </cell>
          <cell r="U11" t="str">
            <v>Sun</v>
          </cell>
          <cell r="V11">
            <v>7</v>
          </cell>
          <cell r="W11">
            <v>0</v>
          </cell>
        </row>
        <row r="12">
          <cell r="A12" t="str">
            <v>KOB</v>
          </cell>
          <cell r="B12">
            <v>3</v>
          </cell>
          <cell r="C12">
            <v>2.5</v>
          </cell>
          <cell r="D12">
            <v>-9</v>
          </cell>
          <cell r="E12">
            <v>55</v>
          </cell>
          <cell r="F12" t="str">
            <v xml:space="preserve"> </v>
          </cell>
          <cell r="G12" t="str">
            <v xml:space="preserve"> </v>
          </cell>
          <cell r="H12" t="str">
            <v xml:space="preserve"> </v>
          </cell>
          <cell r="I12" t="str">
            <v xml:space="preserve"> </v>
          </cell>
          <cell r="J12" t="str">
            <v xml:space="preserve"> </v>
          </cell>
          <cell r="K12" t="str">
            <v xml:space="preserve"> </v>
          </cell>
          <cell r="L12" t="str">
            <v xml:space="preserve"> </v>
          </cell>
          <cell r="M12" t="str">
            <v xml:space="preserve"> </v>
          </cell>
          <cell r="N12" t="str">
            <v xml:space="preserve"> </v>
          </cell>
          <cell r="O12" t="str">
            <v>Mon</v>
          </cell>
          <cell r="P12">
            <v>6</v>
          </cell>
          <cell r="Q12">
            <v>0</v>
          </cell>
          <cell r="R12" t="str">
            <v>Mon</v>
          </cell>
          <cell r="S12">
            <v>9</v>
          </cell>
          <cell r="T12">
            <v>0</v>
          </cell>
          <cell r="U12" t="str">
            <v>Mon</v>
          </cell>
          <cell r="V12">
            <v>15</v>
          </cell>
          <cell r="W12">
            <v>0</v>
          </cell>
        </row>
        <row r="13">
          <cell r="A13" t="str">
            <v xml:space="preserve"> </v>
          </cell>
          <cell r="B13" t="str">
            <v xml:space="preserve"> </v>
          </cell>
          <cell r="C13" t="str">
            <v xml:space="preserve"> </v>
          </cell>
          <cell r="D13" t="str">
            <v xml:space="preserve"> 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  <cell r="I13" t="str">
            <v xml:space="preserve"> </v>
          </cell>
          <cell r="J13" t="str">
            <v xml:space="preserve"> </v>
          </cell>
          <cell r="K13" t="str">
            <v xml:space="preserve"> </v>
          </cell>
          <cell r="L13" t="str">
            <v xml:space="preserve"> </v>
          </cell>
          <cell r="M13" t="str">
            <v xml:space="preserve"> 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U13" t="str">
            <v xml:space="preserve"> </v>
          </cell>
        </row>
        <row r="14">
          <cell r="A14" t="str">
            <v xml:space="preserve"> </v>
          </cell>
          <cell r="B14" t="str">
            <v xml:space="preserve"> </v>
          </cell>
        </row>
        <row r="15">
          <cell r="A15" t="str">
            <v xml:space="preserve"> </v>
          </cell>
          <cell r="B15" t="str">
            <v xml:space="preserve"> </v>
          </cell>
        </row>
        <row r="16">
          <cell r="A16" t="str">
            <v xml:space="preserve"> </v>
          </cell>
          <cell r="B16" t="str">
            <v xml:space="preserve"> </v>
          </cell>
        </row>
        <row r="17">
          <cell r="A17" t="str">
            <v xml:space="preserve"> </v>
          </cell>
          <cell r="B17" t="str">
            <v xml:space="preserve"> </v>
          </cell>
        </row>
        <row r="18">
          <cell r="A18" t="str">
            <v xml:space="preserve"> </v>
          </cell>
          <cell r="B18" t="str">
            <v xml:space="preserve"> </v>
          </cell>
        </row>
        <row r="19">
          <cell r="A19" t="str">
            <v xml:space="preserve"> </v>
          </cell>
          <cell r="B19" t="str">
            <v xml:space="preserve">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-charges"/>
    </sheetNames>
    <sheetDataSet>
      <sheetData sheetId="0" refreshError="1">
        <row r="6">
          <cell r="A6" t="str">
            <v>AAB</v>
          </cell>
          <cell r="B6">
            <v>1</v>
          </cell>
        </row>
        <row r="7">
          <cell r="A7" t="str">
            <v>ADE</v>
          </cell>
          <cell r="B7">
            <v>2</v>
          </cell>
        </row>
        <row r="8">
          <cell r="A8" t="str">
            <v>AQU</v>
          </cell>
          <cell r="B8">
            <v>3</v>
          </cell>
        </row>
        <row r="9">
          <cell r="A9" t="str">
            <v>AUH</v>
          </cell>
          <cell r="B9">
            <v>4</v>
          </cell>
        </row>
        <row r="10">
          <cell r="A10" t="str">
            <v>BAH</v>
          </cell>
          <cell r="B10">
            <v>5</v>
          </cell>
        </row>
        <row r="11">
          <cell r="A11" t="str">
            <v>CIW</v>
          </cell>
          <cell r="B11">
            <v>6</v>
          </cell>
        </row>
        <row r="12">
          <cell r="A12" t="str">
            <v>CMB</v>
          </cell>
          <cell r="B12">
            <v>7</v>
          </cell>
        </row>
        <row r="13">
          <cell r="A13" t="str">
            <v>DAI</v>
          </cell>
          <cell r="B13">
            <v>8</v>
          </cell>
        </row>
        <row r="14">
          <cell r="A14" t="str">
            <v>DAM</v>
          </cell>
          <cell r="B14">
            <v>9</v>
          </cell>
        </row>
        <row r="15">
          <cell r="A15" t="str">
            <v>FUJ</v>
          </cell>
          <cell r="B15">
            <v>10</v>
          </cell>
        </row>
        <row r="16">
          <cell r="A16" t="str">
            <v>HDD</v>
          </cell>
          <cell r="B16">
            <v>11</v>
          </cell>
        </row>
        <row r="17">
          <cell r="A17" t="str">
            <v>HKG</v>
          </cell>
          <cell r="B17">
            <v>12</v>
          </cell>
        </row>
        <row r="18">
          <cell r="A18" t="str">
            <v>HSN</v>
          </cell>
          <cell r="B18">
            <v>13</v>
          </cell>
        </row>
        <row r="19">
          <cell r="A19" t="str">
            <v>JEB</v>
          </cell>
          <cell r="B19">
            <v>14</v>
          </cell>
        </row>
        <row r="20">
          <cell r="A20" t="str">
            <v>JED</v>
          </cell>
          <cell r="B20">
            <v>15</v>
          </cell>
        </row>
        <row r="21">
          <cell r="A21" t="str">
            <v>JIB</v>
          </cell>
          <cell r="B21">
            <v>16</v>
          </cell>
        </row>
        <row r="22">
          <cell r="A22" t="str">
            <v>KAO</v>
          </cell>
          <cell r="B22">
            <v>17</v>
          </cell>
        </row>
        <row r="23">
          <cell r="A23" t="str">
            <v>KHI</v>
          </cell>
          <cell r="B23">
            <v>18</v>
          </cell>
        </row>
        <row r="24">
          <cell r="A24" t="str">
            <v>KOB</v>
          </cell>
          <cell r="B24">
            <v>19</v>
          </cell>
        </row>
        <row r="25">
          <cell r="A25" t="str">
            <v>KWI</v>
          </cell>
          <cell r="B25">
            <v>20</v>
          </cell>
        </row>
        <row r="26">
          <cell r="A26" t="str">
            <v>KYG</v>
          </cell>
          <cell r="B26">
            <v>21</v>
          </cell>
        </row>
        <row r="27">
          <cell r="A27" t="str">
            <v>MCT</v>
          </cell>
          <cell r="B27">
            <v>22</v>
          </cell>
        </row>
        <row r="28">
          <cell r="A28" t="str">
            <v>NVS</v>
          </cell>
          <cell r="B28">
            <v>23</v>
          </cell>
        </row>
        <row r="29">
          <cell r="A29" t="str">
            <v>PBR</v>
          </cell>
          <cell r="B29">
            <v>24</v>
          </cell>
        </row>
        <row r="30">
          <cell r="A30" t="str">
            <v>PUS</v>
          </cell>
          <cell r="B30">
            <v>25</v>
          </cell>
        </row>
        <row r="31">
          <cell r="A31" t="str">
            <v>PZU</v>
          </cell>
          <cell r="B31">
            <v>26</v>
          </cell>
        </row>
        <row r="32">
          <cell r="A32" t="str">
            <v>SIN</v>
          </cell>
          <cell r="B32">
            <v>27</v>
          </cell>
        </row>
        <row r="33">
          <cell r="A33" t="str">
            <v>TSI</v>
          </cell>
          <cell r="B33">
            <v>28</v>
          </cell>
        </row>
        <row r="34">
          <cell r="A34" t="str">
            <v>YOK</v>
          </cell>
          <cell r="B34">
            <v>29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델"/>
      <sheetName val="FSHPL"/>
      <sheetName val="전체"/>
      <sheetName val="전용선"/>
      <sheetName val="부정기선"/>
      <sheetName val="대리점"/>
      <sheetName val="21선박별예산"/>
      <sheetName val="비교 (2)"/>
      <sheetName val="전체 (2)"/>
      <sheetName val="전용선 (2)"/>
      <sheetName val="부정기선 (2)"/>
      <sheetName val="대리점 (2)"/>
      <sheetName val="21선박별예산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"/>
      <sheetName val="port-charges"/>
    </sheetNames>
    <sheetDataSet>
      <sheetData sheetId="0" refreshError="1">
        <row r="1">
          <cell r="A1" t="str">
            <v xml:space="preserve">Port </v>
          </cell>
        </row>
        <row r="2">
          <cell r="A2" t="str">
            <v>Code</v>
          </cell>
          <cell r="B2" t="str">
            <v>Region</v>
          </cell>
        </row>
        <row r="3">
          <cell r="A3" t="str">
            <v>ADL</v>
          </cell>
          <cell r="B3" t="str">
            <v>ASR</v>
          </cell>
        </row>
        <row r="4">
          <cell r="A4" t="str">
            <v>BRB</v>
          </cell>
          <cell r="B4" t="str">
            <v>ASR</v>
          </cell>
        </row>
        <row r="5">
          <cell r="A5" t="str">
            <v>EFZ</v>
          </cell>
          <cell r="B5" t="str">
            <v>ASR</v>
          </cell>
        </row>
        <row r="6">
          <cell r="A6" t="str">
            <v>FRE</v>
          </cell>
          <cell r="B6" t="str">
            <v>ASR</v>
          </cell>
        </row>
        <row r="7">
          <cell r="A7" t="str">
            <v>MEL</v>
          </cell>
          <cell r="B7" t="str">
            <v>ASR</v>
          </cell>
        </row>
        <row r="8">
          <cell r="A8" t="str">
            <v>SYD</v>
          </cell>
          <cell r="B8" t="str">
            <v>ASR</v>
          </cell>
        </row>
        <row r="9">
          <cell r="A9" t="str">
            <v>CHT</v>
          </cell>
          <cell r="B9" t="str">
            <v>BAN</v>
          </cell>
        </row>
        <row r="10">
          <cell r="A10" t="str">
            <v>ANR</v>
          </cell>
          <cell r="B10" t="str">
            <v>EUR</v>
          </cell>
        </row>
        <row r="11">
          <cell r="A11" t="str">
            <v>KTW</v>
          </cell>
          <cell r="B11" t="str">
            <v>EUR</v>
          </cell>
        </row>
        <row r="12">
          <cell r="A12" t="str">
            <v>VZT</v>
          </cell>
          <cell r="B12" t="str">
            <v>EUR</v>
          </cell>
        </row>
        <row r="13">
          <cell r="A13" t="str">
            <v>VVA</v>
          </cell>
          <cell r="B13" t="str">
            <v>EUR</v>
          </cell>
        </row>
        <row r="14">
          <cell r="A14" t="str">
            <v>BCN</v>
          </cell>
          <cell r="B14" t="str">
            <v>EUR</v>
          </cell>
        </row>
        <row r="15">
          <cell r="A15" t="str">
            <v>BRE</v>
          </cell>
          <cell r="B15" t="str">
            <v>EUR</v>
          </cell>
        </row>
        <row r="16">
          <cell r="A16" t="str">
            <v>BRV</v>
          </cell>
          <cell r="B16" t="str">
            <v>EUR</v>
          </cell>
        </row>
        <row r="17">
          <cell r="A17" t="str">
            <v>FEL</v>
          </cell>
          <cell r="B17" t="str">
            <v>EUR</v>
          </cell>
        </row>
        <row r="18">
          <cell r="A18" t="str">
            <v>FOS</v>
          </cell>
          <cell r="B18" t="str">
            <v>EUR</v>
          </cell>
        </row>
        <row r="19">
          <cell r="A19" t="str">
            <v>GNK</v>
          </cell>
          <cell r="B19" t="str">
            <v>EUR</v>
          </cell>
        </row>
        <row r="20">
          <cell r="A20" t="str">
            <v>GOT</v>
          </cell>
          <cell r="B20" t="str">
            <v>EUR</v>
          </cell>
        </row>
        <row r="21">
          <cell r="A21" t="str">
            <v>HAM</v>
          </cell>
          <cell r="B21" t="str">
            <v>EUR</v>
          </cell>
        </row>
        <row r="22">
          <cell r="A22" t="str">
            <v>HEK</v>
          </cell>
          <cell r="B22" t="str">
            <v>EUR</v>
          </cell>
        </row>
        <row r="23">
          <cell r="A23" t="str">
            <v>LEH</v>
          </cell>
          <cell r="B23" t="str">
            <v>EUR</v>
          </cell>
        </row>
        <row r="24">
          <cell r="A24" t="str">
            <v>VXA</v>
          </cell>
          <cell r="B24" t="str">
            <v>EUR</v>
          </cell>
        </row>
        <row r="25">
          <cell r="A25" t="str">
            <v>KVR</v>
          </cell>
          <cell r="B25" t="str">
            <v>EUR</v>
          </cell>
        </row>
        <row r="26">
          <cell r="A26" t="str">
            <v>LON</v>
          </cell>
          <cell r="B26" t="str">
            <v>EUR</v>
          </cell>
        </row>
        <row r="27">
          <cell r="A27" t="str">
            <v>MHQ</v>
          </cell>
          <cell r="B27" t="str">
            <v>EUR</v>
          </cell>
        </row>
        <row r="28">
          <cell r="A28" t="str">
            <v>RTM</v>
          </cell>
          <cell r="B28" t="str">
            <v>EUR</v>
          </cell>
        </row>
        <row r="29">
          <cell r="A29" t="str">
            <v>XRT</v>
          </cell>
          <cell r="B29" t="str">
            <v>EUR</v>
          </cell>
        </row>
        <row r="30">
          <cell r="A30" t="str">
            <v>SOU</v>
          </cell>
          <cell r="B30" t="str">
            <v>EUR</v>
          </cell>
        </row>
        <row r="31">
          <cell r="A31" t="str">
            <v>THP</v>
          </cell>
          <cell r="B31" t="str">
            <v>EUR</v>
          </cell>
        </row>
        <row r="32">
          <cell r="A32" t="str">
            <v>ZYW</v>
          </cell>
          <cell r="B32" t="str">
            <v>EUR</v>
          </cell>
        </row>
        <row r="33">
          <cell r="A33" t="str">
            <v>FUZ</v>
          </cell>
          <cell r="B33" t="str">
            <v>HKG</v>
          </cell>
        </row>
        <row r="34">
          <cell r="A34" t="str">
            <v>GGZ</v>
          </cell>
          <cell r="B34" t="str">
            <v>HKG</v>
          </cell>
        </row>
        <row r="35">
          <cell r="A35" t="str">
            <v>HKG</v>
          </cell>
          <cell r="B35" t="str">
            <v>HKG</v>
          </cell>
        </row>
        <row r="36">
          <cell r="A36" t="str">
            <v>HUE</v>
          </cell>
          <cell r="B36" t="str">
            <v>HKG</v>
          </cell>
        </row>
        <row r="37">
          <cell r="A37" t="str">
            <v>MAC</v>
          </cell>
          <cell r="B37" t="str">
            <v>HKG</v>
          </cell>
        </row>
        <row r="38">
          <cell r="A38" t="str">
            <v>SKU</v>
          </cell>
          <cell r="B38" t="str">
            <v>HKG</v>
          </cell>
        </row>
        <row r="39">
          <cell r="A39" t="str">
            <v>SNZ</v>
          </cell>
          <cell r="B39" t="str">
            <v>HKG</v>
          </cell>
        </row>
        <row r="40">
          <cell r="A40" t="str">
            <v>TXX</v>
          </cell>
          <cell r="B40" t="str">
            <v>HKG</v>
          </cell>
        </row>
        <row r="41">
          <cell r="A41" t="str">
            <v>WHM</v>
          </cell>
          <cell r="B41" t="str">
            <v>HKG</v>
          </cell>
        </row>
        <row r="42">
          <cell r="A42" t="str">
            <v>XIA</v>
          </cell>
          <cell r="B42" t="str">
            <v>HKG</v>
          </cell>
        </row>
        <row r="43">
          <cell r="A43" t="str">
            <v>YAT</v>
          </cell>
          <cell r="B43" t="str">
            <v>HKG</v>
          </cell>
        </row>
        <row r="44">
          <cell r="A44" t="str">
            <v>ZHG</v>
          </cell>
          <cell r="B44" t="str">
            <v>HKG</v>
          </cell>
        </row>
        <row r="45">
          <cell r="A45" t="str">
            <v>ZLG</v>
          </cell>
          <cell r="B45" t="str">
            <v>HKG</v>
          </cell>
        </row>
        <row r="46">
          <cell r="A46" t="str">
            <v>ZUH</v>
          </cell>
          <cell r="B46" t="str">
            <v>HKG</v>
          </cell>
        </row>
        <row r="47">
          <cell r="A47" t="str">
            <v>CCU</v>
          </cell>
          <cell r="B47" t="str">
            <v>IDD</v>
          </cell>
        </row>
        <row r="48">
          <cell r="A48" t="str">
            <v>COK</v>
          </cell>
          <cell r="B48" t="str">
            <v>IDD</v>
          </cell>
        </row>
        <row r="49">
          <cell r="A49" t="str">
            <v>HLD</v>
          </cell>
          <cell r="B49" t="str">
            <v>IDD</v>
          </cell>
        </row>
        <row r="50">
          <cell r="A50" t="str">
            <v>KND</v>
          </cell>
          <cell r="B50" t="str">
            <v>IDD</v>
          </cell>
        </row>
        <row r="51">
          <cell r="A51" t="str">
            <v>LUZ</v>
          </cell>
          <cell r="B51" t="str">
            <v>IDD</v>
          </cell>
        </row>
        <row r="52">
          <cell r="A52" t="str">
            <v>MAA</v>
          </cell>
          <cell r="B52" t="str">
            <v>IDD</v>
          </cell>
        </row>
        <row r="53">
          <cell r="A53" t="str">
            <v>NDH</v>
          </cell>
          <cell r="B53" t="str">
            <v>IDD</v>
          </cell>
        </row>
        <row r="54">
          <cell r="A54" t="str">
            <v>NSH</v>
          </cell>
          <cell r="B54" t="str">
            <v>IDD</v>
          </cell>
        </row>
        <row r="55">
          <cell r="A55" t="str">
            <v>PBR</v>
          </cell>
          <cell r="B55" t="str">
            <v>IDD</v>
          </cell>
        </row>
        <row r="56">
          <cell r="A56" t="str">
            <v>TUT</v>
          </cell>
          <cell r="B56" t="str">
            <v>IDD</v>
          </cell>
        </row>
        <row r="57">
          <cell r="A57" t="str">
            <v>VIS</v>
          </cell>
          <cell r="B57" t="str">
            <v>IDD</v>
          </cell>
        </row>
        <row r="58">
          <cell r="A58" t="str">
            <v>BLA</v>
          </cell>
          <cell r="B58" t="str">
            <v>IND</v>
          </cell>
        </row>
        <row r="59">
          <cell r="A59" t="str">
            <v>JKT</v>
          </cell>
          <cell r="B59" t="str">
            <v>IND</v>
          </cell>
        </row>
        <row r="60">
          <cell r="A60" t="str">
            <v>PLM</v>
          </cell>
          <cell r="B60" t="str">
            <v>IND</v>
          </cell>
        </row>
        <row r="61">
          <cell r="A61" t="str">
            <v>PND</v>
          </cell>
          <cell r="B61" t="str">
            <v>IND</v>
          </cell>
        </row>
        <row r="62">
          <cell r="A62" t="str">
            <v>SEM</v>
          </cell>
          <cell r="B62" t="str">
            <v>IND</v>
          </cell>
        </row>
        <row r="63">
          <cell r="A63" t="str">
            <v>SUR</v>
          </cell>
          <cell r="B63" t="str">
            <v>IND</v>
          </cell>
        </row>
        <row r="64">
          <cell r="A64" t="str">
            <v>HAK</v>
          </cell>
          <cell r="B64" t="str">
            <v>JPN</v>
          </cell>
        </row>
        <row r="65">
          <cell r="A65" t="str">
            <v>HIR</v>
          </cell>
          <cell r="B65" t="str">
            <v>JPN</v>
          </cell>
        </row>
        <row r="66">
          <cell r="A66" t="str">
            <v>KBI</v>
          </cell>
          <cell r="B66" t="str">
            <v>JPN</v>
          </cell>
        </row>
        <row r="67">
          <cell r="A67" t="str">
            <v>KOB</v>
          </cell>
          <cell r="B67" t="str">
            <v>JPN</v>
          </cell>
        </row>
        <row r="68">
          <cell r="A68" t="str">
            <v>KXX</v>
          </cell>
          <cell r="B68" t="str">
            <v>JPN</v>
          </cell>
        </row>
        <row r="69">
          <cell r="A69" t="str">
            <v>UKB</v>
          </cell>
          <cell r="B69" t="str">
            <v>JPN</v>
          </cell>
        </row>
        <row r="70">
          <cell r="A70" t="str">
            <v>NAH</v>
          </cell>
          <cell r="B70" t="str">
            <v>JPN</v>
          </cell>
        </row>
        <row r="71">
          <cell r="A71" t="str">
            <v>NGO</v>
          </cell>
          <cell r="B71" t="str">
            <v>JPN</v>
          </cell>
        </row>
        <row r="72">
          <cell r="A72" t="str">
            <v>NJI</v>
          </cell>
          <cell r="B72" t="str">
            <v>JPN</v>
          </cell>
        </row>
        <row r="73">
          <cell r="A73" t="str">
            <v>OSA</v>
          </cell>
          <cell r="B73" t="str">
            <v>JPN</v>
          </cell>
        </row>
        <row r="74">
          <cell r="A74" t="str">
            <v>SHM</v>
          </cell>
          <cell r="B74" t="str">
            <v>JPN</v>
          </cell>
        </row>
        <row r="75">
          <cell r="A75" t="str">
            <v>TKY</v>
          </cell>
          <cell r="B75" t="str">
            <v>JPN</v>
          </cell>
        </row>
        <row r="76">
          <cell r="A76" t="str">
            <v>TYI</v>
          </cell>
          <cell r="B76" t="str">
            <v>JPN</v>
          </cell>
        </row>
        <row r="77">
          <cell r="A77" t="str">
            <v>TYO</v>
          </cell>
          <cell r="B77" t="str">
            <v>JPN</v>
          </cell>
        </row>
        <row r="78">
          <cell r="A78" t="str">
            <v>YOK</v>
          </cell>
          <cell r="B78" t="str">
            <v>JPN</v>
          </cell>
        </row>
        <row r="79">
          <cell r="A79" t="str">
            <v>XYK</v>
          </cell>
          <cell r="B79" t="str">
            <v>JPN</v>
          </cell>
        </row>
        <row r="80">
          <cell r="A80" t="str">
            <v>YKI</v>
          </cell>
          <cell r="B80" t="str">
            <v>JPN</v>
          </cell>
        </row>
        <row r="81">
          <cell r="A81" t="str">
            <v>YKA</v>
          </cell>
          <cell r="B81" t="str">
            <v>JPN</v>
          </cell>
        </row>
        <row r="82">
          <cell r="A82" t="str">
            <v>INC</v>
          </cell>
          <cell r="B82" t="str">
            <v>KOR</v>
          </cell>
        </row>
        <row r="83">
          <cell r="A83" t="str">
            <v>KWY</v>
          </cell>
          <cell r="B83" t="str">
            <v>KOR</v>
          </cell>
        </row>
        <row r="84">
          <cell r="A84" t="str">
            <v>PUS</v>
          </cell>
          <cell r="B84" t="str">
            <v>KOR</v>
          </cell>
        </row>
        <row r="85">
          <cell r="A85" t="str">
            <v>QPU</v>
          </cell>
          <cell r="B85" t="str">
            <v>KOR</v>
          </cell>
        </row>
        <row r="86">
          <cell r="A86" t="str">
            <v>PEN</v>
          </cell>
          <cell r="B86" t="str">
            <v>MLY</v>
          </cell>
        </row>
        <row r="87">
          <cell r="A87" t="str">
            <v>PKL</v>
          </cell>
          <cell r="B87" t="str">
            <v>MLY</v>
          </cell>
        </row>
        <row r="88">
          <cell r="A88" t="str">
            <v>PSR</v>
          </cell>
          <cell r="B88" t="str">
            <v>MLY</v>
          </cell>
        </row>
        <row r="89">
          <cell r="A89" t="str">
            <v>FAI</v>
          </cell>
          <cell r="B89" t="str">
            <v>PAK</v>
          </cell>
        </row>
        <row r="90">
          <cell r="A90" t="str">
            <v>KHI</v>
          </cell>
          <cell r="B90" t="str">
            <v>PAK</v>
          </cell>
        </row>
        <row r="91">
          <cell r="A91" t="str">
            <v>LHO</v>
          </cell>
          <cell r="B91" t="str">
            <v>PAK</v>
          </cell>
        </row>
        <row r="92">
          <cell r="A92" t="str">
            <v>BGO</v>
          </cell>
          <cell r="B92" t="str">
            <v>PHI</v>
          </cell>
        </row>
        <row r="93">
          <cell r="A93" t="str">
            <v>CEB</v>
          </cell>
          <cell r="B93" t="str">
            <v>PHI</v>
          </cell>
        </row>
        <row r="94">
          <cell r="A94" t="str">
            <v>CGY</v>
          </cell>
          <cell r="B94" t="str">
            <v>PHI</v>
          </cell>
        </row>
        <row r="95">
          <cell r="A95" t="str">
            <v>DAD</v>
          </cell>
          <cell r="B95" t="str">
            <v>PHI</v>
          </cell>
        </row>
        <row r="96">
          <cell r="A96" t="str">
            <v>DVO</v>
          </cell>
          <cell r="B96" t="str">
            <v>PHI</v>
          </cell>
        </row>
        <row r="97">
          <cell r="A97" t="str">
            <v>MNL</v>
          </cell>
          <cell r="B97" t="str">
            <v>PHI</v>
          </cell>
        </row>
        <row r="98">
          <cell r="A98" t="str">
            <v>NMP</v>
          </cell>
          <cell r="B98" t="str">
            <v>PHI</v>
          </cell>
        </row>
        <row r="99">
          <cell r="A99" t="str">
            <v>SUB</v>
          </cell>
          <cell r="B99" t="str">
            <v>PHI</v>
          </cell>
        </row>
        <row r="100">
          <cell r="A100" t="str">
            <v>DAI</v>
          </cell>
          <cell r="B100" t="str">
            <v>PRC</v>
          </cell>
        </row>
        <row r="101">
          <cell r="A101" t="str">
            <v>HSN</v>
          </cell>
          <cell r="B101" t="str">
            <v>PRC</v>
          </cell>
        </row>
        <row r="102">
          <cell r="A102" t="str">
            <v>NGB</v>
          </cell>
          <cell r="B102" t="str">
            <v>PRC</v>
          </cell>
        </row>
        <row r="103">
          <cell r="A103" t="str">
            <v>NNJ</v>
          </cell>
          <cell r="B103" t="str">
            <v>PRC</v>
          </cell>
        </row>
        <row r="104">
          <cell r="A104" t="str">
            <v>NNT</v>
          </cell>
          <cell r="B104" t="str">
            <v>PRC</v>
          </cell>
        </row>
        <row r="105">
          <cell r="A105" t="str">
            <v>SHA</v>
          </cell>
          <cell r="B105" t="str">
            <v>PRC</v>
          </cell>
        </row>
        <row r="106">
          <cell r="A106" t="str">
            <v>TSI</v>
          </cell>
          <cell r="B106" t="str">
            <v>PRC</v>
          </cell>
        </row>
        <row r="107">
          <cell r="A107" t="str">
            <v>WNZ</v>
          </cell>
          <cell r="B107" t="str">
            <v>PRC</v>
          </cell>
        </row>
        <row r="108">
          <cell r="A108" t="str">
            <v>XUZ</v>
          </cell>
          <cell r="B108" t="str">
            <v>PRC</v>
          </cell>
        </row>
        <row r="109">
          <cell r="A109" t="str">
            <v>ZGG</v>
          </cell>
          <cell r="B109" t="str">
            <v>PRC</v>
          </cell>
        </row>
        <row r="110">
          <cell r="A110" t="str">
            <v>ZHI</v>
          </cell>
          <cell r="B110" t="str">
            <v>PRC</v>
          </cell>
        </row>
        <row r="111">
          <cell r="A111" t="str">
            <v>KOE</v>
          </cell>
          <cell r="B111" t="str">
            <v>SIN</v>
          </cell>
        </row>
        <row r="112">
          <cell r="A112" t="str">
            <v>RGN</v>
          </cell>
          <cell r="B112" t="str">
            <v>SIN</v>
          </cell>
        </row>
        <row r="113">
          <cell r="A113" t="str">
            <v>SIN</v>
          </cell>
          <cell r="B113" t="str">
            <v>SIN</v>
          </cell>
        </row>
        <row r="114">
          <cell r="A114" t="str">
            <v>CMB</v>
          </cell>
          <cell r="B114" t="str">
            <v>SLA</v>
          </cell>
        </row>
        <row r="115">
          <cell r="A115" t="str">
            <v>KAO</v>
          </cell>
          <cell r="B115" t="str">
            <v>TAI</v>
          </cell>
        </row>
        <row r="116">
          <cell r="A116" t="str">
            <v>XKA</v>
          </cell>
          <cell r="B116" t="str">
            <v>TAI</v>
          </cell>
        </row>
        <row r="117">
          <cell r="A117" t="str">
            <v>KEE</v>
          </cell>
          <cell r="B117" t="str">
            <v>TAI</v>
          </cell>
        </row>
        <row r="118">
          <cell r="A118" t="str">
            <v>KWB</v>
          </cell>
          <cell r="B118" t="str">
            <v>TAI</v>
          </cell>
        </row>
        <row r="119">
          <cell r="A119" t="str">
            <v>TCH</v>
          </cell>
          <cell r="B119" t="str">
            <v>TAI</v>
          </cell>
        </row>
        <row r="120">
          <cell r="A120" t="str">
            <v>BKK</v>
          </cell>
          <cell r="B120" t="str">
            <v>THA</v>
          </cell>
        </row>
        <row r="121">
          <cell r="A121" t="str">
            <v>HKT</v>
          </cell>
          <cell r="B121" t="str">
            <v>THA</v>
          </cell>
        </row>
        <row r="122">
          <cell r="A122" t="str">
            <v>KLJ</v>
          </cell>
          <cell r="B122" t="str">
            <v>THA</v>
          </cell>
        </row>
        <row r="123">
          <cell r="A123" t="str">
            <v>LCB</v>
          </cell>
          <cell r="B123" t="str">
            <v>THA</v>
          </cell>
        </row>
        <row r="124">
          <cell r="A124" t="str">
            <v>HPZ</v>
          </cell>
          <cell r="B124" t="str">
            <v>VAN</v>
          </cell>
        </row>
        <row r="125">
          <cell r="A125" t="str">
            <v>SGN</v>
          </cell>
          <cell r="B125" t="str">
            <v>VAN</v>
          </cell>
        </row>
        <row r="126">
          <cell r="A126" t="str">
            <v>VJT</v>
          </cell>
          <cell r="B126" t="str">
            <v>VAN</v>
          </cell>
        </row>
        <row r="127">
          <cell r="A127" t="str">
            <v>AAB</v>
          </cell>
          <cell r="B127" t="str">
            <v>WAS</v>
          </cell>
        </row>
        <row r="128">
          <cell r="A128" t="str">
            <v>ADE</v>
          </cell>
          <cell r="B128" t="str">
            <v>WAS</v>
          </cell>
        </row>
        <row r="129">
          <cell r="A129" t="str">
            <v>ALY</v>
          </cell>
          <cell r="B129" t="str">
            <v>WAS</v>
          </cell>
        </row>
        <row r="130">
          <cell r="A130" t="str">
            <v>AQU</v>
          </cell>
          <cell r="B130" t="str">
            <v>WAS</v>
          </cell>
        </row>
        <row r="131">
          <cell r="A131" t="str">
            <v>AUH</v>
          </cell>
          <cell r="B131" t="str">
            <v>WAS</v>
          </cell>
        </row>
        <row r="132">
          <cell r="A132" t="str">
            <v>BAH</v>
          </cell>
          <cell r="B132" t="str">
            <v>WAS</v>
          </cell>
        </row>
        <row r="133">
          <cell r="A133" t="str">
            <v>DAM</v>
          </cell>
          <cell r="B133" t="str">
            <v>WAS</v>
          </cell>
        </row>
        <row r="134">
          <cell r="A134" t="str">
            <v>DBA</v>
          </cell>
          <cell r="B134" t="str">
            <v>WAS</v>
          </cell>
        </row>
        <row r="135">
          <cell r="A135" t="str">
            <v>FUJ</v>
          </cell>
          <cell r="B135" t="str">
            <v>WAS</v>
          </cell>
        </row>
        <row r="136">
          <cell r="A136" t="str">
            <v>HDD</v>
          </cell>
          <cell r="B136" t="str">
            <v>WAS</v>
          </cell>
        </row>
        <row r="137">
          <cell r="A137" t="str">
            <v>JEB</v>
          </cell>
          <cell r="B137" t="str">
            <v>WAS</v>
          </cell>
        </row>
        <row r="138">
          <cell r="A138" t="str">
            <v>JED</v>
          </cell>
          <cell r="B138" t="str">
            <v>WAS</v>
          </cell>
        </row>
        <row r="139">
          <cell r="A139" t="str">
            <v>KWT</v>
          </cell>
          <cell r="B139" t="str">
            <v>EUR</v>
          </cell>
        </row>
        <row r="140">
          <cell r="A140" t="str">
            <v>YGZ</v>
          </cell>
          <cell r="B140" t="str">
            <v>PRC</v>
          </cell>
        </row>
        <row r="141">
          <cell r="A141" t="str">
            <v>IPX</v>
          </cell>
          <cell r="B141" t="str">
            <v>IDD</v>
          </cell>
        </row>
        <row r="142">
          <cell r="A142" t="str">
            <v>BNT</v>
          </cell>
          <cell r="B142" t="str">
            <v>PHI</v>
          </cell>
        </row>
        <row r="143">
          <cell r="A143" t="str">
            <v>VJT</v>
          </cell>
          <cell r="B143" t="str">
            <v>VAN</v>
          </cell>
        </row>
        <row r="144">
          <cell r="A144" t="str">
            <v>JIB</v>
          </cell>
          <cell r="B144" t="str">
            <v>WAS</v>
          </cell>
        </row>
        <row r="145">
          <cell r="A145" t="str">
            <v>KWI</v>
          </cell>
          <cell r="B145" t="str">
            <v>WAS</v>
          </cell>
        </row>
        <row r="146">
          <cell r="A146" t="str">
            <v>MCT</v>
          </cell>
          <cell r="B146" t="str">
            <v>WAS</v>
          </cell>
        </row>
        <row r="147">
          <cell r="A147" t="str">
            <v>PSD</v>
          </cell>
          <cell r="B147" t="str">
            <v>WAS</v>
          </cell>
        </row>
        <row r="148">
          <cell r="A148" t="str">
            <v>ESE</v>
          </cell>
          <cell r="B148" t="str">
            <v>NAM</v>
          </cell>
        </row>
        <row r="149">
          <cell r="A149" t="str">
            <v>PZU</v>
          </cell>
          <cell r="B149" t="str">
            <v>WAS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C 2004"/>
      <sheetName val="Shipdata 2004"/>
      <sheetName val="OSC 2005"/>
      <sheetName val="Shipdata 2005"/>
    </sheetNames>
    <sheetDataSet>
      <sheetData sheetId="0"/>
      <sheetData sheetId="1"/>
      <sheetData sheetId="2" refreshError="1"/>
      <sheetData sheetId="3">
        <row r="6">
          <cell r="J6" t="str">
            <v>tonnage</v>
          </cell>
          <cell r="L6" t="str">
            <v>tiers o/d</v>
          </cell>
          <cell r="N6" t="str">
            <v>PC/UMS</v>
          </cell>
          <cell r="Q6" t="str">
            <v>(Panama)</v>
          </cell>
          <cell r="X6" t="str">
            <v>20 kn/2.0</v>
          </cell>
          <cell r="Y6" t="str">
            <v>20 kn/2.0</v>
          </cell>
          <cell r="AA6" t="str">
            <v>22 kn/2.4</v>
          </cell>
          <cell r="AB6" t="str">
            <v>22 kn/2.4</v>
          </cell>
        </row>
        <row r="8">
          <cell r="A8" t="str">
            <v>DRE</v>
          </cell>
          <cell r="B8" t="str">
            <v>Dresden Express</v>
          </cell>
          <cell r="C8" t="str">
            <v>HLC</v>
          </cell>
          <cell r="D8">
            <v>4639</v>
          </cell>
          <cell r="E8">
            <v>4639</v>
          </cell>
          <cell r="F8">
            <v>53833</v>
          </cell>
          <cell r="G8">
            <v>11.604440612200905</v>
          </cell>
          <cell r="H8">
            <v>23499</v>
          </cell>
          <cell r="I8">
            <v>5.0655313645182147</v>
          </cell>
          <cell r="J8">
            <v>48670</v>
          </cell>
          <cell r="K8">
            <v>10.491485233886614</v>
          </cell>
          <cell r="L8">
            <v>6</v>
          </cell>
          <cell r="N8">
            <v>46590</v>
          </cell>
          <cell r="O8">
            <v>10.043112739814616</v>
          </cell>
          <cell r="P8">
            <v>294</v>
          </cell>
          <cell r="Q8">
            <v>294</v>
          </cell>
          <cell r="R8">
            <v>32.299999999999997</v>
          </cell>
          <cell r="T8">
            <v>13.52</v>
          </cell>
          <cell r="V8">
            <v>21.4</v>
          </cell>
          <cell r="X8">
            <v>5.604656175899979E-5</v>
          </cell>
          <cell r="Y8">
            <v>0.26</v>
          </cell>
          <cell r="AA8">
            <v>7.0165984048286274E-5</v>
          </cell>
          <cell r="AB8">
            <v>0.32550000000000001</v>
          </cell>
          <cell r="AD8">
            <v>48500</v>
          </cell>
          <cell r="AE8">
            <v>10.45</v>
          </cell>
          <cell r="AF8">
            <v>4591</v>
          </cell>
        </row>
        <row r="9">
          <cell r="A9" t="str">
            <v>ESS</v>
          </cell>
          <cell r="B9" t="str">
            <v>Essen Express</v>
          </cell>
          <cell r="C9" t="str">
            <v>HLC</v>
          </cell>
          <cell r="D9">
            <v>4639</v>
          </cell>
          <cell r="E9">
            <v>4639</v>
          </cell>
          <cell r="F9">
            <v>53815</v>
          </cell>
          <cell r="G9">
            <v>11.60056046561759</v>
          </cell>
          <cell r="H9">
            <v>23499</v>
          </cell>
          <cell r="I9">
            <v>5.0655313645182147</v>
          </cell>
          <cell r="J9">
            <v>48703</v>
          </cell>
          <cell r="K9">
            <v>10.498598835956026</v>
          </cell>
          <cell r="L9">
            <v>6</v>
          </cell>
          <cell r="N9">
            <v>46576</v>
          </cell>
          <cell r="O9">
            <v>10.040094848027593</v>
          </cell>
          <cell r="P9">
            <v>294.02999999999997</v>
          </cell>
          <cell r="Q9">
            <v>294.02999999999997</v>
          </cell>
          <cell r="R9">
            <v>32.299999999999997</v>
          </cell>
          <cell r="T9">
            <v>13.52</v>
          </cell>
          <cell r="V9">
            <v>21.4</v>
          </cell>
          <cell r="X9">
            <v>5.604656175899979E-5</v>
          </cell>
          <cell r="Y9">
            <v>0.26</v>
          </cell>
          <cell r="AA9">
            <v>7.0165984048286274E-5</v>
          </cell>
          <cell r="AB9">
            <v>0.32550000000000001</v>
          </cell>
          <cell r="AD9">
            <v>48500</v>
          </cell>
          <cell r="AE9">
            <v>10.45</v>
          </cell>
          <cell r="AF9">
            <v>4591</v>
          </cell>
        </row>
        <row r="10">
          <cell r="A10" t="str">
            <v>PAR</v>
          </cell>
          <cell r="B10" t="str">
            <v>Paris Express (Hamburg Express)</v>
          </cell>
          <cell r="C10" t="str">
            <v>HLC</v>
          </cell>
          <cell r="D10">
            <v>4639</v>
          </cell>
          <cell r="E10">
            <v>4639</v>
          </cell>
          <cell r="F10">
            <v>53815</v>
          </cell>
          <cell r="G10">
            <v>11.60056046561759</v>
          </cell>
          <cell r="H10">
            <v>23499</v>
          </cell>
          <cell r="I10">
            <v>5.0655313645182147</v>
          </cell>
          <cell r="J10">
            <v>48703</v>
          </cell>
          <cell r="K10">
            <v>10.498598835956026</v>
          </cell>
          <cell r="L10">
            <v>6</v>
          </cell>
          <cell r="N10">
            <v>46575</v>
          </cell>
          <cell r="O10">
            <v>10.039879284328519</v>
          </cell>
          <cell r="P10">
            <v>294.08999999999997</v>
          </cell>
          <cell r="Q10">
            <v>294.08999999999997</v>
          </cell>
          <cell r="R10">
            <v>32.299999999999997</v>
          </cell>
          <cell r="T10">
            <v>13.52</v>
          </cell>
          <cell r="V10">
            <v>21.4</v>
          </cell>
          <cell r="X10">
            <v>5.604656175899979E-5</v>
          </cell>
          <cell r="Y10">
            <v>0.26</v>
          </cell>
          <cell r="AA10">
            <v>7.0165984048286274E-5</v>
          </cell>
          <cell r="AB10">
            <v>0.32550000000000001</v>
          </cell>
          <cell r="AD10">
            <v>48500</v>
          </cell>
          <cell r="AE10">
            <v>10.45</v>
          </cell>
          <cell r="AF10">
            <v>4591</v>
          </cell>
        </row>
        <row r="11">
          <cell r="A11" t="str">
            <v>HAX</v>
          </cell>
          <cell r="B11" t="str">
            <v>Hamberg Express</v>
          </cell>
          <cell r="C11" t="str">
            <v>HLC</v>
          </cell>
          <cell r="D11">
            <v>7506</v>
          </cell>
          <cell r="F11">
            <v>88493</v>
          </cell>
          <cell r="G11">
            <v>11.789634958699708</v>
          </cell>
          <cell r="H11">
            <v>36175</v>
          </cell>
          <cell r="I11">
            <v>4.8194777511324274</v>
          </cell>
          <cell r="J11">
            <v>79388</v>
          </cell>
          <cell r="K11">
            <v>10.576605382360778</v>
          </cell>
          <cell r="L11">
            <v>7</v>
          </cell>
          <cell r="O11">
            <v>0</v>
          </cell>
          <cell r="P11">
            <v>320.38</v>
          </cell>
          <cell r="R11">
            <v>42.9</v>
          </cell>
          <cell r="T11">
            <v>14.52</v>
          </cell>
          <cell r="V11">
            <v>24.5</v>
          </cell>
          <cell r="X11">
            <v>4.2765787370103919E-5</v>
          </cell>
          <cell r="Y11">
            <v>0.32100000000000001</v>
          </cell>
          <cell r="AA11">
            <v>5.2624567013056221E-5</v>
          </cell>
          <cell r="AB11">
            <v>0.39500000000000002</v>
          </cell>
          <cell r="AD11">
            <v>87500</v>
          </cell>
          <cell r="AE11">
            <v>11.66</v>
          </cell>
          <cell r="AF11">
            <v>7851</v>
          </cell>
        </row>
        <row r="12">
          <cell r="A12" t="str">
            <v>SHX</v>
          </cell>
          <cell r="B12" t="str">
            <v>Shanghai Express</v>
          </cell>
          <cell r="C12" t="str">
            <v>HLC</v>
          </cell>
          <cell r="D12">
            <v>7506</v>
          </cell>
          <cell r="F12">
            <v>88493</v>
          </cell>
          <cell r="G12">
            <v>11.789634958699708</v>
          </cell>
          <cell r="H12">
            <v>36175</v>
          </cell>
          <cell r="I12">
            <v>4.8194777511324274</v>
          </cell>
          <cell r="J12">
            <v>79388</v>
          </cell>
          <cell r="K12">
            <v>10.576605382360778</v>
          </cell>
          <cell r="L12">
            <v>7</v>
          </cell>
          <cell r="O12">
            <v>0</v>
          </cell>
          <cell r="P12">
            <v>320.38</v>
          </cell>
          <cell r="R12">
            <v>42.9</v>
          </cell>
          <cell r="T12">
            <v>14.52</v>
          </cell>
          <cell r="V12">
            <v>24.5</v>
          </cell>
          <cell r="X12">
            <v>4.2765787370103919E-5</v>
          </cell>
          <cell r="Y12">
            <v>0.32100000000000001</v>
          </cell>
          <cell r="AA12">
            <v>5.2624567013056221E-5</v>
          </cell>
          <cell r="AB12">
            <v>0.39500000000000002</v>
          </cell>
          <cell r="AD12">
            <v>87500</v>
          </cell>
          <cell r="AE12">
            <v>11.66</v>
          </cell>
          <cell r="AF12">
            <v>7851</v>
          </cell>
        </row>
        <row r="13">
          <cell r="A13" t="str">
            <v>HNX</v>
          </cell>
          <cell r="B13" t="str">
            <v>Hannover Express</v>
          </cell>
          <cell r="C13" t="str">
            <v>HLC</v>
          </cell>
          <cell r="D13">
            <v>4626</v>
          </cell>
          <cell r="E13">
            <v>4626</v>
          </cell>
          <cell r="F13">
            <v>53783</v>
          </cell>
          <cell r="G13">
            <v>11.626242974492001</v>
          </cell>
          <cell r="H13">
            <v>23499</v>
          </cell>
          <cell r="I13">
            <v>5.0797665369649803</v>
          </cell>
          <cell r="J13">
            <v>48614</v>
          </cell>
          <cell r="K13">
            <v>10.508862948551664</v>
          </cell>
          <cell r="L13">
            <v>6</v>
          </cell>
          <cell r="N13">
            <v>46534</v>
          </cell>
          <cell r="O13">
            <v>10.059230436662343</v>
          </cell>
          <cell r="P13">
            <v>294</v>
          </cell>
          <cell r="Q13">
            <v>294</v>
          </cell>
          <cell r="R13">
            <v>32.299999999999997</v>
          </cell>
          <cell r="T13">
            <v>13.52</v>
          </cell>
          <cell r="V13">
            <v>21.4</v>
          </cell>
          <cell r="X13">
            <v>5.6204063986165154E-5</v>
          </cell>
          <cell r="Y13">
            <v>0.26</v>
          </cell>
          <cell r="AA13">
            <v>7.036316472114138E-5</v>
          </cell>
          <cell r="AB13">
            <v>0.32550000000000001</v>
          </cell>
          <cell r="AD13">
            <v>48500</v>
          </cell>
          <cell r="AE13">
            <v>10.48</v>
          </cell>
          <cell r="AF13">
            <v>4585</v>
          </cell>
        </row>
        <row r="14">
          <cell r="A14" t="str">
            <v>HOE</v>
          </cell>
          <cell r="B14" t="str">
            <v>Hoechst Express</v>
          </cell>
          <cell r="C14" t="str">
            <v>HLC</v>
          </cell>
          <cell r="D14">
            <v>4639</v>
          </cell>
          <cell r="E14">
            <v>4639</v>
          </cell>
          <cell r="F14">
            <v>53833</v>
          </cell>
          <cell r="G14">
            <v>11.604440612200905</v>
          </cell>
          <cell r="H14">
            <v>23499</v>
          </cell>
          <cell r="I14">
            <v>5.0655313645182147</v>
          </cell>
          <cell r="J14">
            <v>48670</v>
          </cell>
          <cell r="K14">
            <v>10.491485233886614</v>
          </cell>
          <cell r="L14">
            <v>6</v>
          </cell>
          <cell r="N14">
            <v>46590</v>
          </cell>
          <cell r="O14">
            <v>10.043112739814616</v>
          </cell>
          <cell r="P14">
            <v>294</v>
          </cell>
          <cell r="Q14">
            <v>294</v>
          </cell>
          <cell r="R14">
            <v>32.299999999999997</v>
          </cell>
          <cell r="T14">
            <v>13.52</v>
          </cell>
          <cell r="V14">
            <v>21.4</v>
          </cell>
          <cell r="X14">
            <v>5.604656175899979E-5</v>
          </cell>
          <cell r="Y14">
            <v>0.26</v>
          </cell>
          <cell r="AA14">
            <v>7.0165984048286274E-5</v>
          </cell>
          <cell r="AB14">
            <v>0.32550000000000001</v>
          </cell>
          <cell r="AD14">
            <v>48500</v>
          </cell>
          <cell r="AE14">
            <v>10.45</v>
          </cell>
          <cell r="AF14">
            <v>4591</v>
          </cell>
        </row>
        <row r="15">
          <cell r="A15" t="str">
            <v>LEV</v>
          </cell>
          <cell r="B15" t="str">
            <v>Leverkusen Express</v>
          </cell>
          <cell r="C15" t="str">
            <v>HLC</v>
          </cell>
          <cell r="D15">
            <v>4626</v>
          </cell>
          <cell r="E15">
            <v>4626</v>
          </cell>
          <cell r="F15">
            <v>53783</v>
          </cell>
          <cell r="G15">
            <v>11.626242974492001</v>
          </cell>
          <cell r="H15">
            <v>23499</v>
          </cell>
          <cell r="I15">
            <v>5.0797665369649803</v>
          </cell>
          <cell r="J15">
            <v>48614</v>
          </cell>
          <cell r="K15">
            <v>10.508862948551664</v>
          </cell>
          <cell r="L15">
            <v>6</v>
          </cell>
          <cell r="N15">
            <v>46534</v>
          </cell>
          <cell r="O15">
            <v>10.059230436662343</v>
          </cell>
          <cell r="P15">
            <v>293.98</v>
          </cell>
          <cell r="Q15">
            <v>293.98</v>
          </cell>
          <cell r="R15">
            <v>32.299999999999997</v>
          </cell>
          <cell r="T15">
            <v>13.52</v>
          </cell>
          <cell r="V15">
            <v>21.4</v>
          </cell>
          <cell r="X15">
            <v>5.6204063986165154E-5</v>
          </cell>
          <cell r="Y15">
            <v>0.26</v>
          </cell>
          <cell r="AA15">
            <v>7.036316472114138E-5</v>
          </cell>
          <cell r="AB15">
            <v>0.32550000000000001</v>
          </cell>
          <cell r="AD15">
            <v>48500</v>
          </cell>
          <cell r="AE15">
            <v>10.48</v>
          </cell>
          <cell r="AF15">
            <v>4585</v>
          </cell>
        </row>
        <row r="16">
          <cell r="A16" t="str">
            <v>LUD</v>
          </cell>
          <cell r="B16" t="str">
            <v>Ludwigshafen Express</v>
          </cell>
          <cell r="C16" t="str">
            <v>HLC</v>
          </cell>
          <cell r="D16">
            <v>4639</v>
          </cell>
          <cell r="E16">
            <v>4639</v>
          </cell>
          <cell r="F16">
            <v>53833</v>
          </cell>
          <cell r="G16">
            <v>11.604440612200905</v>
          </cell>
          <cell r="H16">
            <v>23499</v>
          </cell>
          <cell r="I16">
            <v>5.0655313645182147</v>
          </cell>
          <cell r="J16">
            <v>48670</v>
          </cell>
          <cell r="K16">
            <v>10.491485233886614</v>
          </cell>
          <cell r="L16">
            <v>6</v>
          </cell>
          <cell r="N16">
            <v>46590</v>
          </cell>
          <cell r="O16">
            <v>10.043112739814616</v>
          </cell>
          <cell r="P16">
            <v>293.99</v>
          </cell>
          <cell r="Q16">
            <v>293.99</v>
          </cell>
          <cell r="R16">
            <v>32.299999999999997</v>
          </cell>
          <cell r="T16">
            <v>13.52</v>
          </cell>
          <cell r="V16">
            <v>21.4</v>
          </cell>
          <cell r="X16">
            <v>5.604656175899979E-5</v>
          </cell>
          <cell r="Y16">
            <v>0.26</v>
          </cell>
          <cell r="AA16">
            <v>7.0165984048286274E-5</v>
          </cell>
          <cell r="AB16">
            <v>0.32550000000000001</v>
          </cell>
          <cell r="AD16">
            <v>48500</v>
          </cell>
          <cell r="AE16">
            <v>10.45</v>
          </cell>
          <cell r="AF16">
            <v>4591</v>
          </cell>
        </row>
        <row r="17">
          <cell r="A17" t="str">
            <v>STU</v>
          </cell>
          <cell r="B17" t="str">
            <v>Stuttgart Express</v>
          </cell>
          <cell r="C17" t="str">
            <v>HLC</v>
          </cell>
          <cell r="D17">
            <v>4639</v>
          </cell>
          <cell r="E17">
            <v>4639</v>
          </cell>
          <cell r="F17">
            <v>53815</v>
          </cell>
          <cell r="G17">
            <v>11.60056046561759</v>
          </cell>
          <cell r="H17">
            <v>23499</v>
          </cell>
          <cell r="I17">
            <v>5.0655313645182147</v>
          </cell>
          <cell r="J17">
            <v>48703</v>
          </cell>
          <cell r="K17">
            <v>10.498598835956026</v>
          </cell>
          <cell r="L17">
            <v>6</v>
          </cell>
          <cell r="N17">
            <v>46576</v>
          </cell>
          <cell r="O17">
            <v>10.040094848027593</v>
          </cell>
          <cell r="P17">
            <v>294.10000000000002</v>
          </cell>
          <cell r="Q17">
            <v>294.10000000000002</v>
          </cell>
          <cell r="R17">
            <v>32.299999999999997</v>
          </cell>
          <cell r="T17">
            <v>13.52</v>
          </cell>
          <cell r="V17">
            <v>21.4</v>
          </cell>
          <cell r="X17">
            <v>5.604656175899979E-5</v>
          </cell>
          <cell r="Y17">
            <v>0.26</v>
          </cell>
          <cell r="AA17">
            <v>7.0165984048286274E-5</v>
          </cell>
          <cell r="AB17">
            <v>0.32550000000000001</v>
          </cell>
          <cell r="AD17">
            <v>48500</v>
          </cell>
          <cell r="AE17">
            <v>10.45</v>
          </cell>
          <cell r="AF17">
            <v>4591</v>
          </cell>
        </row>
        <row r="18">
          <cell r="A18" t="str">
            <v>NRX</v>
          </cell>
          <cell r="B18" t="str">
            <v>OOCL Atlantic (Norfolk Express)</v>
          </cell>
          <cell r="C18" t="str">
            <v>HLC</v>
          </cell>
          <cell r="D18">
            <v>3506</v>
          </cell>
          <cell r="E18">
            <v>3506</v>
          </cell>
          <cell r="F18">
            <v>36606</v>
          </cell>
          <cell r="G18">
            <v>10.44095835710211</v>
          </cell>
          <cell r="H18">
            <v>20779</v>
          </cell>
          <cell r="I18">
            <v>5.9266970907016541</v>
          </cell>
          <cell r="J18">
            <v>30100</v>
          </cell>
          <cell r="K18">
            <v>8.5852823730747296</v>
          </cell>
          <cell r="L18">
            <v>6</v>
          </cell>
          <cell r="N18">
            <v>30296</v>
          </cell>
          <cell r="O18">
            <v>8.6411865373645185</v>
          </cell>
          <cell r="P18">
            <v>244.94</v>
          </cell>
          <cell r="Q18">
            <v>244.94</v>
          </cell>
          <cell r="R18">
            <v>32.299999999999997</v>
          </cell>
          <cell r="T18">
            <v>12</v>
          </cell>
          <cell r="V18">
            <v>19</v>
          </cell>
          <cell r="X18">
            <v>5.9440958357102112E-5</v>
          </cell>
          <cell r="Y18">
            <v>0.2084</v>
          </cell>
          <cell r="AA18">
            <v>7.3730747290359381E-5</v>
          </cell>
          <cell r="AB18">
            <v>0.25850000000000001</v>
          </cell>
          <cell r="AD18">
            <v>33500</v>
          </cell>
          <cell r="AE18">
            <v>9.56</v>
          </cell>
          <cell r="AF18">
            <v>3322</v>
          </cell>
        </row>
        <row r="19">
          <cell r="A19" t="str">
            <v>FAX</v>
          </cell>
          <cell r="B19" t="str">
            <v>Frankfurt Express</v>
          </cell>
          <cell r="C19" t="str">
            <v>HLC</v>
          </cell>
          <cell r="D19">
            <v>3430</v>
          </cell>
          <cell r="E19">
            <v>3430</v>
          </cell>
          <cell r="F19">
            <v>57540</v>
          </cell>
          <cell r="G19">
            <v>16.775510204081634</v>
          </cell>
          <cell r="H19">
            <v>23237</v>
          </cell>
          <cell r="I19">
            <v>6.7746355685131192</v>
          </cell>
          <cell r="J19">
            <v>49105</v>
          </cell>
          <cell r="K19">
            <v>14.316326530612244</v>
          </cell>
          <cell r="L19">
            <v>4</v>
          </cell>
          <cell r="N19">
            <v>47232</v>
          </cell>
          <cell r="O19">
            <v>13.770262390670554</v>
          </cell>
          <cell r="P19">
            <v>287.73</v>
          </cell>
          <cell r="Q19">
            <v>287.73</v>
          </cell>
          <cell r="R19">
            <v>32.28</v>
          </cell>
          <cell r="T19">
            <v>13.06</v>
          </cell>
          <cell r="V19">
            <v>24</v>
          </cell>
          <cell r="X19">
            <v>9.7434402332361521E-5</v>
          </cell>
          <cell r="Y19">
            <v>0.3342</v>
          </cell>
          <cell r="AA19">
            <v>1.2326530612244898E-4</v>
          </cell>
          <cell r="AB19">
            <v>0.42280000000000001</v>
          </cell>
          <cell r="AD19">
            <v>35000</v>
          </cell>
          <cell r="AE19">
            <v>10.199999999999999</v>
          </cell>
          <cell r="AF19">
            <v>3354</v>
          </cell>
        </row>
        <row r="20">
          <cell r="A20" t="str">
            <v>BOX</v>
          </cell>
          <cell r="B20" t="str">
            <v>Bonn Express</v>
          </cell>
          <cell r="C20" t="str">
            <v>HLC</v>
          </cell>
          <cell r="D20">
            <v>2803</v>
          </cell>
          <cell r="E20">
            <v>2803</v>
          </cell>
          <cell r="F20">
            <v>35919</v>
          </cell>
          <cell r="G20">
            <v>12.814484480913308</v>
          </cell>
          <cell r="H20">
            <v>15910</v>
          </cell>
          <cell r="I20">
            <v>5.6760613628255436</v>
          </cell>
          <cell r="J20">
            <v>31294</v>
          </cell>
          <cell r="K20">
            <v>11.164466642882626</v>
          </cell>
          <cell r="L20">
            <v>5</v>
          </cell>
          <cell r="N20">
            <v>30633</v>
          </cell>
          <cell r="O20">
            <v>10.928647877274349</v>
          </cell>
          <cell r="P20">
            <v>235.64</v>
          </cell>
          <cell r="Q20">
            <v>235.64</v>
          </cell>
          <cell r="R20">
            <v>32.200000000000003</v>
          </cell>
          <cell r="T20">
            <v>12.52</v>
          </cell>
          <cell r="V20">
            <v>18.8</v>
          </cell>
          <cell r="X20">
            <v>7.8701391366393141E-5</v>
          </cell>
          <cell r="Y20">
            <v>0.22059999999999999</v>
          </cell>
          <cell r="AA20">
            <v>1.025330003567606E-4</v>
          </cell>
          <cell r="AB20">
            <v>0.28739999999999999</v>
          </cell>
          <cell r="AD20">
            <v>31000</v>
          </cell>
          <cell r="AE20">
            <v>11.06</v>
          </cell>
          <cell r="AF20">
            <v>2853</v>
          </cell>
        </row>
        <row r="21">
          <cell r="A21" t="str">
            <v>HEX</v>
          </cell>
          <cell r="B21" t="str">
            <v>Heidelberg Express</v>
          </cell>
          <cell r="C21" t="str">
            <v>HLC</v>
          </cell>
          <cell r="D21">
            <v>2803</v>
          </cell>
          <cell r="E21">
            <v>2803</v>
          </cell>
          <cell r="F21">
            <v>35919</v>
          </cell>
          <cell r="G21">
            <v>12.814484480913308</v>
          </cell>
          <cell r="H21">
            <v>15910</v>
          </cell>
          <cell r="I21">
            <v>5.6760613628255436</v>
          </cell>
          <cell r="J21">
            <v>31294</v>
          </cell>
          <cell r="K21">
            <v>11.164466642882626</v>
          </cell>
          <cell r="L21">
            <v>5</v>
          </cell>
          <cell r="N21">
            <v>30977</v>
          </cell>
          <cell r="O21">
            <v>11.051373528362468</v>
          </cell>
          <cell r="P21">
            <v>235.6</v>
          </cell>
          <cell r="Q21">
            <v>235.6</v>
          </cell>
          <cell r="R21">
            <v>32.200000000000003</v>
          </cell>
          <cell r="T21">
            <v>12.52</v>
          </cell>
          <cell r="V21">
            <v>18.8</v>
          </cell>
          <cell r="X21">
            <v>7.8701391366393141E-5</v>
          </cell>
          <cell r="Y21">
            <v>0.22059999999999999</v>
          </cell>
          <cell r="AA21">
            <v>1.025330003567606E-4</v>
          </cell>
          <cell r="AB21">
            <v>0.28739999999999999</v>
          </cell>
          <cell r="AD21">
            <v>31000</v>
          </cell>
          <cell r="AE21">
            <v>11.06</v>
          </cell>
          <cell r="AF21">
            <v>2853</v>
          </cell>
        </row>
        <row r="22">
          <cell r="A22" t="str">
            <v>ANX</v>
          </cell>
          <cell r="B22" t="str">
            <v>Antwerpen Express</v>
          </cell>
          <cell r="C22" t="str">
            <v>HLC</v>
          </cell>
          <cell r="D22">
            <v>4800</v>
          </cell>
          <cell r="E22">
            <v>4800</v>
          </cell>
          <cell r="F22">
            <v>54437</v>
          </cell>
          <cell r="G22">
            <v>11.341041666666667</v>
          </cell>
          <cell r="H22">
            <v>23876</v>
          </cell>
          <cell r="I22">
            <v>4.9741666666666671</v>
          </cell>
          <cell r="J22">
            <v>48182</v>
          </cell>
          <cell r="K22">
            <v>10.037916666666666</v>
          </cell>
          <cell r="L22">
            <v>6</v>
          </cell>
          <cell r="N22">
            <v>47125</v>
          </cell>
          <cell r="O22">
            <v>9.8177083333333339</v>
          </cell>
          <cell r="P22">
            <v>294.17</v>
          </cell>
          <cell r="Q22">
            <v>294.17</v>
          </cell>
          <cell r="R22">
            <v>32.299999999999997</v>
          </cell>
          <cell r="T22">
            <v>13.57</v>
          </cell>
          <cell r="V22">
            <v>21.8</v>
          </cell>
          <cell r="X22">
            <v>5.4166666666666671E-5</v>
          </cell>
          <cell r="Y22">
            <v>0.26</v>
          </cell>
          <cell r="AA22">
            <v>6.7812500000000002E-5</v>
          </cell>
          <cell r="AB22">
            <v>0.32550000000000001</v>
          </cell>
          <cell r="AD22">
            <v>48500</v>
          </cell>
          <cell r="AE22">
            <v>10.1</v>
          </cell>
          <cell r="AF22">
            <v>4672</v>
          </cell>
        </row>
        <row r="23">
          <cell r="A23" t="str">
            <v>ROX</v>
          </cell>
          <cell r="B23" t="str">
            <v>Rotterdam Express</v>
          </cell>
          <cell r="C23" t="str">
            <v>HLC</v>
          </cell>
          <cell r="D23">
            <v>4800</v>
          </cell>
          <cell r="E23">
            <v>4800</v>
          </cell>
          <cell r="F23">
            <v>54465</v>
          </cell>
          <cell r="G23">
            <v>11.346875000000001</v>
          </cell>
          <cell r="H23">
            <v>23876</v>
          </cell>
          <cell r="I23">
            <v>4.9741666666666671</v>
          </cell>
          <cell r="J23">
            <v>48182</v>
          </cell>
          <cell r="K23">
            <v>10.037916666666666</v>
          </cell>
          <cell r="L23">
            <v>6</v>
          </cell>
          <cell r="N23">
            <v>47125</v>
          </cell>
          <cell r="O23">
            <v>9.8177083333333339</v>
          </cell>
          <cell r="P23">
            <v>294.17</v>
          </cell>
          <cell r="Q23">
            <v>294.17</v>
          </cell>
          <cell r="R23">
            <v>32.299999999999997</v>
          </cell>
          <cell r="T23">
            <v>13.57</v>
          </cell>
          <cell r="V23">
            <v>21.8</v>
          </cell>
          <cell r="X23">
            <v>5.4166666666666671E-5</v>
          </cell>
          <cell r="Y23">
            <v>0.26</v>
          </cell>
          <cell r="AA23">
            <v>6.7812500000000002E-5</v>
          </cell>
          <cell r="AB23">
            <v>0.32550000000000001</v>
          </cell>
          <cell r="AD23">
            <v>48500</v>
          </cell>
          <cell r="AE23">
            <v>10.1</v>
          </cell>
          <cell r="AF23">
            <v>4672</v>
          </cell>
        </row>
        <row r="24">
          <cell r="A24" t="str">
            <v>KBX</v>
          </cell>
          <cell r="B24" t="str">
            <v>Kobe Express (ex-Shanghai Express)</v>
          </cell>
          <cell r="C24" t="str">
            <v>HLC</v>
          </cell>
          <cell r="D24">
            <v>4612</v>
          </cell>
          <cell r="E24">
            <v>4612</v>
          </cell>
          <cell r="F24">
            <v>53523</v>
          </cell>
          <cell r="G24">
            <v>11.605160450997397</v>
          </cell>
          <cell r="H24">
            <v>32908</v>
          </cell>
          <cell r="I24">
            <v>7.1352992194275799</v>
          </cell>
          <cell r="J24">
            <v>47328</v>
          </cell>
          <cell r="K24">
            <v>10.261925411968777</v>
          </cell>
          <cell r="L24">
            <v>6</v>
          </cell>
          <cell r="N24">
            <v>46356</v>
          </cell>
          <cell r="O24">
            <v>10.051170858629662</v>
          </cell>
          <cell r="P24">
            <v>294</v>
          </cell>
          <cell r="Q24">
            <v>294</v>
          </cell>
          <cell r="R24">
            <v>32.299999999999997</v>
          </cell>
          <cell r="T24">
            <v>13.52</v>
          </cell>
          <cell r="V24">
            <v>24.4</v>
          </cell>
          <cell r="X24">
            <v>5.2753686036426711E-5</v>
          </cell>
          <cell r="Y24">
            <v>0.24329999999999999</v>
          </cell>
          <cell r="AA24">
            <v>6.5481352992194277E-5</v>
          </cell>
          <cell r="AB24">
            <v>0.30199999999999999</v>
          </cell>
          <cell r="AD24">
            <v>48500</v>
          </cell>
          <cell r="AE24">
            <v>10.52</v>
          </cell>
          <cell r="AF24">
            <v>4578</v>
          </cell>
        </row>
        <row r="25">
          <cell r="A25" t="str">
            <v>DUX</v>
          </cell>
          <cell r="B25" t="str">
            <v>Duesseldorf Express</v>
          </cell>
          <cell r="C25" t="str">
            <v>HLC</v>
          </cell>
          <cell r="D25">
            <v>4612</v>
          </cell>
          <cell r="E25">
            <v>4612</v>
          </cell>
          <cell r="F25">
            <v>53523</v>
          </cell>
          <cell r="G25">
            <v>11.605160450997397</v>
          </cell>
          <cell r="H25">
            <v>32908</v>
          </cell>
          <cell r="I25">
            <v>7.1352992194275799</v>
          </cell>
          <cell r="J25">
            <v>47328</v>
          </cell>
          <cell r="K25">
            <v>10.261925411968777</v>
          </cell>
          <cell r="L25">
            <v>6</v>
          </cell>
          <cell r="N25">
            <v>46356</v>
          </cell>
          <cell r="O25">
            <v>10.051170858629662</v>
          </cell>
          <cell r="P25">
            <v>294</v>
          </cell>
          <cell r="Q25">
            <v>294</v>
          </cell>
          <cell r="R25">
            <v>32.299999999999997</v>
          </cell>
          <cell r="T25">
            <v>13.52</v>
          </cell>
          <cell r="V25">
            <v>24.4</v>
          </cell>
          <cell r="X25">
            <v>5.2753686036426711E-5</v>
          </cell>
          <cell r="Y25">
            <v>0.24329999999999999</v>
          </cell>
          <cell r="AA25">
            <v>6.5481352992194277E-5</v>
          </cell>
          <cell r="AB25">
            <v>0.30199999999999999</v>
          </cell>
          <cell r="AD25">
            <v>48500</v>
          </cell>
          <cell r="AE25">
            <v>10.52</v>
          </cell>
          <cell r="AF25">
            <v>4578</v>
          </cell>
        </row>
        <row r="26">
          <cell r="A26" t="str">
            <v>LON</v>
          </cell>
          <cell r="B26" t="str">
            <v>London Express</v>
          </cell>
          <cell r="C26" t="str">
            <v>HLC</v>
          </cell>
          <cell r="D26">
            <v>4612</v>
          </cell>
          <cell r="E26">
            <v>4612</v>
          </cell>
          <cell r="F26">
            <v>53523</v>
          </cell>
          <cell r="G26">
            <v>11.605160450997397</v>
          </cell>
          <cell r="H26">
            <v>32908</v>
          </cell>
          <cell r="I26">
            <v>7.1352992194275799</v>
          </cell>
          <cell r="J26">
            <v>47328</v>
          </cell>
          <cell r="K26">
            <v>10.261925411968777</v>
          </cell>
          <cell r="L26">
            <v>6</v>
          </cell>
          <cell r="N26">
            <v>46402</v>
          </cell>
          <cell r="O26">
            <v>10.061144839549003</v>
          </cell>
          <cell r="P26">
            <v>294</v>
          </cell>
          <cell r="Q26">
            <v>294</v>
          </cell>
          <cell r="R26">
            <v>32.299999999999997</v>
          </cell>
          <cell r="T26">
            <v>13.52</v>
          </cell>
          <cell r="V26">
            <v>24.4</v>
          </cell>
          <cell r="X26">
            <v>5.2753686036426711E-5</v>
          </cell>
          <cell r="Y26">
            <v>0.24329999999999999</v>
          </cell>
          <cell r="AA26">
            <v>6.5481352992194277E-5</v>
          </cell>
          <cell r="AB26">
            <v>0.30199999999999999</v>
          </cell>
          <cell r="AD26">
            <v>48500</v>
          </cell>
          <cell r="AE26">
            <v>10.52</v>
          </cell>
          <cell r="AF26">
            <v>4578</v>
          </cell>
        </row>
        <row r="27">
          <cell r="A27" t="str">
            <v>BEX</v>
          </cell>
          <cell r="B27" t="str">
            <v>Bremen Express</v>
          </cell>
          <cell r="C27" t="str">
            <v>HLC</v>
          </cell>
          <cell r="D27">
            <v>4800</v>
          </cell>
          <cell r="E27">
            <v>4800</v>
          </cell>
          <cell r="F27">
            <v>54437</v>
          </cell>
          <cell r="G27">
            <v>11.341041666666667</v>
          </cell>
          <cell r="H27">
            <v>23876</v>
          </cell>
          <cell r="I27">
            <v>4.9741666666666671</v>
          </cell>
          <cell r="J27">
            <v>48182</v>
          </cell>
          <cell r="K27">
            <v>10.037916666666666</v>
          </cell>
          <cell r="L27">
            <v>6</v>
          </cell>
          <cell r="N27">
            <v>47125</v>
          </cell>
          <cell r="O27">
            <v>9.8177083333333339</v>
          </cell>
          <cell r="P27">
            <v>294.17</v>
          </cell>
          <cell r="Q27">
            <v>294.17</v>
          </cell>
          <cell r="R27">
            <v>32.299999999999997</v>
          </cell>
          <cell r="T27">
            <v>13.57</v>
          </cell>
          <cell r="V27">
            <v>21.8</v>
          </cell>
          <cell r="X27">
            <v>5.4166666666666671E-5</v>
          </cell>
          <cell r="Y27">
            <v>0.26</v>
          </cell>
          <cell r="AA27">
            <v>6.7812500000000002E-5</v>
          </cell>
          <cell r="AB27">
            <v>0.32550000000000001</v>
          </cell>
          <cell r="AD27">
            <v>48500</v>
          </cell>
          <cell r="AE27">
            <v>10.1</v>
          </cell>
          <cell r="AF27">
            <v>4672</v>
          </cell>
        </row>
        <row r="28">
          <cell r="A28" t="str">
            <v>KLX</v>
          </cell>
          <cell r="B28" t="str">
            <v>Kuala Lumpur Express</v>
          </cell>
          <cell r="C28" t="str">
            <v>HLC</v>
          </cell>
          <cell r="D28">
            <v>4800</v>
          </cell>
          <cell r="E28">
            <v>4800</v>
          </cell>
          <cell r="F28">
            <v>54415</v>
          </cell>
          <cell r="G28">
            <v>11.336458333333333</v>
          </cell>
          <cell r="H28">
            <v>23872</v>
          </cell>
          <cell r="I28">
            <v>4.9733333333333336</v>
          </cell>
          <cell r="J28">
            <v>48054</v>
          </cell>
          <cell r="K28">
            <v>10.01125</v>
          </cell>
          <cell r="L28">
            <v>6</v>
          </cell>
          <cell r="N28">
            <v>46493</v>
          </cell>
          <cell r="O28">
            <v>9.6860416666666662</v>
          </cell>
          <cell r="P28">
            <v>294.06</v>
          </cell>
          <cell r="Q28">
            <v>294.17</v>
          </cell>
          <cell r="R28">
            <v>32.299999999999997</v>
          </cell>
          <cell r="T28">
            <v>13.57</v>
          </cell>
          <cell r="V28">
            <v>21.8</v>
          </cell>
          <cell r="X28">
            <v>5.4166666666666671E-5</v>
          </cell>
          <cell r="Y28">
            <v>0.26</v>
          </cell>
          <cell r="AA28">
            <v>6.7812500000000002E-5</v>
          </cell>
          <cell r="AB28">
            <v>0.32550000000000001</v>
          </cell>
          <cell r="AD28">
            <v>48500</v>
          </cell>
          <cell r="AE28">
            <v>10.1</v>
          </cell>
          <cell r="AF28">
            <v>4672</v>
          </cell>
        </row>
        <row r="29">
          <cell r="A29" t="str">
            <v>NYX</v>
          </cell>
          <cell r="B29" t="str">
            <v>New York Express</v>
          </cell>
          <cell r="C29" t="str">
            <v>HLC</v>
          </cell>
          <cell r="D29">
            <v>4800</v>
          </cell>
          <cell r="E29">
            <v>4800</v>
          </cell>
          <cell r="F29">
            <v>54415</v>
          </cell>
          <cell r="G29">
            <v>11.336458333333333</v>
          </cell>
          <cell r="H29">
            <v>23872</v>
          </cell>
          <cell r="I29">
            <v>4.9733333333333336</v>
          </cell>
          <cell r="J29">
            <v>48054</v>
          </cell>
          <cell r="K29">
            <v>10.01125</v>
          </cell>
          <cell r="L29">
            <v>6</v>
          </cell>
          <cell r="N29">
            <v>46493</v>
          </cell>
          <cell r="O29">
            <v>9.6860416666666662</v>
          </cell>
          <cell r="P29">
            <v>294.06</v>
          </cell>
          <cell r="Q29">
            <v>294.17</v>
          </cell>
          <cell r="R29">
            <v>32.299999999999997</v>
          </cell>
          <cell r="T29">
            <v>13.57</v>
          </cell>
          <cell r="V29">
            <v>21.8</v>
          </cell>
          <cell r="X29">
            <v>5.4166666666666671E-5</v>
          </cell>
          <cell r="Y29">
            <v>0.26</v>
          </cell>
          <cell r="AA29">
            <v>6.7812500000000002E-5</v>
          </cell>
          <cell r="AB29">
            <v>0.32550000000000001</v>
          </cell>
          <cell r="AD29">
            <v>48500</v>
          </cell>
          <cell r="AE29">
            <v>10.1</v>
          </cell>
          <cell r="AF29">
            <v>4672</v>
          </cell>
        </row>
        <row r="30">
          <cell r="A30" t="str">
            <v>SNX</v>
          </cell>
          <cell r="B30" t="str">
            <v>Singapore Express</v>
          </cell>
          <cell r="C30" t="str">
            <v>HLC</v>
          </cell>
          <cell r="D30">
            <v>4800</v>
          </cell>
          <cell r="E30">
            <v>4800</v>
          </cell>
          <cell r="F30">
            <v>54465</v>
          </cell>
          <cell r="G30">
            <v>11.346875000000001</v>
          </cell>
          <cell r="H30">
            <v>23876</v>
          </cell>
          <cell r="I30">
            <v>4.9741666666666671</v>
          </cell>
          <cell r="J30">
            <v>48182</v>
          </cell>
          <cell r="K30">
            <v>10.037916666666666</v>
          </cell>
          <cell r="L30">
            <v>6</v>
          </cell>
          <cell r="N30">
            <v>47552</v>
          </cell>
          <cell r="O30">
            <v>9.9066666666666663</v>
          </cell>
          <cell r="P30">
            <v>294.17</v>
          </cell>
          <cell r="Q30">
            <v>294.17</v>
          </cell>
          <cell r="R30">
            <v>32.299999999999997</v>
          </cell>
          <cell r="T30">
            <v>13.57</v>
          </cell>
          <cell r="V30">
            <v>21.8</v>
          </cell>
          <cell r="X30">
            <v>5.4166666666666671E-5</v>
          </cell>
          <cell r="Y30">
            <v>0.26</v>
          </cell>
          <cell r="AA30">
            <v>6.7812500000000002E-5</v>
          </cell>
          <cell r="AB30">
            <v>0.32550000000000001</v>
          </cell>
          <cell r="AD30">
            <v>48500</v>
          </cell>
          <cell r="AE30">
            <v>10.1</v>
          </cell>
          <cell r="AF30">
            <v>4672</v>
          </cell>
        </row>
        <row r="31">
          <cell r="A31" t="str">
            <v>TOX</v>
          </cell>
          <cell r="B31" t="str">
            <v>Tokyo Express</v>
          </cell>
          <cell r="C31" t="str">
            <v>HLC</v>
          </cell>
          <cell r="D31">
            <v>4800</v>
          </cell>
          <cell r="E31">
            <v>4800</v>
          </cell>
          <cell r="F31">
            <v>54465</v>
          </cell>
          <cell r="G31">
            <v>11.346875000000001</v>
          </cell>
          <cell r="H31">
            <v>23876</v>
          </cell>
          <cell r="I31">
            <v>4.9741666666666671</v>
          </cell>
          <cell r="J31">
            <v>48182</v>
          </cell>
          <cell r="K31">
            <v>10.037916666666666</v>
          </cell>
          <cell r="L31">
            <v>6</v>
          </cell>
          <cell r="N31">
            <v>47125</v>
          </cell>
          <cell r="O31">
            <v>9.8177083333333339</v>
          </cell>
          <cell r="P31">
            <v>294.17</v>
          </cell>
          <cell r="Q31">
            <v>294.17</v>
          </cell>
          <cell r="R31">
            <v>32.299999999999997</v>
          </cell>
          <cell r="T31">
            <v>13.57</v>
          </cell>
          <cell r="V31">
            <v>21.8</v>
          </cell>
          <cell r="X31">
            <v>5.4166666666666671E-5</v>
          </cell>
          <cell r="Y31">
            <v>0.26</v>
          </cell>
          <cell r="AA31">
            <v>6.7812500000000002E-5</v>
          </cell>
          <cell r="AB31">
            <v>0.32550000000000001</v>
          </cell>
          <cell r="AD31">
            <v>48500</v>
          </cell>
          <cell r="AE31">
            <v>10.1</v>
          </cell>
          <cell r="AF31">
            <v>4672</v>
          </cell>
        </row>
        <row r="32">
          <cell r="A32" t="str">
            <v>HKX</v>
          </cell>
          <cell r="B32" t="str">
            <v>Hong Kong Express</v>
          </cell>
          <cell r="C32" t="str">
            <v>HLC</v>
          </cell>
          <cell r="D32">
            <v>7506</v>
          </cell>
          <cell r="F32">
            <v>88493</v>
          </cell>
          <cell r="G32">
            <v>11.789634958699708</v>
          </cell>
          <cell r="H32">
            <v>36175</v>
          </cell>
          <cell r="I32">
            <v>4.8194777511324274</v>
          </cell>
          <cell r="J32">
            <v>79388</v>
          </cell>
          <cell r="K32">
            <v>10.576605382360778</v>
          </cell>
          <cell r="L32">
            <v>7</v>
          </cell>
          <cell r="O32">
            <v>0</v>
          </cell>
          <cell r="P32">
            <v>320.38</v>
          </cell>
          <cell r="R32">
            <v>42.9</v>
          </cell>
          <cell r="T32">
            <v>14.52</v>
          </cell>
          <cell r="V32">
            <v>24.5</v>
          </cell>
          <cell r="X32">
            <v>4.2765787370103919E-5</v>
          </cell>
          <cell r="Y32">
            <v>0.32100000000000001</v>
          </cell>
          <cell r="AA32">
            <v>5.2624567013056221E-5</v>
          </cell>
          <cell r="AB32">
            <v>0.39500000000000002</v>
          </cell>
          <cell r="AD32">
            <v>87500</v>
          </cell>
          <cell r="AE32">
            <v>11.66</v>
          </cell>
          <cell r="AF32">
            <v>7851</v>
          </cell>
        </row>
        <row r="33">
          <cell r="A33" t="str">
            <v>BLX</v>
          </cell>
          <cell r="B33" t="str">
            <v>Berlin Express</v>
          </cell>
          <cell r="C33" t="str">
            <v>HLC</v>
          </cell>
          <cell r="D33">
            <v>7506</v>
          </cell>
          <cell r="F33">
            <v>88493</v>
          </cell>
          <cell r="G33">
            <v>11.789634958699708</v>
          </cell>
          <cell r="H33">
            <v>36175</v>
          </cell>
          <cell r="I33">
            <v>4.8194777511324274</v>
          </cell>
          <cell r="J33">
            <v>79388</v>
          </cell>
          <cell r="K33">
            <v>10.576605382360778</v>
          </cell>
          <cell r="L33">
            <v>7</v>
          </cell>
          <cell r="O33">
            <v>0</v>
          </cell>
          <cell r="P33">
            <v>320.38</v>
          </cell>
          <cell r="R33">
            <v>42.9</v>
          </cell>
          <cell r="T33">
            <v>14.52</v>
          </cell>
          <cell r="V33">
            <v>24.5</v>
          </cell>
          <cell r="X33">
            <v>4.2765787370103919E-5</v>
          </cell>
          <cell r="Y33">
            <v>0.32100000000000001</v>
          </cell>
          <cell r="AA33">
            <v>5.2624567013056221E-5</v>
          </cell>
          <cell r="AB33">
            <v>0.39500000000000002</v>
          </cell>
          <cell r="AD33">
            <v>87500</v>
          </cell>
          <cell r="AE33">
            <v>11.66</v>
          </cell>
          <cell r="AF33">
            <v>7851</v>
          </cell>
        </row>
        <row r="34">
          <cell r="A34" t="str">
            <v>LGX</v>
          </cell>
          <cell r="B34" t="str">
            <v>Los Angeles Express</v>
          </cell>
          <cell r="C34" t="str">
            <v>HLC</v>
          </cell>
          <cell r="D34">
            <v>6700</v>
          </cell>
          <cell r="F34">
            <v>75590</v>
          </cell>
          <cell r="G34">
            <v>11.453030303030303</v>
          </cell>
          <cell r="H34">
            <v>42233</v>
          </cell>
          <cell r="I34">
            <v>6.3989393939393944</v>
          </cell>
          <cell r="J34">
            <v>77498</v>
          </cell>
          <cell r="K34">
            <v>11.742121212121212</v>
          </cell>
          <cell r="L34">
            <v>7</v>
          </cell>
          <cell r="O34">
            <v>0</v>
          </cell>
          <cell r="P34">
            <v>300</v>
          </cell>
          <cell r="R34">
            <v>40</v>
          </cell>
          <cell r="T34">
            <v>14.5</v>
          </cell>
          <cell r="V34">
            <v>24.2</v>
          </cell>
          <cell r="X34">
            <v>5.2575757575757569E-5</v>
          </cell>
          <cell r="Y34">
            <v>0.34699999999999998</v>
          </cell>
          <cell r="AA34">
            <v>5.6666666666666664E-5</v>
          </cell>
          <cell r="AB34">
            <v>0.374</v>
          </cell>
          <cell r="AD34">
            <v>75000</v>
          </cell>
          <cell r="AE34">
            <v>11.36</v>
          </cell>
          <cell r="AF34">
            <v>6813</v>
          </cell>
        </row>
        <row r="35">
          <cell r="A35" t="str">
            <v>BKX</v>
          </cell>
          <cell r="B35" t="str">
            <v>Bangkok Express</v>
          </cell>
          <cell r="C35" t="str">
            <v>HLC</v>
          </cell>
          <cell r="D35">
            <v>6700</v>
          </cell>
          <cell r="F35">
            <v>75590</v>
          </cell>
          <cell r="G35">
            <v>11.453030303030303</v>
          </cell>
          <cell r="H35">
            <v>42233</v>
          </cell>
          <cell r="I35">
            <v>6.3989393939393944</v>
          </cell>
          <cell r="J35">
            <v>77498</v>
          </cell>
          <cell r="K35">
            <v>11.742121212121212</v>
          </cell>
          <cell r="L35">
            <v>7</v>
          </cell>
          <cell r="O35">
            <v>0</v>
          </cell>
          <cell r="P35">
            <v>300</v>
          </cell>
          <cell r="R35">
            <v>40</v>
          </cell>
          <cell r="T35">
            <v>14.5</v>
          </cell>
          <cell r="V35">
            <v>24.2</v>
          </cell>
          <cell r="X35">
            <v>5.2575757575757569E-5</v>
          </cell>
          <cell r="Y35">
            <v>0.34699999999999998</v>
          </cell>
          <cell r="AA35">
            <v>5.6666666666666664E-5</v>
          </cell>
          <cell r="AB35">
            <v>0.374</v>
          </cell>
          <cell r="AD35">
            <v>75000</v>
          </cell>
          <cell r="AE35">
            <v>11.36</v>
          </cell>
          <cell r="AF35">
            <v>6813</v>
          </cell>
        </row>
        <row r="36">
          <cell r="A36" t="str">
            <v>SFX</v>
          </cell>
          <cell r="B36" t="str">
            <v>San Francisco Express</v>
          </cell>
          <cell r="C36" t="str">
            <v>HLC</v>
          </cell>
          <cell r="D36">
            <v>6700</v>
          </cell>
          <cell r="F36">
            <v>75590</v>
          </cell>
          <cell r="G36">
            <v>11.453030303030303</v>
          </cell>
          <cell r="H36">
            <v>42233</v>
          </cell>
          <cell r="I36">
            <v>6.3989393939393944</v>
          </cell>
          <cell r="J36">
            <v>77498</v>
          </cell>
          <cell r="K36">
            <v>11.742121212121212</v>
          </cell>
          <cell r="L36">
            <v>7</v>
          </cell>
          <cell r="O36">
            <v>0</v>
          </cell>
          <cell r="P36">
            <v>300</v>
          </cell>
          <cell r="R36">
            <v>40</v>
          </cell>
          <cell r="T36">
            <v>14.5</v>
          </cell>
          <cell r="V36">
            <v>24.2</v>
          </cell>
          <cell r="X36">
            <v>5.2575757575757569E-5</v>
          </cell>
          <cell r="Y36">
            <v>0.34699999999999998</v>
          </cell>
          <cell r="AA36">
            <v>5.6666666666666664E-5</v>
          </cell>
          <cell r="AB36">
            <v>0.374</v>
          </cell>
          <cell r="AD36">
            <v>75000</v>
          </cell>
          <cell r="AE36">
            <v>11.36</v>
          </cell>
          <cell r="AF36">
            <v>6813</v>
          </cell>
        </row>
        <row r="37">
          <cell r="A37" t="str">
            <v>BNX</v>
          </cell>
          <cell r="B37" t="str">
            <v>Busan Express</v>
          </cell>
          <cell r="C37" t="str">
            <v>HLC</v>
          </cell>
          <cell r="D37">
            <v>6700</v>
          </cell>
          <cell r="F37">
            <v>75590</v>
          </cell>
          <cell r="G37">
            <v>11.453030303030303</v>
          </cell>
          <cell r="H37">
            <v>42233</v>
          </cell>
          <cell r="I37">
            <v>6.3989393939393944</v>
          </cell>
          <cell r="J37">
            <v>77498</v>
          </cell>
          <cell r="K37">
            <v>11.742121212121212</v>
          </cell>
          <cell r="L37">
            <v>7</v>
          </cell>
          <cell r="O37">
            <v>0</v>
          </cell>
          <cell r="P37">
            <v>300</v>
          </cell>
          <cell r="R37">
            <v>40</v>
          </cell>
          <cell r="T37">
            <v>14.5</v>
          </cell>
          <cell r="V37">
            <v>24.2</v>
          </cell>
          <cell r="X37">
            <v>5.2575757575757569E-5</v>
          </cell>
          <cell r="Y37">
            <v>0.34699999999999998</v>
          </cell>
          <cell r="AA37">
            <v>5.6666666666666664E-5</v>
          </cell>
          <cell r="AB37">
            <v>0.374</v>
          </cell>
          <cell r="AD37">
            <v>75000</v>
          </cell>
          <cell r="AE37">
            <v>11.36</v>
          </cell>
          <cell r="AF37">
            <v>6813</v>
          </cell>
        </row>
        <row r="38">
          <cell r="A38" t="str">
            <v>SVX</v>
          </cell>
          <cell r="C38" t="str">
            <v>HLC</v>
          </cell>
          <cell r="D38">
            <v>8145</v>
          </cell>
        </row>
        <row r="39">
          <cell r="A39" t="str">
            <v>HSX</v>
          </cell>
          <cell r="C39" t="str">
            <v>HLC</v>
          </cell>
          <cell r="D39">
            <v>8145</v>
          </cell>
        </row>
        <row r="40">
          <cell r="A40" t="str">
            <v>CBX</v>
          </cell>
          <cell r="C40" t="str">
            <v>HLC</v>
          </cell>
          <cell r="D40">
            <v>8400</v>
          </cell>
        </row>
        <row r="41">
          <cell r="A41" t="str">
            <v>TSX</v>
          </cell>
          <cell r="C41" t="str">
            <v>HLC</v>
          </cell>
          <cell r="D41">
            <v>8400</v>
          </cell>
        </row>
        <row r="43">
          <cell r="A43" t="str">
            <v>KIT</v>
          </cell>
          <cell r="B43" t="str">
            <v>Kitano</v>
          </cell>
          <cell r="C43" t="str">
            <v>NYK</v>
          </cell>
          <cell r="D43">
            <v>3774</v>
          </cell>
          <cell r="E43">
            <v>3618</v>
          </cell>
          <cell r="F43">
            <v>50618</v>
          </cell>
          <cell r="G43">
            <v>13.99060254284135</v>
          </cell>
          <cell r="H43">
            <v>22076</v>
          </cell>
          <cell r="I43">
            <v>6.1017136539524603</v>
          </cell>
          <cell r="J43">
            <v>46103</v>
          </cell>
          <cell r="K43">
            <v>12.742675511332228</v>
          </cell>
          <cell r="L43">
            <v>4</v>
          </cell>
          <cell r="N43">
            <v>43215</v>
          </cell>
          <cell r="O43">
            <v>11.944444444444445</v>
          </cell>
          <cell r="P43">
            <v>288.31</v>
          </cell>
          <cell r="Q43">
            <v>288.31</v>
          </cell>
          <cell r="R43">
            <v>32.200000000000003</v>
          </cell>
          <cell r="T43">
            <v>13.025</v>
          </cell>
          <cell r="V43">
            <v>21.5</v>
          </cell>
          <cell r="X43">
            <v>4.99E-5</v>
          </cell>
          <cell r="Y43">
            <v>0.18053820000000001</v>
          </cell>
          <cell r="AA43">
            <v>6.1699999999999995E-5</v>
          </cell>
          <cell r="AB43">
            <v>0.2232306</v>
          </cell>
          <cell r="AD43">
            <v>40000</v>
          </cell>
          <cell r="AE43">
            <v>11.06</v>
          </cell>
          <cell r="AF43">
            <v>3683</v>
          </cell>
        </row>
        <row r="44">
          <cell r="A44" t="str">
            <v>KGA</v>
          </cell>
          <cell r="B44" t="str">
            <v>Kaga</v>
          </cell>
          <cell r="C44" t="str">
            <v>NYK</v>
          </cell>
          <cell r="D44">
            <v>3618</v>
          </cell>
          <cell r="E44">
            <v>3618</v>
          </cell>
          <cell r="F44">
            <v>51047</v>
          </cell>
          <cell r="G44">
            <v>14.109176340519625</v>
          </cell>
          <cell r="H44">
            <v>22077</v>
          </cell>
          <cell r="I44">
            <v>6.1019900497512438</v>
          </cell>
          <cell r="J44">
            <v>46852</v>
          </cell>
          <cell r="K44">
            <v>12.949695964621338</v>
          </cell>
          <cell r="L44">
            <v>4</v>
          </cell>
          <cell r="N44">
            <v>43559</v>
          </cell>
          <cell r="O44">
            <v>12.039524599226091</v>
          </cell>
          <cell r="P44">
            <v>288.31</v>
          </cell>
          <cell r="Q44">
            <v>288.31</v>
          </cell>
          <cell r="R44">
            <v>32.200000000000003</v>
          </cell>
          <cell r="T44">
            <v>13.025</v>
          </cell>
          <cell r="V44">
            <v>21.5</v>
          </cell>
          <cell r="X44">
            <v>4.99E-5</v>
          </cell>
          <cell r="Y44">
            <v>0.18053820000000001</v>
          </cell>
          <cell r="AA44">
            <v>6.1699999999999995E-5</v>
          </cell>
          <cell r="AB44">
            <v>0.2232306</v>
          </cell>
          <cell r="AD44">
            <v>40000</v>
          </cell>
          <cell r="AE44">
            <v>11.06</v>
          </cell>
          <cell r="AF44">
            <v>3683</v>
          </cell>
        </row>
        <row r="45">
          <cell r="A45" t="str">
            <v>KMA</v>
          </cell>
          <cell r="B45" t="str">
            <v>Kamakura</v>
          </cell>
          <cell r="C45" t="str">
            <v>NYK</v>
          </cell>
          <cell r="D45">
            <v>3611</v>
          </cell>
          <cell r="E45">
            <v>3611</v>
          </cell>
          <cell r="F45">
            <v>50462</v>
          </cell>
          <cell r="G45">
            <v>13.97452229299363</v>
          </cell>
          <cell r="H45">
            <v>21395</v>
          </cell>
          <cell r="I45">
            <v>5.9249515369703687</v>
          </cell>
          <cell r="J45">
            <v>46022</v>
          </cell>
          <cell r="K45">
            <v>12.744945998338411</v>
          </cell>
          <cell r="L45">
            <v>4</v>
          </cell>
          <cell r="N45">
            <v>43649</v>
          </cell>
          <cell r="O45">
            <v>12.087787316532816</v>
          </cell>
          <cell r="P45">
            <v>289.5</v>
          </cell>
          <cell r="Q45">
            <v>289.5</v>
          </cell>
          <cell r="R45">
            <v>32.200000000000003</v>
          </cell>
          <cell r="T45">
            <v>13.025</v>
          </cell>
          <cell r="V45">
            <v>21.2</v>
          </cell>
          <cell r="X45">
            <v>4.9000000000000005E-5</v>
          </cell>
          <cell r="Y45">
            <v>0.17693900000000001</v>
          </cell>
          <cell r="AA45">
            <v>6.0099999999999997E-5</v>
          </cell>
          <cell r="AB45">
            <v>0.21702109999999999</v>
          </cell>
          <cell r="AD45">
            <v>40000</v>
          </cell>
          <cell r="AE45">
            <v>11.08</v>
          </cell>
          <cell r="AF45">
            <v>3679</v>
          </cell>
        </row>
        <row r="46">
          <cell r="A46" t="str">
            <v>NKA</v>
          </cell>
          <cell r="B46" t="str">
            <v>NYK Kai</v>
          </cell>
          <cell r="C46" t="str">
            <v>NYK</v>
          </cell>
          <cell r="D46">
            <v>3794</v>
          </cell>
          <cell r="E46">
            <v>3618</v>
          </cell>
          <cell r="F46">
            <v>50606</v>
          </cell>
          <cell r="G46">
            <v>13.987285793255943</v>
          </cell>
          <cell r="H46">
            <v>21988</v>
          </cell>
          <cell r="I46">
            <v>6.0773908236594805</v>
          </cell>
          <cell r="J46">
            <v>46539</v>
          </cell>
          <cell r="K46">
            <v>12.863184079601989</v>
          </cell>
          <cell r="L46">
            <v>5</v>
          </cell>
          <cell r="N46">
            <v>44501</v>
          </cell>
          <cell r="O46">
            <v>12.299889441680486</v>
          </cell>
          <cell r="P46">
            <v>288.31</v>
          </cell>
          <cell r="Q46">
            <v>288.31</v>
          </cell>
          <cell r="R46">
            <v>32.200000000000003</v>
          </cell>
          <cell r="T46">
            <v>13.025</v>
          </cell>
          <cell r="V46">
            <v>21.9</v>
          </cell>
          <cell r="X46">
            <v>5.1499999999999998E-5</v>
          </cell>
          <cell r="Y46">
            <v>0.18632699999999999</v>
          </cell>
          <cell r="AA46">
            <v>6.19E-5</v>
          </cell>
          <cell r="AB46">
            <v>0.22395419999999999</v>
          </cell>
          <cell r="AD46">
            <v>40000</v>
          </cell>
          <cell r="AE46">
            <v>11.06</v>
          </cell>
          <cell r="AF46">
            <v>3683</v>
          </cell>
        </row>
        <row r="47">
          <cell r="A47" t="str">
            <v>SPB</v>
          </cell>
          <cell r="B47" t="str">
            <v>Kirishima (Sophia Britannia)</v>
          </cell>
          <cell r="C47" t="str">
            <v>NYK</v>
          </cell>
          <cell r="D47">
            <v>3794</v>
          </cell>
          <cell r="E47">
            <v>3618</v>
          </cell>
          <cell r="F47">
            <v>50501</v>
          </cell>
          <cell r="G47">
            <v>13.958264234383638</v>
          </cell>
          <cell r="H47">
            <v>21795</v>
          </cell>
          <cell r="I47">
            <v>6.0240464344941955</v>
          </cell>
          <cell r="J47">
            <v>46452</v>
          </cell>
          <cell r="K47">
            <v>12.839137645107794</v>
          </cell>
          <cell r="L47">
            <v>5</v>
          </cell>
          <cell r="N47">
            <v>44435</v>
          </cell>
          <cell r="O47">
            <v>12.281647318960752</v>
          </cell>
          <cell r="P47">
            <v>288.31</v>
          </cell>
          <cell r="Q47">
            <v>288.31</v>
          </cell>
          <cell r="R47">
            <v>32.200000000000003</v>
          </cell>
          <cell r="T47">
            <v>13.025</v>
          </cell>
          <cell r="V47">
            <v>21.5</v>
          </cell>
          <cell r="X47">
            <v>5.1499999999999998E-5</v>
          </cell>
          <cell r="Y47">
            <v>0.18632699999999999</v>
          </cell>
          <cell r="AA47">
            <v>6.19E-5</v>
          </cell>
          <cell r="AB47">
            <v>0.22395419999999999</v>
          </cell>
          <cell r="AD47">
            <v>40000</v>
          </cell>
          <cell r="AE47">
            <v>11.06</v>
          </cell>
          <cell r="AF47">
            <v>3683</v>
          </cell>
        </row>
        <row r="48">
          <cell r="A48" t="str">
            <v>KAT</v>
          </cell>
          <cell r="B48" t="str">
            <v>Katsuragi</v>
          </cell>
          <cell r="C48" t="str">
            <v>NYK</v>
          </cell>
          <cell r="D48">
            <v>3783</v>
          </cell>
          <cell r="E48">
            <v>3609</v>
          </cell>
          <cell r="F48">
            <v>50437</v>
          </cell>
          <cell r="G48">
            <v>13.975339429204766</v>
          </cell>
          <cell r="H48">
            <v>21375</v>
          </cell>
          <cell r="I48">
            <v>5.9226932668329173</v>
          </cell>
          <cell r="J48">
            <v>46240</v>
          </cell>
          <cell r="K48">
            <v>12.812413410917152</v>
          </cell>
          <cell r="L48">
            <v>4</v>
          </cell>
          <cell r="N48">
            <v>42557</v>
          </cell>
          <cell r="O48">
            <v>11.791909116098642</v>
          </cell>
          <cell r="P48">
            <v>292.14999999999998</v>
          </cell>
          <cell r="Q48">
            <v>292.14999999999998</v>
          </cell>
          <cell r="R48">
            <v>32.200000000000003</v>
          </cell>
          <cell r="T48">
            <v>13.025</v>
          </cell>
          <cell r="V48">
            <v>21.8</v>
          </cell>
          <cell r="X48">
            <v>4.8999999999999998E-5</v>
          </cell>
          <cell r="Y48">
            <v>0.176841</v>
          </cell>
          <cell r="AA48">
            <v>6.0100000000000004E-5</v>
          </cell>
          <cell r="AB48">
            <v>0.21690090000000001</v>
          </cell>
          <cell r="AD48">
            <v>40000</v>
          </cell>
          <cell r="AE48">
            <v>11.08</v>
          </cell>
          <cell r="AF48">
            <v>3678</v>
          </cell>
        </row>
        <row r="49">
          <cell r="A49" t="str">
            <v>SAZ</v>
          </cell>
          <cell r="B49" t="str">
            <v>NYK Sandra Azul</v>
          </cell>
          <cell r="C49" t="str">
            <v>NYK</v>
          </cell>
          <cell r="D49">
            <v>4895</v>
          </cell>
          <cell r="F49">
            <v>60117</v>
          </cell>
          <cell r="G49">
            <v>12.281307456588355</v>
          </cell>
          <cell r="H49">
            <v>23180</v>
          </cell>
          <cell r="I49">
            <v>4.7354443309499485</v>
          </cell>
          <cell r="J49">
            <v>53010</v>
          </cell>
          <cell r="K49">
            <v>10.829417773237997</v>
          </cell>
          <cell r="L49">
            <v>6</v>
          </cell>
          <cell r="O49">
            <v>0</v>
          </cell>
          <cell r="P49">
            <v>299.95</v>
          </cell>
          <cell r="R49">
            <v>37.1</v>
          </cell>
          <cell r="T49">
            <v>13.026</v>
          </cell>
          <cell r="V49">
            <v>21.8</v>
          </cell>
          <cell r="X49">
            <v>3.912898876404494E-5</v>
          </cell>
          <cell r="Y49">
            <v>0.1915364</v>
          </cell>
          <cell r="AA49">
            <v>4.6586741573033704E-5</v>
          </cell>
          <cell r="AB49">
            <v>0.2280421</v>
          </cell>
          <cell r="AD49">
            <v>51700</v>
          </cell>
          <cell r="AE49">
            <v>10.56</v>
          </cell>
          <cell r="AF49">
            <v>4869</v>
          </cell>
        </row>
        <row r="50">
          <cell r="A50" t="str">
            <v>NLT</v>
          </cell>
          <cell r="B50" t="str">
            <v>NYK Lodestar</v>
          </cell>
          <cell r="C50" t="str">
            <v>NYK</v>
          </cell>
          <cell r="D50">
            <v>6258</v>
          </cell>
          <cell r="F50">
            <v>75201</v>
          </cell>
          <cell r="G50">
            <v>12.016778523489933</v>
          </cell>
          <cell r="H50">
            <v>28409</v>
          </cell>
          <cell r="I50">
            <v>4.5396292745286031</v>
          </cell>
          <cell r="J50">
            <v>77737.45</v>
          </cell>
          <cell r="K50">
            <v>12.422091722595077</v>
          </cell>
          <cell r="L50">
            <v>7</v>
          </cell>
          <cell r="O50">
            <v>0</v>
          </cell>
          <cell r="P50">
            <v>299.85199999999998</v>
          </cell>
          <cell r="R50">
            <v>40</v>
          </cell>
          <cell r="T50">
            <v>14</v>
          </cell>
          <cell r="V50">
            <v>24.3</v>
          </cell>
          <cell r="X50">
            <v>4.6607015020773412E-5</v>
          </cell>
          <cell r="Y50">
            <v>0.2916667</v>
          </cell>
          <cell r="AA50">
            <v>5.8410083093640135E-5</v>
          </cell>
          <cell r="AB50">
            <v>0.36553029999999997</v>
          </cell>
          <cell r="AD50">
            <v>65400</v>
          </cell>
          <cell r="AE50">
            <v>10.45</v>
          </cell>
          <cell r="AF50">
            <v>6192</v>
          </cell>
        </row>
        <row r="51">
          <cell r="A51" t="str">
            <v>NLO</v>
          </cell>
          <cell r="B51" t="str">
            <v>NYK Leo</v>
          </cell>
          <cell r="C51" t="str">
            <v>NYK</v>
          </cell>
          <cell r="D51">
            <v>6258</v>
          </cell>
          <cell r="F51">
            <v>75201</v>
          </cell>
          <cell r="G51">
            <v>12.016778523489933</v>
          </cell>
          <cell r="H51">
            <v>28409</v>
          </cell>
          <cell r="I51">
            <v>4.5396292745286031</v>
          </cell>
          <cell r="J51">
            <v>77737.45</v>
          </cell>
          <cell r="K51">
            <v>12.422091722595077</v>
          </cell>
          <cell r="L51">
            <v>7</v>
          </cell>
          <cell r="O51">
            <v>0</v>
          </cell>
          <cell r="P51">
            <v>299.85199999999998</v>
          </cell>
          <cell r="R51">
            <v>40</v>
          </cell>
          <cell r="T51">
            <v>14</v>
          </cell>
          <cell r="V51">
            <v>24.3</v>
          </cell>
          <cell r="X51">
            <v>4.6607015020773412E-5</v>
          </cell>
          <cell r="Y51">
            <v>0.2916667</v>
          </cell>
          <cell r="AA51">
            <v>5.8410083093640135E-5</v>
          </cell>
          <cell r="AB51">
            <v>0.36553029999999997</v>
          </cell>
          <cell r="AD51">
            <v>65400</v>
          </cell>
          <cell r="AE51">
            <v>10.45</v>
          </cell>
          <cell r="AF51">
            <v>6192</v>
          </cell>
        </row>
        <row r="52">
          <cell r="A52" t="str">
            <v>NLX</v>
          </cell>
          <cell r="B52" t="str">
            <v>NYK Lynx</v>
          </cell>
          <cell r="C52" t="str">
            <v>NYK</v>
          </cell>
          <cell r="D52">
            <v>6258</v>
          </cell>
          <cell r="F52">
            <v>75201</v>
          </cell>
          <cell r="G52">
            <v>12.016778523489933</v>
          </cell>
          <cell r="H52">
            <v>28409</v>
          </cell>
          <cell r="I52">
            <v>4.5396292745286031</v>
          </cell>
          <cell r="J52">
            <v>77737.45</v>
          </cell>
          <cell r="K52">
            <v>12.422091722595077</v>
          </cell>
          <cell r="L52">
            <v>7</v>
          </cell>
          <cell r="O52">
            <v>0</v>
          </cell>
          <cell r="P52">
            <v>299.85199999999998</v>
          </cell>
          <cell r="R52">
            <v>40</v>
          </cell>
          <cell r="T52">
            <v>14</v>
          </cell>
          <cell r="V52">
            <v>24.3</v>
          </cell>
          <cell r="X52">
            <v>4.6607015020773412E-5</v>
          </cell>
          <cell r="Y52">
            <v>0.2916667</v>
          </cell>
          <cell r="AA52">
            <v>5.8410083093640135E-5</v>
          </cell>
          <cell r="AB52">
            <v>0.36553029999999997</v>
          </cell>
          <cell r="AD52">
            <v>65400</v>
          </cell>
          <cell r="AE52">
            <v>10.45</v>
          </cell>
          <cell r="AF52">
            <v>6192</v>
          </cell>
        </row>
        <row r="53">
          <cell r="A53" t="str">
            <v>SBL</v>
          </cell>
          <cell r="B53" t="str">
            <v>NYK Sandra Blanca</v>
          </cell>
          <cell r="C53" t="str">
            <v>NYK</v>
          </cell>
          <cell r="D53">
            <v>4895</v>
          </cell>
          <cell r="F53">
            <v>60117</v>
          </cell>
          <cell r="G53">
            <v>12.281307456588355</v>
          </cell>
          <cell r="H53">
            <v>23180</v>
          </cell>
          <cell r="I53">
            <v>4.7354443309499485</v>
          </cell>
          <cell r="J53">
            <v>53010</v>
          </cell>
          <cell r="K53">
            <v>10.829417773237997</v>
          </cell>
          <cell r="L53">
            <v>6</v>
          </cell>
          <cell r="O53">
            <v>0</v>
          </cell>
          <cell r="P53">
            <v>299.95</v>
          </cell>
          <cell r="R53">
            <v>37.1</v>
          </cell>
          <cell r="T53">
            <v>13.026</v>
          </cell>
          <cell r="V53">
            <v>21.8</v>
          </cell>
          <cell r="X53">
            <v>3.912898876404494E-5</v>
          </cell>
          <cell r="Y53">
            <v>0.1915364</v>
          </cell>
          <cell r="AA53">
            <v>4.6586741573033704E-5</v>
          </cell>
          <cell r="AB53">
            <v>0.2280421</v>
          </cell>
          <cell r="AD53">
            <v>51700</v>
          </cell>
          <cell r="AE53">
            <v>10.56</v>
          </cell>
          <cell r="AF53">
            <v>4869</v>
          </cell>
        </row>
        <row r="54">
          <cell r="A54" t="str">
            <v>PCY</v>
          </cell>
          <cell r="B54" t="str">
            <v>NYK Procyon</v>
          </cell>
          <cell r="C54" t="str">
            <v>NYK</v>
          </cell>
          <cell r="D54">
            <v>4895</v>
          </cell>
          <cell r="F54">
            <v>60117</v>
          </cell>
          <cell r="G54">
            <v>12.281307456588355</v>
          </cell>
          <cell r="H54">
            <v>23180</v>
          </cell>
          <cell r="I54">
            <v>4.7354443309499485</v>
          </cell>
          <cell r="J54">
            <v>53010</v>
          </cell>
          <cell r="K54">
            <v>10.829417773237997</v>
          </cell>
          <cell r="L54">
            <v>6</v>
          </cell>
          <cell r="O54">
            <v>0</v>
          </cell>
          <cell r="P54">
            <v>299.95</v>
          </cell>
          <cell r="R54">
            <v>37.1</v>
          </cell>
          <cell r="T54">
            <v>13.026</v>
          </cell>
          <cell r="V54">
            <v>21.8</v>
          </cell>
          <cell r="X54">
            <v>3.912898876404494E-5</v>
          </cell>
          <cell r="Y54">
            <v>0.1915364</v>
          </cell>
          <cell r="AA54">
            <v>4.6586741573033704E-5</v>
          </cell>
          <cell r="AB54">
            <v>0.2280421</v>
          </cell>
          <cell r="AD54">
            <v>51700</v>
          </cell>
          <cell r="AE54">
            <v>10.56</v>
          </cell>
          <cell r="AF54">
            <v>4869</v>
          </cell>
        </row>
        <row r="55">
          <cell r="A55" t="str">
            <v>CAM</v>
          </cell>
          <cell r="B55" t="str">
            <v>California Mercury</v>
          </cell>
          <cell r="C55" t="str">
            <v>NYK</v>
          </cell>
          <cell r="D55">
            <v>2990</v>
          </cell>
          <cell r="E55">
            <v>2990</v>
          </cell>
          <cell r="F55">
            <v>41442</v>
          </cell>
          <cell r="G55">
            <v>13.86020066889632</v>
          </cell>
          <cell r="H55">
            <v>15149</v>
          </cell>
          <cell r="I55">
            <v>5.0665551839464884</v>
          </cell>
          <cell r="J55">
            <v>37097</v>
          </cell>
          <cell r="K55">
            <v>12.407023411371238</v>
          </cell>
          <cell r="L55">
            <v>4</v>
          </cell>
          <cell r="N55">
            <v>37302</v>
          </cell>
          <cell r="O55">
            <v>12.475585284280937</v>
          </cell>
          <cell r="P55">
            <v>247.85</v>
          </cell>
          <cell r="Q55">
            <v>247.85</v>
          </cell>
          <cell r="R55">
            <v>32.200000000000003</v>
          </cell>
          <cell r="T55">
            <v>11.519</v>
          </cell>
          <cell r="V55">
            <v>21</v>
          </cell>
          <cell r="X55">
            <v>5.3499999999999999E-5</v>
          </cell>
          <cell r="Y55">
            <v>0.159965</v>
          </cell>
          <cell r="AA55">
            <v>6.6199999999999996E-5</v>
          </cell>
          <cell r="AB55">
            <v>0.197938</v>
          </cell>
          <cell r="AD55">
            <v>30100</v>
          </cell>
          <cell r="AE55">
            <v>10.07</v>
          </cell>
          <cell r="AF55">
            <v>2905</v>
          </cell>
        </row>
        <row r="56">
          <cell r="A56" t="str">
            <v>CAL</v>
          </cell>
          <cell r="B56" t="str">
            <v>California Luna</v>
          </cell>
          <cell r="C56" t="str">
            <v>NYK</v>
          </cell>
          <cell r="D56">
            <v>2916</v>
          </cell>
          <cell r="E56">
            <v>2916</v>
          </cell>
          <cell r="F56">
            <v>41110</v>
          </cell>
          <cell r="G56">
            <v>14.098079561042525</v>
          </cell>
          <cell r="H56">
            <v>13837</v>
          </cell>
          <cell r="I56">
            <v>4.7451989026063099</v>
          </cell>
          <cell r="J56">
            <v>41998</v>
          </cell>
          <cell r="K56">
            <v>14.402606310013718</v>
          </cell>
          <cell r="L56">
            <v>4</v>
          </cell>
          <cell r="N56">
            <v>34708</v>
          </cell>
          <cell r="O56">
            <v>11.902606310013718</v>
          </cell>
          <cell r="P56">
            <v>242.68</v>
          </cell>
          <cell r="Q56">
            <v>242.68</v>
          </cell>
          <cell r="R56">
            <v>32.200000000000003</v>
          </cell>
          <cell r="T56">
            <v>11.523</v>
          </cell>
          <cell r="V56">
            <v>21.1</v>
          </cell>
          <cell r="X56">
            <v>5.3099999999999996E-5</v>
          </cell>
          <cell r="Y56">
            <v>0.15483959999999999</v>
          </cell>
          <cell r="AA56">
            <v>6.6400000000000001E-5</v>
          </cell>
          <cell r="AB56">
            <v>0.1936224</v>
          </cell>
          <cell r="AD56">
            <v>30000</v>
          </cell>
          <cell r="AE56">
            <v>10.29</v>
          </cell>
          <cell r="AF56">
            <v>2863</v>
          </cell>
        </row>
        <row r="57">
          <cell r="A57" t="str">
            <v>CAJ</v>
          </cell>
          <cell r="B57" t="str">
            <v>California Jupiter</v>
          </cell>
          <cell r="C57" t="str">
            <v>NYK</v>
          </cell>
          <cell r="D57">
            <v>2841</v>
          </cell>
          <cell r="E57">
            <v>2841</v>
          </cell>
          <cell r="F57">
            <v>41688</v>
          </cell>
          <cell r="G57">
            <v>14.673706441393875</v>
          </cell>
          <cell r="H57">
            <v>13913</v>
          </cell>
          <cell r="I57">
            <v>4.8972192889827522</v>
          </cell>
          <cell r="J57">
            <v>37048</v>
          </cell>
          <cell r="K57">
            <v>13.040478704681449</v>
          </cell>
          <cell r="L57">
            <v>4</v>
          </cell>
          <cell r="N57">
            <v>36284</v>
          </cell>
          <cell r="O57">
            <v>12.771559310102077</v>
          </cell>
          <cell r="P57">
            <v>248.46</v>
          </cell>
          <cell r="Q57">
            <v>248.46</v>
          </cell>
          <cell r="R57">
            <v>32.200000000000003</v>
          </cell>
          <cell r="T57">
            <v>11.519</v>
          </cell>
          <cell r="V57">
            <v>21.2</v>
          </cell>
          <cell r="X57">
            <v>5.2700000000000007E-5</v>
          </cell>
          <cell r="Y57">
            <v>0.14972070000000001</v>
          </cell>
          <cell r="AA57">
            <v>6.5400000000000004E-5</v>
          </cell>
          <cell r="AB57">
            <v>0.18580140000000001</v>
          </cell>
          <cell r="AD57">
            <v>29000</v>
          </cell>
          <cell r="AE57">
            <v>10.210000000000001</v>
          </cell>
          <cell r="AF57">
            <v>2779</v>
          </cell>
        </row>
        <row r="58">
          <cell r="A58" t="str">
            <v>SPR</v>
          </cell>
          <cell r="B58" t="str">
            <v>NYK Springtide</v>
          </cell>
          <cell r="C58" t="str">
            <v>NYK</v>
          </cell>
          <cell r="D58">
            <v>2893</v>
          </cell>
          <cell r="E58">
            <v>2893</v>
          </cell>
          <cell r="F58">
            <v>43213</v>
          </cell>
          <cell r="G58">
            <v>14.937089526443138</v>
          </cell>
          <cell r="H58">
            <v>15446</v>
          </cell>
          <cell r="I58">
            <v>5.3390943657103351</v>
          </cell>
          <cell r="J58">
            <v>38943</v>
          </cell>
          <cell r="K58">
            <v>13.461113031455238</v>
          </cell>
          <cell r="L58">
            <v>4</v>
          </cell>
          <cell r="N58">
            <v>37764</v>
          </cell>
          <cell r="O58">
            <v>13.053577601106118</v>
          </cell>
          <cell r="P58">
            <v>253.28</v>
          </cell>
          <cell r="Q58">
            <v>253.28</v>
          </cell>
          <cell r="R58">
            <v>32.200000000000003</v>
          </cell>
          <cell r="T58">
            <v>11.52</v>
          </cell>
          <cell r="V58">
            <v>21.2</v>
          </cell>
          <cell r="X58">
            <v>5.4400000000000001E-5</v>
          </cell>
          <cell r="Y58">
            <v>0.1573792</v>
          </cell>
          <cell r="AA58">
            <v>6.5099999999999997E-5</v>
          </cell>
          <cell r="AB58">
            <v>0.18833430000000001</v>
          </cell>
          <cell r="AD58">
            <v>29500</v>
          </cell>
          <cell r="AE58">
            <v>10.199999999999999</v>
          </cell>
          <cell r="AF58">
            <v>2828</v>
          </cell>
        </row>
        <row r="59">
          <cell r="A59" t="str">
            <v>STB</v>
          </cell>
          <cell r="B59" t="str">
            <v>NYK Surfwind (Santa Barbara)</v>
          </cell>
          <cell r="C59" t="str">
            <v>NYK</v>
          </cell>
          <cell r="D59">
            <v>2893</v>
          </cell>
          <cell r="E59">
            <v>2893</v>
          </cell>
          <cell r="F59">
            <v>43213</v>
          </cell>
          <cell r="G59">
            <v>14.937089526443138</v>
          </cell>
          <cell r="H59">
            <v>15446</v>
          </cell>
          <cell r="I59">
            <v>5.3390943657103351</v>
          </cell>
          <cell r="J59">
            <v>38943</v>
          </cell>
          <cell r="K59">
            <v>13.461113031455238</v>
          </cell>
          <cell r="L59">
            <v>4</v>
          </cell>
          <cell r="N59">
            <v>37764</v>
          </cell>
          <cell r="O59">
            <v>13.053577601106118</v>
          </cell>
          <cell r="P59">
            <v>253.28</v>
          </cell>
          <cell r="Q59">
            <v>253.28</v>
          </cell>
          <cell r="R59">
            <v>32.200000000000003</v>
          </cell>
          <cell r="T59">
            <v>11.52</v>
          </cell>
          <cell r="V59">
            <v>21.2</v>
          </cell>
          <cell r="X59">
            <v>5.4400000000000001E-5</v>
          </cell>
          <cell r="Y59">
            <v>0.1573792</v>
          </cell>
          <cell r="AA59">
            <v>6.5099999999999997E-5</v>
          </cell>
          <cell r="AB59">
            <v>0.18833430000000001</v>
          </cell>
          <cell r="AD59">
            <v>29500</v>
          </cell>
          <cell r="AE59">
            <v>10.199999999999999</v>
          </cell>
          <cell r="AF59">
            <v>2828</v>
          </cell>
        </row>
        <row r="60">
          <cell r="A60" t="str">
            <v>STC</v>
          </cell>
          <cell r="B60" t="str">
            <v>NYK Sunrise (Santa Cruz)</v>
          </cell>
          <cell r="C60" t="str">
            <v>NYK</v>
          </cell>
          <cell r="D60">
            <v>2918</v>
          </cell>
          <cell r="E60">
            <v>2918</v>
          </cell>
          <cell r="F60">
            <v>43209</v>
          </cell>
          <cell r="G60">
            <v>14.807745030843042</v>
          </cell>
          <cell r="H60">
            <v>13357</v>
          </cell>
          <cell r="I60">
            <v>4.5774503084304321</v>
          </cell>
          <cell r="J60">
            <v>37954</v>
          </cell>
          <cell r="K60">
            <v>13.006854009595614</v>
          </cell>
          <cell r="L60">
            <v>4</v>
          </cell>
          <cell r="N60">
            <v>34299</v>
          </cell>
          <cell r="O60">
            <v>11.754283755997259</v>
          </cell>
          <cell r="P60">
            <v>251.5</v>
          </cell>
          <cell r="Q60">
            <v>251.5</v>
          </cell>
          <cell r="R60">
            <v>32.200000000000003</v>
          </cell>
          <cell r="T60">
            <v>11.525</v>
          </cell>
          <cell r="V60">
            <v>21.2</v>
          </cell>
          <cell r="X60">
            <v>5.4176285126799176E-5</v>
          </cell>
          <cell r="Y60">
            <v>0.15808639999999999</v>
          </cell>
          <cell r="AA60">
            <v>6.4832282385195338E-5</v>
          </cell>
          <cell r="AB60">
            <v>0.1891806</v>
          </cell>
          <cell r="AD60">
            <v>28500</v>
          </cell>
          <cell r="AE60">
            <v>9.77</v>
          </cell>
          <cell r="AF60">
            <v>2794</v>
          </cell>
        </row>
        <row r="61">
          <cell r="A61" t="str">
            <v>STM</v>
          </cell>
          <cell r="B61" t="str">
            <v>NYK Seabreeze (Santa Monica)</v>
          </cell>
          <cell r="C61" t="str">
            <v>NYK</v>
          </cell>
          <cell r="D61">
            <v>2905</v>
          </cell>
          <cell r="E61">
            <v>2905</v>
          </cell>
          <cell r="F61">
            <v>43213</v>
          </cell>
          <cell r="G61">
            <v>14.875387263339071</v>
          </cell>
          <cell r="H61">
            <v>15446</v>
          </cell>
          <cell r="I61">
            <v>5.3170395869191047</v>
          </cell>
          <cell r="J61">
            <v>38943</v>
          </cell>
          <cell r="K61">
            <v>13.405507745266782</v>
          </cell>
          <cell r="L61">
            <v>4</v>
          </cell>
          <cell r="N61">
            <v>37764</v>
          </cell>
          <cell r="O61">
            <v>12.999655765920826</v>
          </cell>
          <cell r="P61">
            <v>253.28</v>
          </cell>
          <cell r="Q61">
            <v>253.28</v>
          </cell>
          <cell r="R61">
            <v>32.200000000000003</v>
          </cell>
          <cell r="T61">
            <v>11.52</v>
          </cell>
          <cell r="V61">
            <v>21.2</v>
          </cell>
          <cell r="X61">
            <v>5.4175283993115315E-5</v>
          </cell>
          <cell r="Y61">
            <v>0.1573792</v>
          </cell>
          <cell r="AA61">
            <v>6.4831084337349404E-5</v>
          </cell>
          <cell r="AB61">
            <v>0.18833430000000001</v>
          </cell>
          <cell r="AD61">
            <v>29500</v>
          </cell>
          <cell r="AE61">
            <v>10.15</v>
          </cell>
          <cell r="AF61">
            <v>2834</v>
          </cell>
        </row>
        <row r="62">
          <cell r="A62" t="str">
            <v>STL</v>
          </cell>
          <cell r="B62" t="str">
            <v>NYK Starlight</v>
          </cell>
          <cell r="C62" t="str">
            <v>NYK</v>
          </cell>
          <cell r="D62">
            <v>2918</v>
          </cell>
          <cell r="E62">
            <v>2918</v>
          </cell>
          <cell r="F62">
            <v>43227</v>
          </cell>
          <cell r="G62">
            <v>14.813913639479095</v>
          </cell>
          <cell r="H62">
            <v>13357</v>
          </cell>
          <cell r="I62">
            <v>4.5774503084304321</v>
          </cell>
          <cell r="J62">
            <v>37954</v>
          </cell>
          <cell r="K62">
            <v>13.006854009595614</v>
          </cell>
          <cell r="L62">
            <v>4</v>
          </cell>
          <cell r="N62">
            <v>34308</v>
          </cell>
          <cell r="O62">
            <v>11.757368060315285</v>
          </cell>
          <cell r="P62">
            <v>251.5</v>
          </cell>
          <cell r="Q62">
            <v>251.5</v>
          </cell>
          <cell r="R62">
            <v>32.200000000000003</v>
          </cell>
          <cell r="T62">
            <v>11.525</v>
          </cell>
          <cell r="V62">
            <v>21.2</v>
          </cell>
          <cell r="X62">
            <v>5.4176285126799176E-5</v>
          </cell>
          <cell r="Y62">
            <v>0.15808639999999999</v>
          </cell>
          <cell r="AA62">
            <v>6.4832282385195338E-5</v>
          </cell>
          <cell r="AB62">
            <v>0.1891806</v>
          </cell>
          <cell r="AD62">
            <v>28500</v>
          </cell>
          <cell r="AE62">
            <v>9.77</v>
          </cell>
          <cell r="AF62">
            <v>2794</v>
          </cell>
        </row>
        <row r="63">
          <cell r="A63" t="str">
            <v>CCH</v>
          </cell>
          <cell r="B63" t="str">
            <v>Cape Charles</v>
          </cell>
          <cell r="C63" t="str">
            <v>NYK</v>
          </cell>
          <cell r="D63">
            <v>2829</v>
          </cell>
          <cell r="E63">
            <v>2829</v>
          </cell>
          <cell r="F63">
            <v>41843</v>
          </cell>
          <cell r="G63">
            <v>14.790738776952987</v>
          </cell>
          <cell r="H63">
            <v>13967</v>
          </cell>
          <cell r="I63">
            <v>4.9370802403676208</v>
          </cell>
          <cell r="J63">
            <v>37283</v>
          </cell>
          <cell r="K63">
            <v>13.178861788617887</v>
          </cell>
          <cell r="L63">
            <v>4</v>
          </cell>
          <cell r="N63">
            <v>37635</v>
          </cell>
          <cell r="O63">
            <v>13.303287380699894</v>
          </cell>
          <cell r="P63">
            <v>248.46</v>
          </cell>
          <cell r="Q63">
            <v>248.46</v>
          </cell>
          <cell r="R63">
            <v>32.200000000000003</v>
          </cell>
          <cell r="T63">
            <v>11.529</v>
          </cell>
          <cell r="V63">
            <v>21.2</v>
          </cell>
          <cell r="X63">
            <v>5.8200000000000005E-5</v>
          </cell>
          <cell r="Y63">
            <v>0.16464780000000001</v>
          </cell>
          <cell r="AA63">
            <v>7.2799999999999994E-5</v>
          </cell>
          <cell r="AB63">
            <v>0.2059512</v>
          </cell>
          <cell r="AD63">
            <v>29000</v>
          </cell>
          <cell r="AE63">
            <v>10.25</v>
          </cell>
          <cell r="AF63">
            <v>2773</v>
          </cell>
        </row>
        <row r="64">
          <cell r="A64" t="str">
            <v>CMY</v>
          </cell>
          <cell r="B64" t="str">
            <v>Cape May</v>
          </cell>
          <cell r="C64" t="str">
            <v>NYK</v>
          </cell>
          <cell r="D64">
            <v>2826</v>
          </cell>
          <cell r="E64">
            <v>2826</v>
          </cell>
          <cell r="F64">
            <v>42145</v>
          </cell>
          <cell r="G64">
            <v>14.913305024769993</v>
          </cell>
          <cell r="H64">
            <v>20190</v>
          </cell>
          <cell r="I64">
            <v>7.1443736730360934</v>
          </cell>
          <cell r="J64">
            <v>37288</v>
          </cell>
          <cell r="K64">
            <v>13.194621372965322</v>
          </cell>
          <cell r="L64">
            <v>4</v>
          </cell>
          <cell r="N64">
            <v>36951</v>
          </cell>
          <cell r="O64">
            <v>13.075371549893843</v>
          </cell>
          <cell r="P64">
            <v>248.09</v>
          </cell>
          <cell r="Q64">
            <v>248.09</v>
          </cell>
          <cell r="R64">
            <v>32.200000000000003</v>
          </cell>
          <cell r="T64">
            <v>11.528</v>
          </cell>
          <cell r="V64">
            <v>21.5</v>
          </cell>
          <cell r="X64">
            <v>5.5699999999999999E-5</v>
          </cell>
          <cell r="Y64">
            <v>0.1574082</v>
          </cell>
          <cell r="AA64">
            <v>6.8999999999999997E-5</v>
          </cell>
          <cell r="AB64">
            <v>0.194994</v>
          </cell>
          <cell r="AD64">
            <v>29000</v>
          </cell>
          <cell r="AE64">
            <v>10.26</v>
          </cell>
          <cell r="AF64">
            <v>2771</v>
          </cell>
        </row>
        <row r="65">
          <cell r="A65" t="str">
            <v>NAT</v>
          </cell>
          <cell r="B65" t="str">
            <v>NYK Antares</v>
          </cell>
          <cell r="C65" t="str">
            <v>NYK</v>
          </cell>
          <cell r="D65">
            <v>6141</v>
          </cell>
          <cell r="F65">
            <v>75637</v>
          </cell>
          <cell r="G65">
            <v>12.316723660641589</v>
          </cell>
          <cell r="H65">
            <v>29588</v>
          </cell>
          <cell r="I65">
            <v>4.8181078000325677</v>
          </cell>
          <cell r="J65">
            <v>68302</v>
          </cell>
          <cell r="K65">
            <v>11.122292786191174</v>
          </cell>
          <cell r="L65">
            <v>7</v>
          </cell>
          <cell r="O65">
            <v>0</v>
          </cell>
          <cell r="P65">
            <v>299.89999999999998</v>
          </cell>
          <cell r="R65">
            <v>40</v>
          </cell>
          <cell r="T65">
            <v>14</v>
          </cell>
          <cell r="V65">
            <v>23.9</v>
          </cell>
          <cell r="X65">
            <v>4.3746458231558381E-5</v>
          </cell>
          <cell r="Y65">
            <v>0.26864700000000002</v>
          </cell>
          <cell r="AA65">
            <v>5.1967269174401565E-5</v>
          </cell>
          <cell r="AB65">
            <v>0.319131</v>
          </cell>
          <cell r="AD65">
            <v>66400</v>
          </cell>
          <cell r="AE65">
            <v>10.81</v>
          </cell>
          <cell r="AF65">
            <v>6181</v>
          </cell>
        </row>
        <row r="66">
          <cell r="A66" t="str">
            <v>ADM</v>
          </cell>
          <cell r="B66" t="str">
            <v>NYK Andromeda</v>
          </cell>
          <cell r="C66" t="str">
            <v>NYK</v>
          </cell>
          <cell r="D66">
            <v>6141</v>
          </cell>
          <cell r="F66">
            <v>75637</v>
          </cell>
          <cell r="G66">
            <v>12.316723660641589</v>
          </cell>
          <cell r="H66">
            <v>29588</v>
          </cell>
          <cell r="I66">
            <v>4.8181078000325677</v>
          </cell>
          <cell r="J66">
            <v>68302</v>
          </cell>
          <cell r="K66">
            <v>11.122292786191174</v>
          </cell>
          <cell r="L66">
            <v>7</v>
          </cell>
          <cell r="O66">
            <v>0</v>
          </cell>
          <cell r="P66">
            <v>299.89999999999998</v>
          </cell>
          <cell r="R66">
            <v>40</v>
          </cell>
          <cell r="T66">
            <v>14</v>
          </cell>
          <cell r="V66">
            <v>23.9</v>
          </cell>
          <cell r="X66">
            <v>4.3746458231558381E-5</v>
          </cell>
          <cell r="Y66">
            <v>0.26864700000000002</v>
          </cell>
          <cell r="AA66">
            <v>5.1967269174401565E-5</v>
          </cell>
          <cell r="AB66">
            <v>0.319131</v>
          </cell>
          <cell r="AD66">
            <v>66400</v>
          </cell>
          <cell r="AE66">
            <v>10.81</v>
          </cell>
          <cell r="AF66">
            <v>6181</v>
          </cell>
        </row>
        <row r="67">
          <cell r="A67" t="str">
            <v>CSR</v>
          </cell>
          <cell r="B67" t="str">
            <v>NYK Castor</v>
          </cell>
          <cell r="C67" t="str">
            <v>NYK</v>
          </cell>
          <cell r="D67">
            <v>6135</v>
          </cell>
          <cell r="F67">
            <v>76847</v>
          </cell>
          <cell r="G67">
            <v>12.52599837000815</v>
          </cell>
          <cell r="H67">
            <v>30006</v>
          </cell>
          <cell r="I67">
            <v>4.8909535452322741</v>
          </cell>
          <cell r="J67">
            <v>68259</v>
          </cell>
          <cell r="K67">
            <v>11.126161369193154</v>
          </cell>
          <cell r="L67">
            <v>7</v>
          </cell>
          <cell r="O67">
            <v>0</v>
          </cell>
          <cell r="P67">
            <v>299.89999999999998</v>
          </cell>
          <cell r="R67">
            <v>40</v>
          </cell>
          <cell r="T67">
            <v>14</v>
          </cell>
          <cell r="V67">
            <v>23.9</v>
          </cell>
          <cell r="X67">
            <v>4.4321923390383048E-5</v>
          </cell>
          <cell r="Y67">
            <v>0.27191500000000002</v>
          </cell>
          <cell r="AA67">
            <v>5.2759576202118992E-5</v>
          </cell>
          <cell r="AB67">
            <v>0.32368000000000002</v>
          </cell>
          <cell r="AD67">
            <v>67400</v>
          </cell>
          <cell r="AE67">
            <v>10.99</v>
          </cell>
          <cell r="AF67">
            <v>6224</v>
          </cell>
        </row>
        <row r="68">
          <cell r="A68" t="str">
            <v>SRS</v>
          </cell>
          <cell r="B68" t="str">
            <v>NYK Sirius</v>
          </cell>
          <cell r="C68" t="str">
            <v>NYK</v>
          </cell>
          <cell r="D68">
            <v>6135</v>
          </cell>
          <cell r="F68">
            <v>76847</v>
          </cell>
          <cell r="G68">
            <v>12.52599837000815</v>
          </cell>
          <cell r="H68">
            <v>30006</v>
          </cell>
          <cell r="I68">
            <v>4.8909535452322741</v>
          </cell>
          <cell r="J68">
            <v>68259</v>
          </cell>
          <cell r="K68">
            <v>11.126161369193154</v>
          </cell>
          <cell r="L68">
            <v>7</v>
          </cell>
          <cell r="O68">
            <v>0</v>
          </cell>
          <cell r="P68">
            <v>299.89999999999998</v>
          </cell>
          <cell r="R68">
            <v>40</v>
          </cell>
          <cell r="T68">
            <v>14</v>
          </cell>
          <cell r="V68">
            <v>23.9</v>
          </cell>
          <cell r="X68">
            <v>4.4321923390383048E-5</v>
          </cell>
          <cell r="Y68">
            <v>0.27191500000000002</v>
          </cell>
          <cell r="AA68">
            <v>5.2759576202118992E-5</v>
          </cell>
          <cell r="AB68">
            <v>0.32368000000000002</v>
          </cell>
          <cell r="AD68">
            <v>67400</v>
          </cell>
          <cell r="AE68">
            <v>10.99</v>
          </cell>
          <cell r="AF68">
            <v>6224</v>
          </cell>
        </row>
        <row r="69">
          <cell r="A69" t="str">
            <v>CAN</v>
          </cell>
          <cell r="B69" t="str">
            <v>NYK Canopus</v>
          </cell>
          <cell r="C69" t="str">
            <v>NYK</v>
          </cell>
          <cell r="D69">
            <v>6135</v>
          </cell>
          <cell r="F69">
            <v>76847</v>
          </cell>
          <cell r="G69">
            <v>12.52599837000815</v>
          </cell>
          <cell r="H69">
            <v>30006</v>
          </cell>
          <cell r="I69">
            <v>4.8909535452322741</v>
          </cell>
          <cell r="J69">
            <v>68259</v>
          </cell>
          <cell r="K69">
            <v>11.126161369193154</v>
          </cell>
          <cell r="L69">
            <v>7</v>
          </cell>
          <cell r="O69">
            <v>0</v>
          </cell>
          <cell r="P69">
            <v>299.89999999999998</v>
          </cell>
          <cell r="R69">
            <v>40</v>
          </cell>
          <cell r="T69">
            <v>14</v>
          </cell>
          <cell r="V69">
            <v>23.9</v>
          </cell>
          <cell r="X69">
            <v>4.4321923390383048E-5</v>
          </cell>
          <cell r="Y69">
            <v>0.27191500000000002</v>
          </cell>
          <cell r="AA69">
            <v>5.2759576202118992E-5</v>
          </cell>
          <cell r="AB69">
            <v>0.32368000000000002</v>
          </cell>
          <cell r="AD69">
            <v>67400</v>
          </cell>
          <cell r="AE69">
            <v>10.99</v>
          </cell>
          <cell r="AF69">
            <v>6224</v>
          </cell>
        </row>
        <row r="70">
          <cell r="A70" t="str">
            <v>NAR</v>
          </cell>
          <cell r="B70" t="str">
            <v>NYK Artemis</v>
          </cell>
          <cell r="C70" t="str">
            <v>NYK</v>
          </cell>
          <cell r="D70">
            <v>6238</v>
          </cell>
          <cell r="F70">
            <v>75484</v>
          </cell>
          <cell r="G70">
            <v>12.100673292722027</v>
          </cell>
          <cell r="H70">
            <v>29555</v>
          </cell>
          <cell r="I70">
            <v>4.7378967617826229</v>
          </cell>
          <cell r="J70">
            <v>76535.91</v>
          </cell>
          <cell r="K70">
            <v>12.269302661109331</v>
          </cell>
          <cell r="L70">
            <v>7</v>
          </cell>
          <cell r="O70">
            <v>0</v>
          </cell>
          <cell r="P70">
            <v>299.89999999999998</v>
          </cell>
          <cell r="R70">
            <v>40</v>
          </cell>
          <cell r="T70">
            <v>14</v>
          </cell>
          <cell r="V70">
            <v>23.9</v>
          </cell>
          <cell r="X70">
            <v>4.5918162872715616E-5</v>
          </cell>
          <cell r="Y70">
            <v>0.28643750000000001</v>
          </cell>
          <cell r="AA70">
            <v>5.7228053863417763E-5</v>
          </cell>
          <cell r="AB70">
            <v>0.35698859999999999</v>
          </cell>
          <cell r="AD70">
            <v>66000</v>
          </cell>
          <cell r="AE70">
            <v>10.58</v>
          </cell>
          <cell r="AF70">
            <v>6210</v>
          </cell>
        </row>
        <row r="71">
          <cell r="A71" t="str">
            <v>NAO</v>
          </cell>
          <cell r="B71" t="str">
            <v>NYK Apollo</v>
          </cell>
          <cell r="C71" t="str">
            <v>NYK</v>
          </cell>
          <cell r="D71">
            <v>6238</v>
          </cell>
          <cell r="F71">
            <v>75484</v>
          </cell>
          <cell r="G71">
            <v>12.100673292722027</v>
          </cell>
          <cell r="H71">
            <v>29555</v>
          </cell>
          <cell r="I71">
            <v>4.7378967617826229</v>
          </cell>
          <cell r="J71">
            <v>76535.91</v>
          </cell>
          <cell r="K71">
            <v>12.269302661109331</v>
          </cell>
          <cell r="L71">
            <v>7</v>
          </cell>
          <cell r="O71">
            <v>0</v>
          </cell>
          <cell r="P71">
            <v>299.89999999999998</v>
          </cell>
          <cell r="R71">
            <v>40</v>
          </cell>
          <cell r="T71">
            <v>14</v>
          </cell>
          <cell r="V71">
            <v>23.9</v>
          </cell>
          <cell r="X71">
            <v>4.5918162872715616E-5</v>
          </cell>
          <cell r="Y71">
            <v>0.28643750000000001</v>
          </cell>
          <cell r="AA71">
            <v>5.7228053863417763E-5</v>
          </cell>
          <cell r="AB71">
            <v>0.35698859999999999</v>
          </cell>
          <cell r="AD71">
            <v>66000</v>
          </cell>
          <cell r="AE71">
            <v>10.58</v>
          </cell>
          <cell r="AF71">
            <v>6210</v>
          </cell>
        </row>
        <row r="72">
          <cell r="A72" t="str">
            <v>NLY</v>
          </cell>
          <cell r="B72" t="str">
            <v>NYK Lyra</v>
          </cell>
          <cell r="C72" t="str">
            <v>NYK</v>
          </cell>
          <cell r="D72">
            <v>6258</v>
          </cell>
          <cell r="F72">
            <v>75201</v>
          </cell>
          <cell r="G72">
            <v>12.016778523489933</v>
          </cell>
          <cell r="H72">
            <v>28409</v>
          </cell>
          <cell r="I72">
            <v>4.5396292745286031</v>
          </cell>
          <cell r="J72">
            <v>77737.45</v>
          </cell>
          <cell r="K72">
            <v>12.422091722595077</v>
          </cell>
          <cell r="L72">
            <v>7</v>
          </cell>
          <cell r="O72">
            <v>0</v>
          </cell>
          <cell r="P72">
            <v>299.85199999999998</v>
          </cell>
          <cell r="R72">
            <v>40</v>
          </cell>
          <cell r="T72">
            <v>14</v>
          </cell>
          <cell r="V72">
            <v>24.3</v>
          </cell>
          <cell r="X72">
            <v>4.6607015020773412E-5</v>
          </cell>
          <cell r="Y72">
            <v>0.2916667</v>
          </cell>
          <cell r="AA72">
            <v>5.8410083093640135E-5</v>
          </cell>
          <cell r="AB72">
            <v>0.36553029999999997</v>
          </cell>
          <cell r="AD72">
            <v>65400</v>
          </cell>
          <cell r="AE72">
            <v>10.45</v>
          </cell>
          <cell r="AF72">
            <v>6192</v>
          </cell>
        </row>
        <row r="73">
          <cell r="A73" t="str">
            <v>NLR</v>
          </cell>
          <cell r="B73" t="str">
            <v>NYK Libra</v>
          </cell>
          <cell r="C73" t="str">
            <v>NYK</v>
          </cell>
          <cell r="D73">
            <v>6258</v>
          </cell>
          <cell r="F73">
            <v>75201</v>
          </cell>
          <cell r="G73">
            <v>12.016778523489933</v>
          </cell>
          <cell r="H73">
            <v>28409</v>
          </cell>
          <cell r="I73">
            <v>4.5396292745286031</v>
          </cell>
          <cell r="J73">
            <v>77737.45</v>
          </cell>
          <cell r="K73">
            <v>12.422091722595077</v>
          </cell>
          <cell r="L73">
            <v>7</v>
          </cell>
          <cell r="O73">
            <v>0</v>
          </cell>
          <cell r="P73">
            <v>299.85199999999998</v>
          </cell>
          <cell r="R73">
            <v>40</v>
          </cell>
          <cell r="T73">
            <v>14</v>
          </cell>
          <cell r="V73">
            <v>24.3</v>
          </cell>
          <cell r="X73">
            <v>4.6607015020773412E-5</v>
          </cell>
          <cell r="Y73">
            <v>0.2916667</v>
          </cell>
          <cell r="AA73">
            <v>5.8410083093640135E-5</v>
          </cell>
          <cell r="AB73">
            <v>0.36553029999999997</v>
          </cell>
          <cell r="AD73">
            <v>65400</v>
          </cell>
          <cell r="AE73">
            <v>10.45</v>
          </cell>
          <cell r="AF73">
            <v>6192</v>
          </cell>
        </row>
        <row r="74">
          <cell r="A74" t="str">
            <v>NAE</v>
          </cell>
          <cell r="B74" t="str">
            <v>NYK Aphrodite</v>
          </cell>
          <cell r="C74" t="str">
            <v>NYK</v>
          </cell>
          <cell r="D74">
            <v>6238</v>
          </cell>
          <cell r="F74">
            <v>75484</v>
          </cell>
          <cell r="G74">
            <v>12.100673292722027</v>
          </cell>
          <cell r="H74">
            <v>29555</v>
          </cell>
          <cell r="I74">
            <v>4.7378967617826229</v>
          </cell>
          <cell r="J74">
            <v>76535.91</v>
          </cell>
          <cell r="K74">
            <v>12.269302661109331</v>
          </cell>
          <cell r="L74">
            <v>7</v>
          </cell>
          <cell r="O74">
            <v>0</v>
          </cell>
          <cell r="P74">
            <v>299.89999999999998</v>
          </cell>
          <cell r="R74">
            <v>40</v>
          </cell>
          <cell r="T74">
            <v>14</v>
          </cell>
          <cell r="V74">
            <v>23.9</v>
          </cell>
          <cell r="X74">
            <v>4.5918162872715616E-5</v>
          </cell>
          <cell r="Y74">
            <v>0.28643750000000001</v>
          </cell>
          <cell r="AA74">
            <v>5.7228053863417763E-5</v>
          </cell>
          <cell r="AB74">
            <v>0.35698859999999999</v>
          </cell>
          <cell r="AD74">
            <v>66000</v>
          </cell>
          <cell r="AE74">
            <v>10.58</v>
          </cell>
          <cell r="AF74">
            <v>6210</v>
          </cell>
        </row>
        <row r="75">
          <cell r="A75" t="str">
            <v>NAH</v>
          </cell>
          <cell r="B75" t="str">
            <v>NYK Athena</v>
          </cell>
          <cell r="C75" t="str">
            <v>NYK</v>
          </cell>
          <cell r="D75">
            <v>6238</v>
          </cell>
          <cell r="F75">
            <v>75484</v>
          </cell>
          <cell r="G75">
            <v>12.100673292722027</v>
          </cell>
          <cell r="H75">
            <v>29555</v>
          </cell>
          <cell r="I75">
            <v>4.7378967617826229</v>
          </cell>
          <cell r="J75">
            <v>76535.91</v>
          </cell>
          <cell r="K75">
            <v>12.269302661109331</v>
          </cell>
          <cell r="L75">
            <v>7</v>
          </cell>
          <cell r="O75">
            <v>0</v>
          </cell>
          <cell r="P75">
            <v>299.89999999999998</v>
          </cell>
          <cell r="R75">
            <v>40</v>
          </cell>
          <cell r="T75">
            <v>14</v>
          </cell>
          <cell r="V75">
            <v>23.9</v>
          </cell>
          <cell r="X75">
            <v>4.5918162872715616E-5</v>
          </cell>
          <cell r="Y75">
            <v>0.28643750000000001</v>
          </cell>
          <cell r="AA75">
            <v>5.7228053863417763E-5</v>
          </cell>
          <cell r="AB75">
            <v>0.35698859999999999</v>
          </cell>
          <cell r="AD75">
            <v>66000</v>
          </cell>
          <cell r="AE75">
            <v>10.58</v>
          </cell>
          <cell r="AF75">
            <v>6210</v>
          </cell>
        </row>
        <row r="76">
          <cell r="A76" t="str">
            <v>NAQ</v>
          </cell>
          <cell r="B76" t="str">
            <v>NYK Aquarius</v>
          </cell>
          <cell r="C76" t="str">
            <v>NYK</v>
          </cell>
          <cell r="D76">
            <v>6238</v>
          </cell>
          <cell r="F76">
            <v>75484</v>
          </cell>
          <cell r="G76">
            <v>12.100673292722027</v>
          </cell>
          <cell r="H76">
            <v>29555</v>
          </cell>
          <cell r="I76">
            <v>4.7378967617826229</v>
          </cell>
          <cell r="J76">
            <v>76535.91</v>
          </cell>
          <cell r="K76">
            <v>12.269302661109331</v>
          </cell>
          <cell r="L76">
            <v>7</v>
          </cell>
          <cell r="O76">
            <v>0</v>
          </cell>
          <cell r="P76">
            <v>299.89999999999998</v>
          </cell>
          <cell r="R76">
            <v>40</v>
          </cell>
          <cell r="T76">
            <v>14</v>
          </cell>
          <cell r="V76">
            <v>23.9</v>
          </cell>
          <cell r="X76">
            <v>4.5918162872715616E-5</v>
          </cell>
          <cell r="Y76">
            <v>0.28643750000000001</v>
          </cell>
          <cell r="AA76">
            <v>5.7228053863417763E-5</v>
          </cell>
          <cell r="AB76">
            <v>0.35698859999999999</v>
          </cell>
          <cell r="AD76">
            <v>66000</v>
          </cell>
          <cell r="AE76">
            <v>10.58</v>
          </cell>
          <cell r="AF76">
            <v>6210</v>
          </cell>
        </row>
        <row r="77">
          <cell r="A77" t="str">
            <v>NAG</v>
          </cell>
          <cell r="B77" t="str">
            <v>NYK Argus</v>
          </cell>
          <cell r="C77" t="str">
            <v>NYK</v>
          </cell>
          <cell r="D77">
            <v>6238</v>
          </cell>
          <cell r="F77">
            <v>75484</v>
          </cell>
          <cell r="G77">
            <v>12.100673292722027</v>
          </cell>
          <cell r="H77">
            <v>29555</v>
          </cell>
          <cell r="I77">
            <v>4.7378967617826229</v>
          </cell>
          <cell r="J77">
            <v>76535.91</v>
          </cell>
          <cell r="K77">
            <v>12.269302661109331</v>
          </cell>
          <cell r="L77">
            <v>7</v>
          </cell>
          <cell r="O77">
            <v>0</v>
          </cell>
          <cell r="P77">
            <v>299.89999999999998</v>
          </cell>
          <cell r="R77">
            <v>40</v>
          </cell>
          <cell r="T77">
            <v>14</v>
          </cell>
          <cell r="V77">
            <v>23.9</v>
          </cell>
          <cell r="X77">
            <v>4.5918162872715616E-5</v>
          </cell>
          <cell r="Y77">
            <v>0.28643750000000001</v>
          </cell>
          <cell r="AA77">
            <v>5.7228053863417763E-5</v>
          </cell>
          <cell r="AB77">
            <v>0.35698859999999999</v>
          </cell>
          <cell r="AD77">
            <v>66000</v>
          </cell>
          <cell r="AE77">
            <v>10.58</v>
          </cell>
          <cell r="AF77">
            <v>6210</v>
          </cell>
        </row>
        <row r="78">
          <cell r="A78" t="str">
            <v>NPG</v>
          </cell>
          <cell r="B78" t="str">
            <v>NYK Pegasus</v>
          </cell>
          <cell r="C78" t="str">
            <v>NYK</v>
          </cell>
          <cell r="D78">
            <v>6238</v>
          </cell>
          <cell r="F78">
            <v>76199</v>
          </cell>
          <cell r="G78">
            <v>12.215293363257455</v>
          </cell>
          <cell r="H78">
            <v>29780</v>
          </cell>
          <cell r="I78">
            <v>4.7739660147483169</v>
          </cell>
          <cell r="J78">
            <v>77639.59</v>
          </cell>
          <cell r="K78">
            <v>12.446231163834561</v>
          </cell>
          <cell r="L78">
            <v>7</v>
          </cell>
          <cell r="O78">
            <v>0</v>
          </cell>
          <cell r="P78">
            <v>299.95</v>
          </cell>
          <cell r="R78">
            <v>40</v>
          </cell>
          <cell r="T78">
            <v>14.023</v>
          </cell>
          <cell r="V78">
            <v>24</v>
          </cell>
          <cell r="X78">
            <v>4.5918162872715616E-5</v>
          </cell>
          <cell r="Y78">
            <v>0.28643750000000001</v>
          </cell>
          <cell r="AA78">
            <v>5.7228053863417763E-5</v>
          </cell>
          <cell r="AB78">
            <v>0.35698859999999999</v>
          </cell>
          <cell r="AD78">
            <v>66000</v>
          </cell>
          <cell r="AE78">
            <v>10.58</v>
          </cell>
          <cell r="AF78">
            <v>6210</v>
          </cell>
        </row>
        <row r="79">
          <cell r="A79" t="str">
            <v>NPX</v>
          </cell>
          <cell r="B79" t="str">
            <v>NYK Phoenix</v>
          </cell>
          <cell r="C79" t="str">
            <v>NYK</v>
          </cell>
          <cell r="D79">
            <v>6238</v>
          </cell>
          <cell r="F79">
            <v>76199</v>
          </cell>
          <cell r="G79">
            <v>12.215293363257455</v>
          </cell>
          <cell r="H79">
            <v>29780</v>
          </cell>
          <cell r="I79">
            <v>4.7739660147483169</v>
          </cell>
          <cell r="J79">
            <v>77639.59</v>
          </cell>
          <cell r="K79">
            <v>12.446231163834561</v>
          </cell>
          <cell r="L79">
            <v>7</v>
          </cell>
          <cell r="O79">
            <v>0</v>
          </cell>
          <cell r="P79">
            <v>299.95</v>
          </cell>
          <cell r="R79">
            <v>40</v>
          </cell>
          <cell r="T79">
            <v>14.023</v>
          </cell>
          <cell r="V79">
            <v>24</v>
          </cell>
          <cell r="X79">
            <v>4.5918162872715616E-5</v>
          </cell>
          <cell r="Y79">
            <v>0.28643750000000001</v>
          </cell>
          <cell r="AA79">
            <v>5.7228053863417763E-5</v>
          </cell>
          <cell r="AB79">
            <v>0.35698859999999999</v>
          </cell>
          <cell r="AD79">
            <v>66000</v>
          </cell>
          <cell r="AE79">
            <v>10.58</v>
          </cell>
          <cell r="AF79">
            <v>6210</v>
          </cell>
        </row>
        <row r="80">
          <cell r="A80" t="str">
            <v>NAL</v>
          </cell>
          <cell r="C80" t="str">
            <v>NYK</v>
          </cell>
          <cell r="D80">
            <v>6238</v>
          </cell>
        </row>
        <row r="81">
          <cell r="A81" t="str">
            <v>NYK</v>
          </cell>
          <cell r="C81" t="str">
            <v>NYK</v>
          </cell>
          <cell r="D81">
            <v>3400</v>
          </cell>
        </row>
        <row r="83">
          <cell r="A83" t="str">
            <v>CLB</v>
          </cell>
          <cell r="B83" t="str">
            <v>Colombo Bay</v>
          </cell>
          <cell r="C83" t="str">
            <v>PON</v>
          </cell>
          <cell r="D83">
            <v>4120</v>
          </cell>
          <cell r="E83">
            <v>4034</v>
          </cell>
          <cell r="F83">
            <v>50350</v>
          </cell>
          <cell r="G83">
            <v>12.481408031730293</v>
          </cell>
          <cell r="H83">
            <v>28369</v>
          </cell>
          <cell r="I83">
            <v>7.0324739712444222</v>
          </cell>
          <cell r="J83">
            <v>45429</v>
          </cell>
          <cell r="K83">
            <v>11.261527020327218</v>
          </cell>
          <cell r="L83">
            <v>5</v>
          </cell>
          <cell r="N83">
            <v>41236</v>
          </cell>
          <cell r="O83">
            <v>10.222112047595438</v>
          </cell>
          <cell r="P83">
            <v>292.2</v>
          </cell>
          <cell r="Q83">
            <v>292.2</v>
          </cell>
          <cell r="R83">
            <v>32.200000000000003</v>
          </cell>
          <cell r="T83">
            <v>13.03</v>
          </cell>
          <cell r="V83">
            <v>21.2</v>
          </cell>
          <cell r="X83">
            <v>5.001636093207734E-5</v>
          </cell>
          <cell r="Y83">
            <v>0.201766</v>
          </cell>
          <cell r="AA83">
            <v>6.096554288547347E-5</v>
          </cell>
          <cell r="AB83">
            <v>0.24593499999999999</v>
          </cell>
          <cell r="AD83">
            <v>42000</v>
          </cell>
          <cell r="AE83">
            <v>10.41</v>
          </cell>
          <cell r="AF83">
            <v>3984</v>
          </cell>
        </row>
        <row r="84">
          <cell r="A84" t="str">
            <v>JEB</v>
          </cell>
          <cell r="B84" t="str">
            <v>Jervis Bay</v>
          </cell>
          <cell r="C84" t="str">
            <v>PON</v>
          </cell>
          <cell r="D84">
            <v>4120</v>
          </cell>
          <cell r="E84">
            <v>4034</v>
          </cell>
          <cell r="F84">
            <v>50350</v>
          </cell>
          <cell r="G84">
            <v>12.481408031730293</v>
          </cell>
          <cell r="H84">
            <v>28369</v>
          </cell>
          <cell r="I84">
            <v>7.0324739712444222</v>
          </cell>
          <cell r="J84">
            <v>45429</v>
          </cell>
          <cell r="K84">
            <v>11.261527020327218</v>
          </cell>
          <cell r="L84">
            <v>5</v>
          </cell>
          <cell r="N84">
            <v>43642</v>
          </cell>
          <cell r="O84">
            <v>10.818542389687655</v>
          </cell>
          <cell r="P84">
            <v>292.2</v>
          </cell>
          <cell r="Q84">
            <v>292.2</v>
          </cell>
          <cell r="R84">
            <v>32.200000000000003</v>
          </cell>
          <cell r="T84">
            <v>13.03</v>
          </cell>
          <cell r="V84">
            <v>21.2</v>
          </cell>
          <cell r="X84">
            <v>5.001636093207734E-5</v>
          </cell>
          <cell r="Y84">
            <v>0.201766</v>
          </cell>
          <cell r="AA84">
            <v>6.096554288547347E-5</v>
          </cell>
          <cell r="AB84">
            <v>0.24593499999999999</v>
          </cell>
          <cell r="AD84">
            <v>42000</v>
          </cell>
          <cell r="AE84">
            <v>10.41</v>
          </cell>
          <cell r="AF84">
            <v>3984</v>
          </cell>
        </row>
        <row r="85">
          <cell r="A85" t="str">
            <v>NEB</v>
          </cell>
          <cell r="B85" t="str">
            <v>Newport Bay</v>
          </cell>
          <cell r="C85" t="str">
            <v>PON</v>
          </cell>
          <cell r="D85">
            <v>4120</v>
          </cell>
          <cell r="E85">
            <v>4034</v>
          </cell>
          <cell r="F85">
            <v>50350</v>
          </cell>
          <cell r="G85">
            <v>12.481408031730293</v>
          </cell>
          <cell r="H85">
            <v>28369</v>
          </cell>
          <cell r="I85">
            <v>7.0324739712444222</v>
          </cell>
          <cell r="J85">
            <v>45429</v>
          </cell>
          <cell r="K85">
            <v>11.261527020327218</v>
          </cell>
          <cell r="L85">
            <v>5</v>
          </cell>
          <cell r="N85">
            <v>43488</v>
          </cell>
          <cell r="O85">
            <v>10.780366881507188</v>
          </cell>
          <cell r="P85">
            <v>292.2</v>
          </cell>
          <cell r="Q85">
            <v>292.2</v>
          </cell>
          <cell r="R85">
            <v>32.200000000000003</v>
          </cell>
          <cell r="T85">
            <v>13.03</v>
          </cell>
          <cell r="V85">
            <v>21.2</v>
          </cell>
          <cell r="X85">
            <v>5.001636093207734E-5</v>
          </cell>
          <cell r="Y85">
            <v>0.201766</v>
          </cell>
          <cell r="AA85">
            <v>6.096554288547347E-5</v>
          </cell>
          <cell r="AB85">
            <v>0.24593499999999999</v>
          </cell>
          <cell r="AD85">
            <v>42000</v>
          </cell>
          <cell r="AE85">
            <v>10.41</v>
          </cell>
          <cell r="AF85">
            <v>3984</v>
          </cell>
        </row>
        <row r="86">
          <cell r="A86" t="str">
            <v>ORB</v>
          </cell>
          <cell r="B86" t="str">
            <v>Oriental Bay</v>
          </cell>
          <cell r="C86" t="str">
            <v>PON</v>
          </cell>
          <cell r="D86">
            <v>4120</v>
          </cell>
          <cell r="E86">
            <v>4034</v>
          </cell>
          <cell r="F86">
            <v>50235</v>
          </cell>
          <cell r="G86">
            <v>12.452900347050074</v>
          </cell>
          <cell r="H86">
            <v>31795</v>
          </cell>
          <cell r="I86">
            <v>7.88175508180466</v>
          </cell>
          <cell r="J86">
            <v>46159</v>
          </cell>
          <cell r="K86">
            <v>11.442488844819039</v>
          </cell>
          <cell r="L86">
            <v>5</v>
          </cell>
          <cell r="N86">
            <v>42772</v>
          </cell>
          <cell r="O86">
            <v>10.602875557759049</v>
          </cell>
          <cell r="P86">
            <v>292.2</v>
          </cell>
          <cell r="Q86">
            <v>292.2</v>
          </cell>
          <cell r="R86">
            <v>32.200000000000003</v>
          </cell>
          <cell r="T86">
            <v>13.03</v>
          </cell>
          <cell r="V86">
            <v>21.2</v>
          </cell>
          <cell r="X86">
            <v>5.163609320773426E-5</v>
          </cell>
          <cell r="Y86">
            <v>0.20830000000000001</v>
          </cell>
          <cell r="AA86">
            <v>6.6264253842340107E-5</v>
          </cell>
          <cell r="AB86">
            <v>0.26730999999999999</v>
          </cell>
          <cell r="AD86">
            <v>42000</v>
          </cell>
          <cell r="AE86">
            <v>10.41</v>
          </cell>
          <cell r="AF86">
            <v>3984</v>
          </cell>
        </row>
        <row r="87">
          <cell r="A87" t="str">
            <v>PEB</v>
          </cell>
          <cell r="B87" t="str">
            <v>Peninsular Bay</v>
          </cell>
          <cell r="C87" t="str">
            <v>PON</v>
          </cell>
          <cell r="D87">
            <v>4120</v>
          </cell>
          <cell r="E87">
            <v>4034</v>
          </cell>
          <cell r="F87">
            <v>50235</v>
          </cell>
          <cell r="G87">
            <v>12.452900347050074</v>
          </cell>
          <cell r="H87">
            <v>31795</v>
          </cell>
          <cell r="I87">
            <v>7.88175508180466</v>
          </cell>
          <cell r="J87">
            <v>46159</v>
          </cell>
          <cell r="K87">
            <v>11.442488844819039</v>
          </cell>
          <cell r="L87">
            <v>5</v>
          </cell>
          <cell r="N87">
            <v>43893</v>
          </cell>
          <cell r="O87">
            <v>10.880763510163609</v>
          </cell>
          <cell r="P87">
            <v>292.2</v>
          </cell>
          <cell r="Q87">
            <v>292.2</v>
          </cell>
          <cell r="R87">
            <v>32.200000000000003</v>
          </cell>
          <cell r="T87">
            <v>13.03</v>
          </cell>
          <cell r="V87">
            <v>21.2</v>
          </cell>
          <cell r="X87">
            <v>5.1636836886465047E-5</v>
          </cell>
          <cell r="Y87">
            <v>0.20830299999999999</v>
          </cell>
          <cell r="AA87">
            <v>6.6264253842340107E-5</v>
          </cell>
          <cell r="AB87">
            <v>0.26730999999999999</v>
          </cell>
          <cell r="AD87">
            <v>42000</v>
          </cell>
          <cell r="AE87">
            <v>10.41</v>
          </cell>
          <cell r="AF87">
            <v>3984</v>
          </cell>
        </row>
        <row r="88">
          <cell r="A88" t="str">
            <v>PRO</v>
          </cell>
          <cell r="B88" t="str">
            <v>Providence Bay</v>
          </cell>
          <cell r="C88" t="str">
            <v>PON</v>
          </cell>
          <cell r="D88">
            <v>4120</v>
          </cell>
          <cell r="E88">
            <v>4034</v>
          </cell>
          <cell r="F88">
            <v>50350</v>
          </cell>
          <cell r="G88">
            <v>12.481408031730293</v>
          </cell>
          <cell r="H88">
            <v>28369</v>
          </cell>
          <cell r="I88">
            <v>7.0324739712444222</v>
          </cell>
          <cell r="J88">
            <v>45429</v>
          </cell>
          <cell r="K88">
            <v>11.261527020327218</v>
          </cell>
          <cell r="L88">
            <v>5</v>
          </cell>
          <cell r="N88">
            <v>42772</v>
          </cell>
          <cell r="O88">
            <v>10.602875557759049</v>
          </cell>
          <cell r="P88">
            <v>292.2</v>
          </cell>
          <cell r="Q88">
            <v>292.2</v>
          </cell>
          <cell r="R88">
            <v>32.200000000000003</v>
          </cell>
          <cell r="T88">
            <v>13.03</v>
          </cell>
          <cell r="V88">
            <v>21.2</v>
          </cell>
          <cell r="X88">
            <v>5.001636093207734E-5</v>
          </cell>
          <cell r="Y88">
            <v>0.201766</v>
          </cell>
          <cell r="AA88">
            <v>6.096554288547347E-5</v>
          </cell>
          <cell r="AB88">
            <v>0.24593499999999999</v>
          </cell>
          <cell r="AD88">
            <v>42000</v>
          </cell>
          <cell r="AE88">
            <v>10.41</v>
          </cell>
          <cell r="AF88">
            <v>3984</v>
          </cell>
        </row>
        <row r="89">
          <cell r="A89" t="str">
            <v>REB</v>
          </cell>
          <cell r="B89" t="str">
            <v>Repulse Bay</v>
          </cell>
          <cell r="C89" t="str">
            <v>PON</v>
          </cell>
          <cell r="D89">
            <v>4120</v>
          </cell>
          <cell r="E89">
            <v>4034</v>
          </cell>
          <cell r="F89">
            <v>50350</v>
          </cell>
          <cell r="G89">
            <v>12.481408031730293</v>
          </cell>
          <cell r="H89">
            <v>28369</v>
          </cell>
          <cell r="I89">
            <v>7.0324739712444222</v>
          </cell>
          <cell r="J89">
            <v>45429</v>
          </cell>
          <cell r="K89">
            <v>11.261527020327218</v>
          </cell>
          <cell r="L89">
            <v>5</v>
          </cell>
          <cell r="N89">
            <v>43642</v>
          </cell>
          <cell r="O89">
            <v>10.818542389687655</v>
          </cell>
          <cell r="P89">
            <v>292.2</v>
          </cell>
          <cell r="Q89">
            <v>292.2</v>
          </cell>
          <cell r="R89">
            <v>32.200000000000003</v>
          </cell>
          <cell r="T89">
            <v>13.03</v>
          </cell>
          <cell r="V89">
            <v>21.2</v>
          </cell>
          <cell r="X89">
            <v>5.001636093207734E-5</v>
          </cell>
          <cell r="Y89">
            <v>0.201766</v>
          </cell>
          <cell r="AA89">
            <v>6.096554288547347E-5</v>
          </cell>
          <cell r="AB89">
            <v>0.24593499999999999</v>
          </cell>
          <cell r="AD89">
            <v>42000</v>
          </cell>
          <cell r="AE89">
            <v>10.41</v>
          </cell>
          <cell r="AF89">
            <v>3984</v>
          </cell>
        </row>
        <row r="90">
          <cell r="A90" t="str">
            <v>SZB</v>
          </cell>
          <cell r="B90" t="str">
            <v>Shenzen Bay</v>
          </cell>
          <cell r="C90" t="str">
            <v>PON</v>
          </cell>
          <cell r="D90">
            <v>4120</v>
          </cell>
          <cell r="E90">
            <v>4034</v>
          </cell>
          <cell r="F90">
            <v>50350</v>
          </cell>
          <cell r="G90">
            <v>12.481408031730293</v>
          </cell>
          <cell r="H90">
            <v>28369</v>
          </cell>
          <cell r="I90">
            <v>7.0324739712444222</v>
          </cell>
          <cell r="J90">
            <v>45429</v>
          </cell>
          <cell r="K90">
            <v>11.261527020327218</v>
          </cell>
          <cell r="L90">
            <v>5</v>
          </cell>
          <cell r="N90">
            <v>42772</v>
          </cell>
          <cell r="O90">
            <v>10.602875557759049</v>
          </cell>
          <cell r="P90">
            <v>292.2</v>
          </cell>
          <cell r="Q90">
            <v>292.2</v>
          </cell>
          <cell r="R90">
            <v>32.200000000000003</v>
          </cell>
          <cell r="T90">
            <v>13.03</v>
          </cell>
          <cell r="V90">
            <v>21.2</v>
          </cell>
          <cell r="X90">
            <v>5.001636093207734E-5</v>
          </cell>
          <cell r="Y90">
            <v>0.201766</v>
          </cell>
          <cell r="AA90">
            <v>6.096554288547347E-5</v>
          </cell>
          <cell r="AB90">
            <v>0.24593499999999999</v>
          </cell>
          <cell r="AD90">
            <v>42000</v>
          </cell>
          <cell r="AE90">
            <v>10.41</v>
          </cell>
          <cell r="AF90">
            <v>3984</v>
          </cell>
        </row>
        <row r="91">
          <cell r="A91" t="str">
            <v>SIB</v>
          </cell>
          <cell r="B91" t="str">
            <v>Singapore Bay</v>
          </cell>
          <cell r="C91" t="str">
            <v>PON</v>
          </cell>
          <cell r="D91">
            <v>4120</v>
          </cell>
          <cell r="E91">
            <v>4034</v>
          </cell>
          <cell r="F91">
            <v>50350</v>
          </cell>
          <cell r="G91">
            <v>12.481408031730293</v>
          </cell>
          <cell r="H91">
            <v>28369</v>
          </cell>
          <cell r="I91">
            <v>7.0324739712444222</v>
          </cell>
          <cell r="J91">
            <v>45429</v>
          </cell>
          <cell r="K91">
            <v>11.261527020327218</v>
          </cell>
          <cell r="L91">
            <v>5</v>
          </cell>
          <cell r="N91">
            <v>42772</v>
          </cell>
          <cell r="O91">
            <v>10.602875557759049</v>
          </cell>
          <cell r="P91">
            <v>292.2</v>
          </cell>
          <cell r="Q91">
            <v>292.2</v>
          </cell>
          <cell r="R91">
            <v>32.200000000000003</v>
          </cell>
          <cell r="T91">
            <v>13.03</v>
          </cell>
          <cell r="V91">
            <v>21.2</v>
          </cell>
          <cell r="X91">
            <v>5.001636093207734E-5</v>
          </cell>
          <cell r="Y91">
            <v>0.201766</v>
          </cell>
          <cell r="AA91">
            <v>6.096554288547347E-5</v>
          </cell>
          <cell r="AB91">
            <v>0.24593499999999999</v>
          </cell>
          <cell r="AD91">
            <v>42000</v>
          </cell>
          <cell r="AE91">
            <v>10.41</v>
          </cell>
          <cell r="AF91">
            <v>3984</v>
          </cell>
        </row>
        <row r="92">
          <cell r="A92" t="str">
            <v>TAZ</v>
          </cell>
          <cell r="B92" t="str">
            <v>P&amp;O Nedlloyd Tasman</v>
          </cell>
          <cell r="C92" t="str">
            <v>PON</v>
          </cell>
          <cell r="D92">
            <v>5618</v>
          </cell>
          <cell r="F92">
            <v>66593</v>
          </cell>
          <cell r="G92">
            <v>11.853506585973657</v>
          </cell>
          <cell r="H92">
            <v>29689</v>
          </cell>
          <cell r="I92">
            <v>5.2846208615165535</v>
          </cell>
          <cell r="J92">
            <v>32000</v>
          </cell>
          <cell r="K92">
            <v>5.6959772160911353</v>
          </cell>
          <cell r="L92">
            <v>7</v>
          </cell>
          <cell r="O92">
            <v>0</v>
          </cell>
          <cell r="P92">
            <v>278.01</v>
          </cell>
          <cell r="R92">
            <v>40</v>
          </cell>
          <cell r="T92">
            <v>14</v>
          </cell>
          <cell r="V92">
            <v>24.3</v>
          </cell>
          <cell r="X92">
            <v>4.6279814880740476E-5</v>
          </cell>
          <cell r="Y92">
            <v>0.26</v>
          </cell>
          <cell r="AA92">
            <v>5.6959772160911357E-5</v>
          </cell>
          <cell r="AB92">
            <v>0.32</v>
          </cell>
          <cell r="AD92">
            <v>58000</v>
          </cell>
          <cell r="AE92">
            <v>10.32</v>
          </cell>
          <cell r="AF92">
            <v>5526</v>
          </cell>
        </row>
        <row r="93">
          <cell r="A93" t="str">
            <v>PMR</v>
          </cell>
          <cell r="B93" t="str">
            <v>P&amp;O Nedlloyd Mercator</v>
          </cell>
          <cell r="C93" t="str">
            <v>PON</v>
          </cell>
          <cell r="D93">
            <v>5618</v>
          </cell>
          <cell r="F93">
            <v>66593</v>
          </cell>
          <cell r="G93">
            <v>11.853506585973657</v>
          </cell>
          <cell r="H93">
            <v>29689</v>
          </cell>
          <cell r="I93">
            <v>5.2846208615165535</v>
          </cell>
          <cell r="J93">
            <v>32000</v>
          </cell>
          <cell r="K93">
            <v>5.6959772160911353</v>
          </cell>
          <cell r="L93">
            <v>7</v>
          </cell>
          <cell r="O93">
            <v>0</v>
          </cell>
          <cell r="P93">
            <v>278.01</v>
          </cell>
          <cell r="R93">
            <v>40</v>
          </cell>
          <cell r="T93">
            <v>14</v>
          </cell>
          <cell r="V93">
            <v>24.3</v>
          </cell>
          <cell r="X93">
            <v>4.6279814880740476E-5</v>
          </cell>
          <cell r="Y93">
            <v>0.26</v>
          </cell>
          <cell r="AA93">
            <v>5.6959772160911357E-5</v>
          </cell>
          <cell r="AB93">
            <v>0.32</v>
          </cell>
          <cell r="AD93">
            <v>58000</v>
          </cell>
          <cell r="AE93">
            <v>10.32</v>
          </cell>
          <cell r="AF93">
            <v>5526</v>
          </cell>
        </row>
        <row r="94">
          <cell r="A94" t="str">
            <v>PST</v>
          </cell>
          <cell r="B94" t="str">
            <v>P&amp;O Nedlloyd Seattle</v>
          </cell>
          <cell r="C94" t="str">
            <v>PON</v>
          </cell>
          <cell r="D94">
            <v>3459</v>
          </cell>
          <cell r="E94">
            <v>3459</v>
          </cell>
          <cell r="F94">
            <v>36028</v>
          </cell>
          <cell r="G94">
            <v>10.415727088753975</v>
          </cell>
          <cell r="H94">
            <v>16642</v>
          </cell>
          <cell r="I94">
            <v>4.811217114773056</v>
          </cell>
          <cell r="J94">
            <v>32155</v>
          </cell>
          <cell r="K94">
            <v>9.2960393177218847</v>
          </cell>
          <cell r="L94">
            <v>5</v>
          </cell>
          <cell r="N94">
            <v>29831</v>
          </cell>
          <cell r="O94">
            <v>8.6241688349233883</v>
          </cell>
          <cell r="P94">
            <v>246.45</v>
          </cell>
          <cell r="Q94">
            <v>246.45</v>
          </cell>
          <cell r="R94">
            <v>32.200000000000003</v>
          </cell>
          <cell r="T94">
            <v>13.028</v>
          </cell>
          <cell r="V94">
            <v>18.8</v>
          </cell>
          <cell r="X94">
            <v>5.306880601329864E-5</v>
          </cell>
          <cell r="Y94">
            <v>0.18356500000000001</v>
          </cell>
          <cell r="AA94">
            <v>6.5419485400404744E-5</v>
          </cell>
          <cell r="AB94">
            <v>0.22628599999999999</v>
          </cell>
          <cell r="AD94">
            <v>33500</v>
          </cell>
          <cell r="AE94">
            <v>9.68</v>
          </cell>
          <cell r="AF94">
            <v>3299</v>
          </cell>
        </row>
        <row r="95">
          <cell r="A95" t="str">
            <v>NHK</v>
          </cell>
          <cell r="B95" t="str">
            <v>Nedlloyd HongKong</v>
          </cell>
          <cell r="C95" t="str">
            <v>PON</v>
          </cell>
          <cell r="D95">
            <v>4112</v>
          </cell>
          <cell r="F95">
            <v>56248</v>
          </cell>
          <cell r="G95">
            <v>13.678988326848248</v>
          </cell>
          <cell r="H95">
            <v>23535</v>
          </cell>
          <cell r="I95">
            <v>5.7234922178988326</v>
          </cell>
          <cell r="J95">
            <v>47144</v>
          </cell>
          <cell r="K95">
            <v>11.464980544747082</v>
          </cell>
          <cell r="L95">
            <v>5</v>
          </cell>
          <cell r="O95">
            <v>0</v>
          </cell>
          <cell r="P95">
            <v>279.12</v>
          </cell>
          <cell r="R95">
            <v>37.75</v>
          </cell>
          <cell r="T95">
            <v>13.032</v>
          </cell>
          <cell r="V95">
            <v>23.25</v>
          </cell>
          <cell r="X95">
            <v>4.918555447470817E-5</v>
          </cell>
          <cell r="Y95">
            <v>0.20225099999999999</v>
          </cell>
          <cell r="AA95">
            <v>5.984241245136187E-5</v>
          </cell>
          <cell r="AB95">
            <v>0.24607200000000001</v>
          </cell>
          <cell r="AD95">
            <v>44500</v>
          </cell>
          <cell r="AE95">
            <v>10.82</v>
          </cell>
          <cell r="AF95">
            <v>4140</v>
          </cell>
        </row>
        <row r="96">
          <cell r="A96" t="str">
            <v>NHS</v>
          </cell>
          <cell r="B96" t="str">
            <v>Nedlloyd Honshu</v>
          </cell>
          <cell r="C96" t="str">
            <v>PON</v>
          </cell>
          <cell r="D96">
            <v>4112</v>
          </cell>
          <cell r="F96">
            <v>56248</v>
          </cell>
          <cell r="G96">
            <v>13.678988326848248</v>
          </cell>
          <cell r="H96">
            <v>23535</v>
          </cell>
          <cell r="I96">
            <v>5.7234922178988326</v>
          </cell>
          <cell r="J96">
            <v>47144</v>
          </cell>
          <cell r="K96">
            <v>11.464980544747082</v>
          </cell>
          <cell r="L96">
            <v>5</v>
          </cell>
          <cell r="O96">
            <v>0</v>
          </cell>
          <cell r="P96">
            <v>279.12</v>
          </cell>
          <cell r="R96">
            <v>37.75</v>
          </cell>
          <cell r="T96">
            <v>13.032</v>
          </cell>
          <cell r="V96">
            <v>23.25</v>
          </cell>
          <cell r="X96">
            <v>4.918555447470817E-5</v>
          </cell>
          <cell r="Y96">
            <v>0.20225099999999999</v>
          </cell>
          <cell r="AA96">
            <v>5.984241245136187E-5</v>
          </cell>
          <cell r="AB96">
            <v>0.24607200000000001</v>
          </cell>
          <cell r="AD96">
            <v>44500</v>
          </cell>
          <cell r="AE96">
            <v>10.82</v>
          </cell>
          <cell r="AF96">
            <v>4140</v>
          </cell>
        </row>
        <row r="97">
          <cell r="A97" t="str">
            <v>AFR</v>
          </cell>
          <cell r="B97" t="str">
            <v>Nedlloyd Africa</v>
          </cell>
          <cell r="C97" t="str">
            <v>PON</v>
          </cell>
          <cell r="D97">
            <v>3450</v>
          </cell>
          <cell r="E97">
            <v>3341</v>
          </cell>
          <cell r="F97">
            <v>48508</v>
          </cell>
          <cell r="G97">
            <v>14.51900628554325</v>
          </cell>
          <cell r="H97">
            <v>20825</v>
          </cell>
          <cell r="I97">
            <v>6.233163723436097</v>
          </cell>
          <cell r="J97">
            <v>41540</v>
          </cell>
          <cell r="K97">
            <v>12.433403172702784</v>
          </cell>
          <cell r="L97">
            <v>5</v>
          </cell>
          <cell r="N97">
            <v>39993</v>
          </cell>
          <cell r="O97">
            <v>11.970368153247531</v>
          </cell>
          <cell r="P97">
            <v>266</v>
          </cell>
          <cell r="Q97">
            <v>266</v>
          </cell>
          <cell r="R97">
            <v>32.24</v>
          </cell>
          <cell r="T97">
            <v>13.029</v>
          </cell>
          <cell r="V97">
            <v>23.25</v>
          </cell>
          <cell r="X97">
            <v>6.4539060161628256E-5</v>
          </cell>
          <cell r="Y97">
            <v>0.21562500000000001</v>
          </cell>
          <cell r="AA97">
            <v>8.1126908111343903E-5</v>
          </cell>
          <cell r="AB97">
            <v>0.27104499999999998</v>
          </cell>
          <cell r="AD97">
            <v>35500</v>
          </cell>
          <cell r="AE97">
            <v>10.63</v>
          </cell>
          <cell r="AF97">
            <v>3333</v>
          </cell>
        </row>
        <row r="98">
          <cell r="A98" t="str">
            <v>AME</v>
          </cell>
          <cell r="B98" t="str">
            <v>Nedlloyd America</v>
          </cell>
          <cell r="C98" t="str">
            <v>PON</v>
          </cell>
          <cell r="D98">
            <v>3450</v>
          </cell>
          <cell r="E98">
            <v>3341</v>
          </cell>
          <cell r="F98">
            <v>48508</v>
          </cell>
          <cell r="G98">
            <v>14.51900628554325</v>
          </cell>
          <cell r="H98">
            <v>20825</v>
          </cell>
          <cell r="I98">
            <v>6.233163723436097</v>
          </cell>
          <cell r="J98">
            <v>41540</v>
          </cell>
          <cell r="K98">
            <v>12.433403172702784</v>
          </cell>
          <cell r="L98">
            <v>5</v>
          </cell>
          <cell r="N98">
            <v>39993</v>
          </cell>
          <cell r="O98">
            <v>11.970368153247531</v>
          </cell>
          <cell r="P98">
            <v>266</v>
          </cell>
          <cell r="Q98">
            <v>266</v>
          </cell>
          <cell r="R98">
            <v>32.24</v>
          </cell>
          <cell r="T98">
            <v>13.029</v>
          </cell>
          <cell r="V98">
            <v>23.25</v>
          </cell>
          <cell r="X98">
            <v>6.4539060161628256E-5</v>
          </cell>
          <cell r="Y98">
            <v>0.21562500000000001</v>
          </cell>
          <cell r="AA98">
            <v>8.1126908111343903E-5</v>
          </cell>
          <cell r="AB98">
            <v>0.27104499999999998</v>
          </cell>
          <cell r="AD98">
            <v>35500</v>
          </cell>
          <cell r="AE98">
            <v>10.63</v>
          </cell>
          <cell r="AF98">
            <v>3333</v>
          </cell>
        </row>
        <row r="99">
          <cell r="A99" t="str">
            <v>ASI</v>
          </cell>
          <cell r="B99" t="str">
            <v>Nedlloyd Asia</v>
          </cell>
          <cell r="C99" t="str">
            <v>PON</v>
          </cell>
          <cell r="D99">
            <v>3450</v>
          </cell>
          <cell r="E99">
            <v>3341</v>
          </cell>
          <cell r="F99">
            <v>48508</v>
          </cell>
          <cell r="G99">
            <v>14.51900628554325</v>
          </cell>
          <cell r="H99">
            <v>20825</v>
          </cell>
          <cell r="I99">
            <v>6.233163723436097</v>
          </cell>
          <cell r="J99">
            <v>41540</v>
          </cell>
          <cell r="K99">
            <v>12.433403172702784</v>
          </cell>
          <cell r="L99">
            <v>5</v>
          </cell>
          <cell r="N99">
            <v>39993</v>
          </cell>
          <cell r="O99">
            <v>11.970368153247531</v>
          </cell>
          <cell r="P99">
            <v>266</v>
          </cell>
          <cell r="Q99">
            <v>266</v>
          </cell>
          <cell r="R99">
            <v>32.24</v>
          </cell>
          <cell r="T99">
            <v>13.029</v>
          </cell>
          <cell r="V99">
            <v>23.25</v>
          </cell>
          <cell r="X99">
            <v>6.4539060161628256E-5</v>
          </cell>
          <cell r="Y99">
            <v>0.21562500000000001</v>
          </cell>
          <cell r="AA99">
            <v>8.1126908111343903E-5</v>
          </cell>
          <cell r="AB99">
            <v>0.27104499999999998</v>
          </cell>
          <cell r="AD99">
            <v>35500</v>
          </cell>
          <cell r="AE99">
            <v>10.63</v>
          </cell>
          <cell r="AF99">
            <v>3333</v>
          </cell>
        </row>
        <row r="100">
          <cell r="A100" t="str">
            <v>EUR</v>
          </cell>
          <cell r="B100" t="str">
            <v>Nedlloyd Europa</v>
          </cell>
          <cell r="C100" t="str">
            <v>PON</v>
          </cell>
          <cell r="D100">
            <v>3450</v>
          </cell>
          <cell r="E100">
            <v>3341</v>
          </cell>
          <cell r="F100">
            <v>48508</v>
          </cell>
          <cell r="G100">
            <v>14.51900628554325</v>
          </cell>
          <cell r="H100">
            <v>20825</v>
          </cell>
          <cell r="I100">
            <v>6.233163723436097</v>
          </cell>
          <cell r="J100">
            <v>41540</v>
          </cell>
          <cell r="K100">
            <v>12.433403172702784</v>
          </cell>
          <cell r="L100">
            <v>5</v>
          </cell>
          <cell r="N100">
            <v>39993</v>
          </cell>
          <cell r="O100">
            <v>11.970368153247531</v>
          </cell>
          <cell r="P100">
            <v>266</v>
          </cell>
          <cell r="Q100">
            <v>266</v>
          </cell>
          <cell r="R100">
            <v>32.24</v>
          </cell>
          <cell r="T100">
            <v>13.029</v>
          </cell>
          <cell r="V100">
            <v>23.25</v>
          </cell>
          <cell r="X100">
            <v>6.4539060161628256E-5</v>
          </cell>
          <cell r="Y100">
            <v>0.21562500000000001</v>
          </cell>
          <cell r="AA100">
            <v>8.1126908111343903E-5</v>
          </cell>
          <cell r="AB100">
            <v>0.27104499999999998</v>
          </cell>
          <cell r="AD100">
            <v>35500</v>
          </cell>
          <cell r="AE100">
            <v>10.63</v>
          </cell>
          <cell r="AF100">
            <v>3333</v>
          </cell>
        </row>
        <row r="101">
          <cell r="A101" t="str">
            <v>OCE</v>
          </cell>
          <cell r="B101" t="str">
            <v>Nedlloyd Oceania</v>
          </cell>
          <cell r="C101" t="str">
            <v>PON</v>
          </cell>
          <cell r="D101">
            <v>3450</v>
          </cell>
          <cell r="E101">
            <v>3341</v>
          </cell>
          <cell r="F101">
            <v>48508</v>
          </cell>
          <cell r="G101">
            <v>14.51900628554325</v>
          </cell>
          <cell r="H101">
            <v>20825</v>
          </cell>
          <cell r="I101">
            <v>6.233163723436097</v>
          </cell>
          <cell r="J101">
            <v>41540</v>
          </cell>
          <cell r="K101">
            <v>12.433403172702784</v>
          </cell>
          <cell r="L101">
            <v>5</v>
          </cell>
          <cell r="N101">
            <v>39993</v>
          </cell>
          <cell r="O101">
            <v>11.970368153247531</v>
          </cell>
          <cell r="P101">
            <v>266</v>
          </cell>
          <cell r="Q101">
            <v>266</v>
          </cell>
          <cell r="R101">
            <v>32.24</v>
          </cell>
          <cell r="T101">
            <v>13.029</v>
          </cell>
          <cell r="V101">
            <v>23.25</v>
          </cell>
          <cell r="X101">
            <v>6.4539060161628256E-5</v>
          </cell>
          <cell r="Y101">
            <v>0.21562500000000001</v>
          </cell>
          <cell r="AA101">
            <v>8.1126908111343903E-5</v>
          </cell>
          <cell r="AB101">
            <v>0.27104499999999998</v>
          </cell>
          <cell r="AD101">
            <v>35500</v>
          </cell>
          <cell r="AE101">
            <v>10.63</v>
          </cell>
          <cell r="AF101">
            <v>3333</v>
          </cell>
        </row>
        <row r="102">
          <cell r="A102" t="str">
            <v>SOT</v>
          </cell>
          <cell r="B102" t="str">
            <v>P&amp;O Nedlloyd Southampton</v>
          </cell>
          <cell r="C102" t="str">
            <v>PON</v>
          </cell>
          <cell r="D102">
            <v>6930</v>
          </cell>
          <cell r="F102">
            <v>80942</v>
          </cell>
          <cell r="G102">
            <v>11.67994227994228</v>
          </cell>
          <cell r="H102">
            <v>48880</v>
          </cell>
          <cell r="I102">
            <v>7.0533910533910538</v>
          </cell>
          <cell r="J102">
            <v>70922</v>
          </cell>
          <cell r="K102">
            <v>10.234054834054835</v>
          </cell>
          <cell r="L102">
            <v>7</v>
          </cell>
          <cell r="O102">
            <v>0</v>
          </cell>
          <cell r="P102">
            <v>299</v>
          </cell>
          <cell r="R102">
            <v>42.8</v>
          </cell>
          <cell r="T102">
            <v>14.03</v>
          </cell>
          <cell r="V102">
            <v>24.4</v>
          </cell>
          <cell r="X102">
            <v>4.2010678210678209E-5</v>
          </cell>
          <cell r="Y102">
            <v>0.291134</v>
          </cell>
          <cell r="AA102">
            <v>5.0833044733044735E-5</v>
          </cell>
          <cell r="AB102">
            <v>0.352273</v>
          </cell>
          <cell r="AD102">
            <v>72000</v>
          </cell>
          <cell r="AE102">
            <v>10.39</v>
          </cell>
          <cell r="AF102">
            <v>6837</v>
          </cell>
        </row>
        <row r="103">
          <cell r="A103" t="str">
            <v>KBE</v>
          </cell>
          <cell r="B103" t="str">
            <v>P&amp;O Nedlloyd Kobe</v>
          </cell>
          <cell r="C103" t="str">
            <v>PON</v>
          </cell>
          <cell r="D103">
            <v>6930</v>
          </cell>
          <cell r="F103">
            <v>80942</v>
          </cell>
          <cell r="G103">
            <v>11.67994227994228</v>
          </cell>
          <cell r="H103">
            <v>48880</v>
          </cell>
          <cell r="I103">
            <v>7.0533910533910538</v>
          </cell>
          <cell r="J103">
            <v>70922</v>
          </cell>
          <cell r="K103">
            <v>10.234054834054835</v>
          </cell>
          <cell r="L103">
            <v>7</v>
          </cell>
          <cell r="O103">
            <v>0</v>
          </cell>
          <cell r="P103">
            <v>299</v>
          </cell>
          <cell r="R103">
            <v>42.8</v>
          </cell>
          <cell r="T103">
            <v>14.03</v>
          </cell>
          <cell r="V103">
            <v>24.4</v>
          </cell>
          <cell r="X103">
            <v>4.2010678210678209E-5</v>
          </cell>
          <cell r="Y103">
            <v>0.291134</v>
          </cell>
          <cell r="AA103">
            <v>5.0833044733044735E-5</v>
          </cell>
          <cell r="AB103">
            <v>0.352273</v>
          </cell>
          <cell r="AD103">
            <v>72000</v>
          </cell>
          <cell r="AE103">
            <v>10.39</v>
          </cell>
          <cell r="AF103">
            <v>6837</v>
          </cell>
        </row>
        <row r="104">
          <cell r="A104" t="str">
            <v>ROT</v>
          </cell>
          <cell r="B104" t="str">
            <v>P&amp;O Nedlloyd Rotterdam</v>
          </cell>
          <cell r="C104" t="str">
            <v>PON</v>
          </cell>
          <cell r="D104">
            <v>6930</v>
          </cell>
          <cell r="F104">
            <v>80942</v>
          </cell>
          <cell r="G104">
            <v>11.67994227994228</v>
          </cell>
          <cell r="H104">
            <v>48880</v>
          </cell>
          <cell r="I104">
            <v>7.0533910533910538</v>
          </cell>
          <cell r="J104">
            <v>70922</v>
          </cell>
          <cell r="K104">
            <v>10.234054834054835</v>
          </cell>
          <cell r="L104">
            <v>7</v>
          </cell>
          <cell r="O104">
            <v>0</v>
          </cell>
          <cell r="P104">
            <v>299</v>
          </cell>
          <cell r="R104">
            <v>42.8</v>
          </cell>
          <cell r="T104">
            <v>14.03</v>
          </cell>
          <cell r="V104">
            <v>24.4</v>
          </cell>
          <cell r="X104">
            <v>4.2010678210678209E-5</v>
          </cell>
          <cell r="Y104">
            <v>0.291134</v>
          </cell>
          <cell r="AA104">
            <v>5.0833044733044735E-5</v>
          </cell>
          <cell r="AB104">
            <v>0.352273</v>
          </cell>
          <cell r="AD104">
            <v>72000</v>
          </cell>
          <cell r="AE104">
            <v>10.39</v>
          </cell>
          <cell r="AF104">
            <v>6837</v>
          </cell>
        </row>
        <row r="105">
          <cell r="A105" t="str">
            <v>KLN</v>
          </cell>
          <cell r="B105" t="str">
            <v>P&amp;O Nedlloyd Kowloon</v>
          </cell>
          <cell r="C105" t="str">
            <v>PON</v>
          </cell>
          <cell r="D105">
            <v>6930</v>
          </cell>
          <cell r="F105">
            <v>80942</v>
          </cell>
          <cell r="G105">
            <v>11.67994227994228</v>
          </cell>
          <cell r="H105">
            <v>48880</v>
          </cell>
          <cell r="I105">
            <v>7.0533910533910538</v>
          </cell>
          <cell r="J105">
            <v>70922</v>
          </cell>
          <cell r="K105">
            <v>10.234054834054835</v>
          </cell>
          <cell r="L105">
            <v>7</v>
          </cell>
          <cell r="O105">
            <v>0</v>
          </cell>
          <cell r="P105">
            <v>299</v>
          </cell>
          <cell r="R105">
            <v>42.8</v>
          </cell>
          <cell r="T105">
            <v>14.03</v>
          </cell>
          <cell r="V105">
            <v>24.4</v>
          </cell>
          <cell r="X105">
            <v>4.2010678210678209E-5</v>
          </cell>
          <cell r="Y105">
            <v>0.291134</v>
          </cell>
          <cell r="AA105">
            <v>5.0833044733044735E-5</v>
          </cell>
          <cell r="AB105">
            <v>0.352273</v>
          </cell>
          <cell r="AD105">
            <v>72000</v>
          </cell>
          <cell r="AE105">
            <v>10.39</v>
          </cell>
          <cell r="AF105">
            <v>6837</v>
          </cell>
        </row>
        <row r="106">
          <cell r="A106" t="str">
            <v>PCH</v>
          </cell>
          <cell r="B106" t="str">
            <v>P&amp;O Nedlloyd Chicago</v>
          </cell>
          <cell r="C106" t="str">
            <v>PON</v>
          </cell>
          <cell r="D106">
            <v>3324</v>
          </cell>
          <cell r="E106">
            <v>3324</v>
          </cell>
          <cell r="F106">
            <v>37653</v>
          </cell>
          <cell r="G106">
            <v>11.327617328519855</v>
          </cell>
          <cell r="H106">
            <v>20488</v>
          </cell>
          <cell r="I106">
            <v>6.1636582430806257</v>
          </cell>
          <cell r="J106">
            <v>32157</v>
          </cell>
          <cell r="K106">
            <v>9.6741877256317697</v>
          </cell>
          <cell r="L106">
            <v>5</v>
          </cell>
          <cell r="N106">
            <v>20488</v>
          </cell>
          <cell r="O106">
            <v>6.1636582430806257</v>
          </cell>
          <cell r="P106">
            <v>242.81</v>
          </cell>
          <cell r="Q106">
            <v>242.81</v>
          </cell>
          <cell r="R106">
            <v>32.200000000000003</v>
          </cell>
          <cell r="T106">
            <v>13.028</v>
          </cell>
          <cell r="V106">
            <v>16.350000000000001</v>
          </cell>
          <cell r="X106">
            <v>5.5224127557160051E-5</v>
          </cell>
          <cell r="Y106">
            <v>0.18356500000000001</v>
          </cell>
          <cell r="AA106">
            <v>6.8076413959085438E-5</v>
          </cell>
          <cell r="AB106">
            <v>0.22628599999999999</v>
          </cell>
          <cell r="AD106">
            <v>32500</v>
          </cell>
          <cell r="AE106">
            <v>9.7799999999999994</v>
          </cell>
          <cell r="AF106">
            <v>3184</v>
          </cell>
        </row>
        <row r="107">
          <cell r="A107" t="str">
            <v>PVS</v>
          </cell>
          <cell r="B107" t="str">
            <v>P&amp;O Nedlloyd Vespuchi</v>
          </cell>
          <cell r="C107" t="str">
            <v>PON</v>
          </cell>
          <cell r="D107">
            <v>5642</v>
          </cell>
          <cell r="F107">
            <v>65900</v>
          </cell>
          <cell r="G107">
            <v>11.680255228642325</v>
          </cell>
          <cell r="H107">
            <v>29000</v>
          </cell>
          <cell r="I107">
            <v>5.140021269053527</v>
          </cell>
          <cell r="J107">
            <v>67000</v>
          </cell>
          <cell r="K107">
            <v>11.875221552640907</v>
          </cell>
          <cell r="L107">
            <v>5</v>
          </cell>
          <cell r="O107">
            <v>0</v>
          </cell>
          <cell r="P107">
            <v>278.01</v>
          </cell>
          <cell r="R107">
            <v>40</v>
          </cell>
          <cell r="T107">
            <v>14</v>
          </cell>
          <cell r="V107">
            <v>24.3</v>
          </cell>
          <cell r="X107">
            <v>4.5824175824175823E-5</v>
          </cell>
          <cell r="Y107">
            <v>0.25853999999999999</v>
          </cell>
          <cell r="AA107">
            <v>5.4693371144984049E-5</v>
          </cell>
          <cell r="AB107">
            <v>0.30858000000000002</v>
          </cell>
          <cell r="AD107">
            <v>61000</v>
          </cell>
          <cell r="AE107">
            <v>10.81</v>
          </cell>
          <cell r="AF107">
            <v>5678</v>
          </cell>
        </row>
        <row r="108">
          <cell r="A108" t="str">
            <v>PGL</v>
          </cell>
          <cell r="B108" t="str">
            <v>P&amp;O Nedlloyd Magellan</v>
          </cell>
          <cell r="C108" t="str">
            <v>PON</v>
          </cell>
          <cell r="D108">
            <v>5642</v>
          </cell>
          <cell r="F108">
            <v>65900</v>
          </cell>
          <cell r="G108">
            <v>11.680255228642325</v>
          </cell>
          <cell r="H108">
            <v>29000</v>
          </cell>
          <cell r="I108">
            <v>5.140021269053527</v>
          </cell>
          <cell r="J108">
            <v>67000</v>
          </cell>
          <cell r="K108">
            <v>11.875221552640907</v>
          </cell>
          <cell r="L108">
            <v>5</v>
          </cell>
          <cell r="O108">
            <v>0</v>
          </cell>
          <cell r="P108">
            <v>278.01</v>
          </cell>
          <cell r="R108">
            <v>40</v>
          </cell>
          <cell r="T108">
            <v>14</v>
          </cell>
          <cell r="V108">
            <v>24.3</v>
          </cell>
          <cell r="X108">
            <v>4.5824175824175823E-5</v>
          </cell>
          <cell r="Y108">
            <v>0.25853999999999999</v>
          </cell>
          <cell r="AA108">
            <v>5.4693371144984049E-5</v>
          </cell>
          <cell r="AB108">
            <v>0.30858000000000002</v>
          </cell>
          <cell r="AD108">
            <v>61000</v>
          </cell>
          <cell r="AE108">
            <v>10.81</v>
          </cell>
          <cell r="AF108">
            <v>5678</v>
          </cell>
        </row>
        <row r="109">
          <cell r="A109" t="str">
            <v>PTO</v>
          </cell>
          <cell r="B109" t="str">
            <v>P&amp;O Nedlloyd Torres</v>
          </cell>
          <cell r="C109" t="str">
            <v>PON</v>
          </cell>
          <cell r="D109">
            <v>5642</v>
          </cell>
          <cell r="F109">
            <v>65900</v>
          </cell>
          <cell r="G109">
            <v>11.680255228642325</v>
          </cell>
          <cell r="H109">
            <v>29000</v>
          </cell>
          <cell r="I109">
            <v>5.140021269053527</v>
          </cell>
          <cell r="J109">
            <v>67000</v>
          </cell>
          <cell r="K109">
            <v>11.875221552640907</v>
          </cell>
          <cell r="L109">
            <v>5</v>
          </cell>
          <cell r="O109">
            <v>0</v>
          </cell>
          <cell r="P109">
            <v>278.01</v>
          </cell>
          <cell r="R109">
            <v>40</v>
          </cell>
          <cell r="T109">
            <v>14</v>
          </cell>
          <cell r="V109">
            <v>24.3</v>
          </cell>
          <cell r="X109">
            <v>4.5824175824175823E-5</v>
          </cell>
          <cell r="Y109">
            <v>0.25853999999999999</v>
          </cell>
          <cell r="AA109">
            <v>5.4693371144984049E-5</v>
          </cell>
          <cell r="AB109">
            <v>0.30858000000000002</v>
          </cell>
          <cell r="AD109">
            <v>61000</v>
          </cell>
          <cell r="AE109">
            <v>10.81</v>
          </cell>
          <cell r="AF109">
            <v>5678</v>
          </cell>
        </row>
        <row r="110">
          <cell r="A110" t="str">
            <v>PHD</v>
          </cell>
          <cell r="B110" t="str">
            <v>P&amp;O Nedlloyd Hudson</v>
          </cell>
          <cell r="C110" t="str">
            <v>PON</v>
          </cell>
          <cell r="D110">
            <v>5618</v>
          </cell>
          <cell r="F110">
            <v>66593</v>
          </cell>
          <cell r="G110">
            <v>11.853506585973657</v>
          </cell>
          <cell r="H110">
            <v>29689</v>
          </cell>
          <cell r="I110">
            <v>5.2846208615165535</v>
          </cell>
          <cell r="J110">
            <v>67712</v>
          </cell>
          <cell r="K110">
            <v>12.052687789248843</v>
          </cell>
          <cell r="L110">
            <v>7</v>
          </cell>
          <cell r="O110">
            <v>0</v>
          </cell>
          <cell r="P110">
            <v>278.01</v>
          </cell>
          <cell r="R110">
            <v>40</v>
          </cell>
          <cell r="T110">
            <v>14</v>
          </cell>
          <cell r="V110">
            <v>24.3</v>
          </cell>
          <cell r="X110">
            <v>4.6279814880740476E-5</v>
          </cell>
          <cell r="Y110">
            <v>0.26</v>
          </cell>
          <cell r="AA110">
            <v>5.6959772160911357E-5</v>
          </cell>
          <cell r="AB110">
            <v>0.32</v>
          </cell>
          <cell r="AD110">
            <v>58000</v>
          </cell>
          <cell r="AE110">
            <v>10.32</v>
          </cell>
          <cell r="AF110">
            <v>5526</v>
          </cell>
        </row>
        <row r="111">
          <cell r="A111" t="str">
            <v>PDK</v>
          </cell>
          <cell r="B111" t="str">
            <v>P&amp;O Nedlloyd Drake</v>
          </cell>
          <cell r="C111" t="str">
            <v>PON</v>
          </cell>
          <cell r="D111">
            <v>5618</v>
          </cell>
          <cell r="F111">
            <v>66593</v>
          </cell>
          <cell r="G111">
            <v>11.853506585973657</v>
          </cell>
          <cell r="H111">
            <v>29689</v>
          </cell>
          <cell r="I111">
            <v>5.2846208615165535</v>
          </cell>
          <cell r="J111">
            <v>67712</v>
          </cell>
          <cell r="K111">
            <v>12.052687789248843</v>
          </cell>
          <cell r="L111">
            <v>7</v>
          </cell>
          <cell r="O111">
            <v>0</v>
          </cell>
          <cell r="P111">
            <v>278.01</v>
          </cell>
          <cell r="R111">
            <v>40</v>
          </cell>
          <cell r="T111">
            <v>14</v>
          </cell>
          <cell r="V111">
            <v>24.3</v>
          </cell>
          <cell r="X111">
            <v>4.6279814880740476E-5</v>
          </cell>
          <cell r="Y111">
            <v>0.26</v>
          </cell>
          <cell r="AA111">
            <v>5.6959772160911357E-5</v>
          </cell>
          <cell r="AB111">
            <v>0.32</v>
          </cell>
          <cell r="AD111">
            <v>58000</v>
          </cell>
          <cell r="AE111">
            <v>10.32</v>
          </cell>
          <cell r="AF111">
            <v>5526</v>
          </cell>
        </row>
        <row r="112">
          <cell r="A112" t="str">
            <v>PBZ</v>
          </cell>
          <cell r="B112" t="str">
            <v>P&amp;O Nedlloyd Barentsz</v>
          </cell>
          <cell r="C112" t="str">
            <v>PON</v>
          </cell>
          <cell r="D112">
            <v>5618</v>
          </cell>
          <cell r="F112">
            <v>66593</v>
          </cell>
          <cell r="G112">
            <v>11.853506585973657</v>
          </cell>
          <cell r="H112">
            <v>29689</v>
          </cell>
          <cell r="I112">
            <v>5.2846208615165535</v>
          </cell>
          <cell r="J112">
            <v>66526</v>
          </cell>
          <cell r="K112">
            <v>11.841580633677465</v>
          </cell>
          <cell r="L112">
            <v>7</v>
          </cell>
          <cell r="O112">
            <v>0</v>
          </cell>
          <cell r="P112">
            <v>278.01</v>
          </cell>
          <cell r="R112">
            <v>40</v>
          </cell>
          <cell r="T112">
            <v>14</v>
          </cell>
          <cell r="V112">
            <v>24.3</v>
          </cell>
          <cell r="X112">
            <v>4.6279814880740476E-5</v>
          </cell>
          <cell r="Y112">
            <v>0.26</v>
          </cell>
          <cell r="AA112">
            <v>5.6959772160911357E-5</v>
          </cell>
          <cell r="AB112">
            <v>0.32</v>
          </cell>
          <cell r="AD112">
            <v>58000</v>
          </cell>
          <cell r="AE112">
            <v>10.32</v>
          </cell>
          <cell r="AF112">
            <v>5526</v>
          </cell>
        </row>
        <row r="113">
          <cell r="A113" t="str">
            <v>SYN</v>
          </cell>
          <cell r="B113" t="str">
            <v>P&amp;O Nedlloyd Sydney</v>
          </cell>
          <cell r="C113" t="str">
            <v>PON</v>
          </cell>
          <cell r="D113">
            <v>2720</v>
          </cell>
          <cell r="E113">
            <v>2720</v>
          </cell>
          <cell r="F113">
            <v>31333</v>
          </cell>
          <cell r="G113">
            <v>11.519485294117647</v>
          </cell>
          <cell r="H113">
            <v>18650</v>
          </cell>
          <cell r="I113">
            <v>6.8566176470588234</v>
          </cell>
          <cell r="J113">
            <v>32595</v>
          </cell>
          <cell r="K113">
            <v>11.983455882352942</v>
          </cell>
          <cell r="L113">
            <v>5</v>
          </cell>
          <cell r="N113">
            <v>27515</v>
          </cell>
          <cell r="O113">
            <v>10.115808823529411</v>
          </cell>
          <cell r="P113">
            <v>210.1</v>
          </cell>
          <cell r="Q113">
            <v>210.11</v>
          </cell>
          <cell r="R113">
            <v>32.26</v>
          </cell>
          <cell r="T113">
            <v>12.5</v>
          </cell>
          <cell r="V113">
            <v>19.399999999999999</v>
          </cell>
          <cell r="X113">
            <v>6.6176470588235288E-5</v>
          </cell>
          <cell r="Y113">
            <v>0.18</v>
          </cell>
          <cell r="AA113">
            <v>8.0882352941176477E-5</v>
          </cell>
          <cell r="AB113">
            <v>0.22</v>
          </cell>
          <cell r="AD113">
            <v>31500</v>
          </cell>
          <cell r="AE113">
            <v>11.58</v>
          </cell>
          <cell r="AF113">
            <v>2835</v>
          </cell>
        </row>
        <row r="114">
          <cell r="A114" t="str">
            <v>JKR</v>
          </cell>
          <cell r="B114" t="str">
            <v>P&amp;O Nedlloyd Jakarta</v>
          </cell>
          <cell r="C114" t="str">
            <v>PON</v>
          </cell>
          <cell r="D114">
            <v>2720</v>
          </cell>
          <cell r="E114">
            <v>2720</v>
          </cell>
          <cell r="F114">
            <v>31333</v>
          </cell>
          <cell r="G114">
            <v>11.519485294117647</v>
          </cell>
          <cell r="H114">
            <v>18650</v>
          </cell>
          <cell r="I114">
            <v>6.8566176470588234</v>
          </cell>
          <cell r="J114">
            <v>32595</v>
          </cell>
          <cell r="K114">
            <v>11.983455882352942</v>
          </cell>
          <cell r="L114">
            <v>5</v>
          </cell>
          <cell r="N114">
            <v>27610</v>
          </cell>
          <cell r="O114">
            <v>10.150735294117647</v>
          </cell>
          <cell r="P114">
            <v>210.1</v>
          </cell>
          <cell r="Q114">
            <v>210.11</v>
          </cell>
          <cell r="R114">
            <v>32.26</v>
          </cell>
          <cell r="T114">
            <v>12.5</v>
          </cell>
          <cell r="V114">
            <v>19.399999999999999</v>
          </cell>
          <cell r="X114">
            <v>6.6176470588235288E-5</v>
          </cell>
          <cell r="Y114">
            <v>0.18</v>
          </cell>
          <cell r="AA114">
            <v>8.0882352941176477E-5</v>
          </cell>
          <cell r="AB114">
            <v>0.22</v>
          </cell>
          <cell r="AD114">
            <v>31500</v>
          </cell>
          <cell r="AE114">
            <v>11.58</v>
          </cell>
          <cell r="AF114">
            <v>2835</v>
          </cell>
        </row>
        <row r="115">
          <cell r="A115" t="str">
            <v>GNO</v>
          </cell>
          <cell r="B115" t="str">
            <v>P&amp;O Nedlloyd Genoa</v>
          </cell>
          <cell r="C115" t="str">
            <v>PON</v>
          </cell>
          <cell r="D115">
            <v>2720</v>
          </cell>
          <cell r="E115">
            <v>2720</v>
          </cell>
          <cell r="F115">
            <v>31333</v>
          </cell>
          <cell r="G115">
            <v>11.519485294117647</v>
          </cell>
          <cell r="H115">
            <v>18650</v>
          </cell>
          <cell r="I115">
            <v>6.8566176470588234</v>
          </cell>
          <cell r="J115">
            <v>32595</v>
          </cell>
          <cell r="K115">
            <v>11.983455882352942</v>
          </cell>
          <cell r="L115">
            <v>5</v>
          </cell>
          <cell r="N115">
            <v>27607</v>
          </cell>
          <cell r="O115">
            <v>10.149632352941177</v>
          </cell>
          <cell r="P115">
            <v>210.1</v>
          </cell>
          <cell r="Q115">
            <v>210.11</v>
          </cell>
          <cell r="R115">
            <v>32.26</v>
          </cell>
          <cell r="T115">
            <v>12.5</v>
          </cell>
          <cell r="V115">
            <v>19.399999999999999</v>
          </cell>
          <cell r="X115">
            <v>6.6176470588235288E-5</v>
          </cell>
          <cell r="Y115">
            <v>0.18</v>
          </cell>
          <cell r="AA115">
            <v>8.0882352941176477E-5</v>
          </cell>
          <cell r="AB115">
            <v>0.22</v>
          </cell>
          <cell r="AD115">
            <v>31500</v>
          </cell>
          <cell r="AE115">
            <v>11.58</v>
          </cell>
          <cell r="AF115">
            <v>2835</v>
          </cell>
        </row>
        <row r="116">
          <cell r="A116" t="str">
            <v>MAR</v>
          </cell>
          <cell r="B116" t="str">
            <v>P&amp;O Nedlloyd Marseille</v>
          </cell>
          <cell r="C116" t="str">
            <v>PON</v>
          </cell>
          <cell r="D116">
            <v>2720</v>
          </cell>
          <cell r="E116">
            <v>2720</v>
          </cell>
          <cell r="F116">
            <v>31333</v>
          </cell>
          <cell r="G116">
            <v>11.519485294117647</v>
          </cell>
          <cell r="H116">
            <v>18650</v>
          </cell>
          <cell r="I116">
            <v>6.8566176470588234</v>
          </cell>
          <cell r="J116">
            <v>32595</v>
          </cell>
          <cell r="K116">
            <v>11.983455882352942</v>
          </cell>
          <cell r="L116">
            <v>5</v>
          </cell>
          <cell r="N116">
            <v>27610</v>
          </cell>
          <cell r="O116">
            <v>10.150735294117647</v>
          </cell>
          <cell r="P116">
            <v>210.1</v>
          </cell>
          <cell r="Q116">
            <v>210.11</v>
          </cell>
          <cell r="R116">
            <v>32.26</v>
          </cell>
          <cell r="T116">
            <v>12.5</v>
          </cell>
          <cell r="V116">
            <v>19.399999999999999</v>
          </cell>
          <cell r="X116">
            <v>6.6176470588235288E-5</v>
          </cell>
          <cell r="Y116">
            <v>0.18</v>
          </cell>
          <cell r="AA116">
            <v>8.0882352941176477E-5</v>
          </cell>
          <cell r="AB116">
            <v>0.22</v>
          </cell>
          <cell r="AD116">
            <v>31500</v>
          </cell>
          <cell r="AE116">
            <v>11.58</v>
          </cell>
          <cell r="AF116">
            <v>2835</v>
          </cell>
        </row>
        <row r="117">
          <cell r="A117" t="str">
            <v>NWK</v>
          </cell>
          <cell r="B117" t="str">
            <v>P&amp;O Nedlloyd Newark</v>
          </cell>
          <cell r="C117" t="str">
            <v>PON</v>
          </cell>
          <cell r="D117">
            <v>2720</v>
          </cell>
          <cell r="E117">
            <v>2720</v>
          </cell>
          <cell r="F117">
            <v>31730</v>
          </cell>
          <cell r="G117">
            <v>11.665441176470589</v>
          </cell>
          <cell r="H117">
            <v>19976</v>
          </cell>
          <cell r="I117">
            <v>7.3441176470588232</v>
          </cell>
          <cell r="J117">
            <v>33348</v>
          </cell>
          <cell r="K117">
            <v>12.260294117647058</v>
          </cell>
          <cell r="L117">
            <v>5</v>
          </cell>
          <cell r="N117">
            <v>27558</v>
          </cell>
          <cell r="O117">
            <v>10.131617647058823</v>
          </cell>
          <cell r="P117">
            <v>192.5</v>
          </cell>
          <cell r="Q117">
            <v>210.11</v>
          </cell>
          <cell r="R117">
            <v>32.25</v>
          </cell>
          <cell r="T117">
            <v>12.8</v>
          </cell>
          <cell r="V117">
            <v>21.2</v>
          </cell>
          <cell r="X117">
            <v>6.5716911764705883E-5</v>
          </cell>
          <cell r="Y117">
            <v>0.17874999999999999</v>
          </cell>
          <cell r="AA117">
            <v>7.3111617647058822E-5</v>
          </cell>
          <cell r="AB117">
            <v>0.1988636</v>
          </cell>
          <cell r="AD117">
            <v>30000</v>
          </cell>
          <cell r="AE117">
            <v>11.03</v>
          </cell>
          <cell r="AF117">
            <v>2765</v>
          </cell>
        </row>
        <row r="118">
          <cell r="A118" t="str">
            <v>PSY</v>
          </cell>
          <cell r="B118" t="str">
            <v>P&amp;O Nedlloyd Stuyvesant</v>
          </cell>
          <cell r="C118" t="str">
            <v>PON</v>
          </cell>
          <cell r="D118">
            <v>6978</v>
          </cell>
          <cell r="F118">
            <v>80619</v>
          </cell>
          <cell r="G118">
            <v>11.553310404127258</v>
          </cell>
          <cell r="H118">
            <v>47457</v>
          </cell>
          <cell r="I118">
            <v>6.8009458297506447</v>
          </cell>
          <cell r="J118">
            <v>70922</v>
          </cell>
          <cell r="K118">
            <v>10.163657208369161</v>
          </cell>
          <cell r="L118">
            <v>7</v>
          </cell>
          <cell r="O118">
            <v>0</v>
          </cell>
          <cell r="P118">
            <v>299.99</v>
          </cell>
          <cell r="R118">
            <v>42.8</v>
          </cell>
          <cell r="T118">
            <v>14</v>
          </cell>
          <cell r="V118">
            <v>24.5</v>
          </cell>
          <cell r="X118">
            <v>4.3622115672759962E-5</v>
          </cell>
          <cell r="Y118">
            <v>0.304395123164519</v>
          </cell>
          <cell r="AA118">
            <v>5.2782888822295478E-5</v>
          </cell>
          <cell r="AB118">
            <v>0.36831899820197783</v>
          </cell>
          <cell r="AD118">
            <v>74000</v>
          </cell>
          <cell r="AE118">
            <v>10.6</v>
          </cell>
          <cell r="AF118">
            <v>6955</v>
          </cell>
        </row>
        <row r="119">
          <cell r="A119" t="str">
            <v>PSH</v>
          </cell>
          <cell r="B119" t="str">
            <v>P&amp;O Nedlloyd Shackleton</v>
          </cell>
          <cell r="C119" t="str">
            <v>PON</v>
          </cell>
          <cell r="D119">
            <v>6978</v>
          </cell>
          <cell r="F119">
            <v>80619</v>
          </cell>
          <cell r="G119">
            <v>11.553310404127258</v>
          </cell>
          <cell r="H119">
            <v>47457</v>
          </cell>
          <cell r="I119">
            <v>6.8009458297506447</v>
          </cell>
          <cell r="J119">
            <v>70922</v>
          </cell>
          <cell r="K119">
            <v>10.163657208369161</v>
          </cell>
          <cell r="L119">
            <v>7</v>
          </cell>
          <cell r="O119">
            <v>0</v>
          </cell>
          <cell r="P119">
            <v>299.99</v>
          </cell>
          <cell r="R119">
            <v>42.8</v>
          </cell>
          <cell r="T119">
            <v>14</v>
          </cell>
          <cell r="V119">
            <v>24.5</v>
          </cell>
          <cell r="X119">
            <v>4.3622115672759962E-5</v>
          </cell>
          <cell r="Y119">
            <v>0.304395123164519</v>
          </cell>
          <cell r="AA119">
            <v>5.2782888822295478E-5</v>
          </cell>
          <cell r="AB119">
            <v>0.36831899820197783</v>
          </cell>
          <cell r="AD119">
            <v>74000</v>
          </cell>
          <cell r="AE119">
            <v>10.6</v>
          </cell>
          <cell r="AF119">
            <v>6955</v>
          </cell>
        </row>
        <row r="120">
          <cell r="A120" t="str">
            <v>PCK</v>
          </cell>
          <cell r="B120" t="str">
            <v>P&amp;O Nedlloyd Cook</v>
          </cell>
          <cell r="C120" t="str">
            <v>PON</v>
          </cell>
          <cell r="D120">
            <v>6978</v>
          </cell>
          <cell r="F120">
            <v>80619</v>
          </cell>
          <cell r="G120">
            <v>11.553310404127258</v>
          </cell>
          <cell r="H120">
            <v>47457</v>
          </cell>
          <cell r="I120">
            <v>6.8009458297506447</v>
          </cell>
          <cell r="J120">
            <v>70922</v>
          </cell>
          <cell r="K120">
            <v>10.163657208369161</v>
          </cell>
          <cell r="L120">
            <v>7</v>
          </cell>
          <cell r="O120">
            <v>0</v>
          </cell>
          <cell r="P120">
            <v>299.99</v>
          </cell>
          <cell r="R120">
            <v>42.8</v>
          </cell>
          <cell r="T120">
            <v>14</v>
          </cell>
          <cell r="V120">
            <v>24.5</v>
          </cell>
          <cell r="X120">
            <v>4.3622115672759962E-5</v>
          </cell>
          <cell r="Y120">
            <v>0.304395123164519</v>
          </cell>
          <cell r="AA120">
            <v>5.2782888822295478E-5</v>
          </cell>
          <cell r="AB120">
            <v>0.36831899820197783</v>
          </cell>
          <cell r="AD120">
            <v>74000</v>
          </cell>
          <cell r="AE120">
            <v>10.6</v>
          </cell>
          <cell r="AF120">
            <v>6955</v>
          </cell>
        </row>
        <row r="121">
          <cell r="A121" t="str">
            <v>PNH</v>
          </cell>
          <cell r="B121" t="str">
            <v>P&amp;O Nedlloyd Houtman</v>
          </cell>
          <cell r="C121" t="str">
            <v>PON</v>
          </cell>
          <cell r="D121">
            <v>6978</v>
          </cell>
          <cell r="F121">
            <v>80619</v>
          </cell>
          <cell r="G121">
            <v>11.553310404127258</v>
          </cell>
          <cell r="H121">
            <v>47457</v>
          </cell>
          <cell r="I121">
            <v>6.8009458297506447</v>
          </cell>
          <cell r="J121">
            <v>70922</v>
          </cell>
          <cell r="K121">
            <v>10.163657208369161</v>
          </cell>
          <cell r="L121">
            <v>7</v>
          </cell>
          <cell r="O121">
            <v>0</v>
          </cell>
          <cell r="P121">
            <v>299.99</v>
          </cell>
          <cell r="R121">
            <v>42.8</v>
          </cell>
          <cell r="T121">
            <v>14</v>
          </cell>
          <cell r="V121">
            <v>24.5</v>
          </cell>
          <cell r="X121">
            <v>4.3622115672759962E-5</v>
          </cell>
          <cell r="Y121">
            <v>0.304395123164519</v>
          </cell>
          <cell r="AA121">
            <v>5.2782888822295478E-5</v>
          </cell>
          <cell r="AB121">
            <v>0.36831899820197783</v>
          </cell>
          <cell r="AD121">
            <v>74000</v>
          </cell>
          <cell r="AE121">
            <v>10.6</v>
          </cell>
          <cell r="AF121">
            <v>6955</v>
          </cell>
        </row>
        <row r="122">
          <cell r="A122" t="str">
            <v>MDQ</v>
          </cell>
          <cell r="C122" t="str">
            <v>PON</v>
          </cell>
          <cell r="D122">
            <v>8145</v>
          </cell>
        </row>
        <row r="123">
          <cell r="A123" t="str">
            <v>MHT</v>
          </cell>
          <cell r="C123" t="str">
            <v>PON</v>
          </cell>
          <cell r="D123">
            <v>8145</v>
          </cell>
        </row>
        <row r="124">
          <cell r="A124" t="str">
            <v>MCQ</v>
          </cell>
          <cell r="C124" t="str">
            <v>PON</v>
          </cell>
          <cell r="D124">
            <v>8145</v>
          </cell>
        </row>
        <row r="125">
          <cell r="A125" t="str">
            <v>MRQ</v>
          </cell>
          <cell r="C125" t="str">
            <v>PON</v>
          </cell>
          <cell r="D125">
            <v>8145</v>
          </cell>
        </row>
        <row r="126">
          <cell r="A126" t="str">
            <v>DMT</v>
          </cell>
          <cell r="C126" t="str">
            <v>PON</v>
          </cell>
          <cell r="D126">
            <v>3500</v>
          </cell>
        </row>
        <row r="127">
          <cell r="A127" t="str">
            <v>PDF</v>
          </cell>
          <cell r="C127" t="str">
            <v>PON</v>
          </cell>
          <cell r="D127">
            <v>4800</v>
          </cell>
        </row>
        <row r="128">
          <cell r="A128" t="str">
            <v>PDN</v>
          </cell>
          <cell r="C128" t="str">
            <v>PON</v>
          </cell>
          <cell r="D128">
            <v>4800</v>
          </cell>
        </row>
        <row r="129">
          <cell r="A129" t="str">
            <v>PDV</v>
          </cell>
          <cell r="C129" t="str">
            <v>PON</v>
          </cell>
          <cell r="D129">
            <v>4800</v>
          </cell>
        </row>
        <row r="130">
          <cell r="A130" t="str">
            <v>PDL</v>
          </cell>
          <cell r="C130" t="str">
            <v>PON</v>
          </cell>
          <cell r="D130">
            <v>4800</v>
          </cell>
        </row>
        <row r="131">
          <cell r="A131" t="str">
            <v>CHA</v>
          </cell>
          <cell r="C131" t="str">
            <v>PON</v>
          </cell>
          <cell r="D131">
            <v>4150</v>
          </cell>
        </row>
        <row r="132">
          <cell r="A132" t="str">
            <v>VIC</v>
          </cell>
          <cell r="C132" t="str">
            <v>PON</v>
          </cell>
          <cell r="D132">
            <v>4150</v>
          </cell>
        </row>
        <row r="133">
          <cell r="A133" t="str">
            <v>DET</v>
          </cell>
          <cell r="C133" t="str">
            <v>PON</v>
          </cell>
          <cell r="D133">
            <v>4800</v>
          </cell>
        </row>
        <row r="134">
          <cell r="A134" t="str">
            <v>DOH</v>
          </cell>
          <cell r="C134" t="str">
            <v>PON</v>
          </cell>
          <cell r="D134">
            <v>4800</v>
          </cell>
        </row>
        <row r="136">
          <cell r="A136" t="str">
            <v>OBT</v>
          </cell>
          <cell r="B136" t="str">
            <v>OOCL Britain</v>
          </cell>
          <cell r="C136" t="str">
            <v>OOL</v>
          </cell>
          <cell r="D136">
            <v>5400</v>
          </cell>
          <cell r="F136">
            <v>66046</v>
          </cell>
          <cell r="G136">
            <v>12.230740740740741</v>
          </cell>
          <cell r="H136">
            <v>30540</v>
          </cell>
          <cell r="I136">
            <v>5.6555555555555559</v>
          </cell>
          <cell r="J136">
            <v>55527</v>
          </cell>
          <cell r="K136">
            <v>10.282777777777778</v>
          </cell>
          <cell r="L136">
            <v>5</v>
          </cell>
          <cell r="O136">
            <v>0</v>
          </cell>
          <cell r="P136">
            <v>276.02</v>
          </cell>
          <cell r="R136">
            <v>40</v>
          </cell>
          <cell r="T136">
            <v>14</v>
          </cell>
          <cell r="V136">
            <v>24.3</v>
          </cell>
          <cell r="X136">
            <v>4.8000000000000001E-5</v>
          </cell>
          <cell r="Y136">
            <v>0.25919999999999999</v>
          </cell>
          <cell r="AA136">
            <v>5.7000000000000003E-5</v>
          </cell>
          <cell r="AB136">
            <v>0.30780000000000002</v>
          </cell>
          <cell r="AD136">
            <v>56700</v>
          </cell>
          <cell r="AE136">
            <v>10.5</v>
          </cell>
          <cell r="AF136">
            <v>5356</v>
          </cell>
        </row>
        <row r="137">
          <cell r="A137" t="str">
            <v>ONL</v>
          </cell>
          <cell r="B137" t="str">
            <v>OOCL Netherlands</v>
          </cell>
          <cell r="C137" t="str">
            <v>OOL</v>
          </cell>
          <cell r="D137">
            <v>5400</v>
          </cell>
          <cell r="F137">
            <v>66086</v>
          </cell>
          <cell r="G137">
            <v>12.238148148148149</v>
          </cell>
          <cell r="H137">
            <v>30853</v>
          </cell>
          <cell r="I137">
            <v>5.7135185185185184</v>
          </cell>
          <cell r="J137">
            <v>55555</v>
          </cell>
          <cell r="K137">
            <v>10.287962962962963</v>
          </cell>
          <cell r="L137">
            <v>6</v>
          </cell>
          <cell r="O137">
            <v>0</v>
          </cell>
          <cell r="P137">
            <v>276</v>
          </cell>
          <cell r="R137">
            <v>40</v>
          </cell>
          <cell r="T137">
            <v>14</v>
          </cell>
          <cell r="V137">
            <v>24.3</v>
          </cell>
          <cell r="X137">
            <v>4.8000000000000001E-5</v>
          </cell>
          <cell r="Y137">
            <v>0.25919999999999999</v>
          </cell>
          <cell r="AA137">
            <v>5.7000000000000003E-5</v>
          </cell>
          <cell r="AB137">
            <v>0.30780000000000002</v>
          </cell>
          <cell r="AD137">
            <v>56700</v>
          </cell>
          <cell r="AE137">
            <v>10.5</v>
          </cell>
          <cell r="AF137">
            <v>5356</v>
          </cell>
        </row>
        <row r="138">
          <cell r="A138" t="str">
            <v>OSG</v>
          </cell>
          <cell r="B138" t="str">
            <v>OOCL Singapore</v>
          </cell>
          <cell r="C138" t="str">
            <v>OOL</v>
          </cell>
          <cell r="D138">
            <v>5400</v>
          </cell>
          <cell r="F138">
            <v>66086</v>
          </cell>
          <cell r="G138">
            <v>12.238148148148149</v>
          </cell>
          <cell r="H138">
            <v>30853</v>
          </cell>
          <cell r="I138">
            <v>5.7135185185185184</v>
          </cell>
          <cell r="J138">
            <v>55555</v>
          </cell>
          <cell r="K138">
            <v>10.287962962962963</v>
          </cell>
          <cell r="L138">
            <v>6</v>
          </cell>
          <cell r="O138">
            <v>0</v>
          </cell>
          <cell r="P138">
            <v>276.02</v>
          </cell>
          <cell r="R138">
            <v>40</v>
          </cell>
          <cell r="T138">
            <v>14</v>
          </cell>
          <cell r="V138">
            <v>24.3</v>
          </cell>
          <cell r="X138">
            <v>4.8000000000000001E-5</v>
          </cell>
          <cell r="Y138">
            <v>0.25919999999999999</v>
          </cell>
          <cell r="AA138">
            <v>5.7000000000000003E-5</v>
          </cell>
          <cell r="AB138">
            <v>0.30780000000000002</v>
          </cell>
          <cell r="AD138">
            <v>56700</v>
          </cell>
          <cell r="AE138">
            <v>10.5</v>
          </cell>
          <cell r="AF138">
            <v>5356</v>
          </cell>
        </row>
        <row r="139">
          <cell r="A139" t="str">
            <v>OHK</v>
          </cell>
          <cell r="B139" t="str">
            <v>OOCL Hong Kong</v>
          </cell>
          <cell r="C139" t="str">
            <v>OOL</v>
          </cell>
          <cell r="D139">
            <v>5400</v>
          </cell>
          <cell r="F139">
            <v>66046</v>
          </cell>
          <cell r="G139">
            <v>12.230740740740741</v>
          </cell>
          <cell r="H139">
            <v>30540</v>
          </cell>
          <cell r="I139">
            <v>5.6555555555555559</v>
          </cell>
          <cell r="J139">
            <v>55527</v>
          </cell>
          <cell r="K139">
            <v>10.282777777777778</v>
          </cell>
          <cell r="L139">
            <v>5</v>
          </cell>
          <cell r="O139">
            <v>0</v>
          </cell>
          <cell r="P139">
            <v>276.02</v>
          </cell>
          <cell r="R139">
            <v>40</v>
          </cell>
          <cell r="T139">
            <v>14</v>
          </cell>
          <cell r="V139">
            <v>24.3</v>
          </cell>
          <cell r="X139">
            <v>4.8000000000000001E-5</v>
          </cell>
          <cell r="Y139">
            <v>0.25919999999999999</v>
          </cell>
          <cell r="AA139">
            <v>5.7000000000000003E-5</v>
          </cell>
          <cell r="AB139">
            <v>0.30780000000000002</v>
          </cell>
          <cell r="AD139">
            <v>56700</v>
          </cell>
          <cell r="AE139">
            <v>10.5</v>
          </cell>
          <cell r="AF139">
            <v>5356</v>
          </cell>
        </row>
        <row r="140">
          <cell r="A140" t="str">
            <v>OCI</v>
          </cell>
          <cell r="B140" t="str">
            <v>OOCL  China</v>
          </cell>
          <cell r="C140" t="str">
            <v>OOL</v>
          </cell>
          <cell r="D140">
            <v>5400</v>
          </cell>
          <cell r="F140">
            <v>66046</v>
          </cell>
          <cell r="G140">
            <v>12.230740740740741</v>
          </cell>
          <cell r="H140">
            <v>30540</v>
          </cell>
          <cell r="I140">
            <v>5.6555555555555559</v>
          </cell>
          <cell r="J140">
            <v>55527</v>
          </cell>
          <cell r="K140">
            <v>10.282777777777778</v>
          </cell>
          <cell r="L140">
            <v>5</v>
          </cell>
          <cell r="O140">
            <v>0</v>
          </cell>
          <cell r="P140">
            <v>276.02</v>
          </cell>
          <cell r="R140">
            <v>40</v>
          </cell>
          <cell r="T140">
            <v>14</v>
          </cell>
          <cell r="V140">
            <v>24.3</v>
          </cell>
          <cell r="X140">
            <v>4.8000000000000001E-5</v>
          </cell>
          <cell r="Y140">
            <v>0.25919999999999999</v>
          </cell>
          <cell r="AA140">
            <v>5.7000000000000003E-5</v>
          </cell>
          <cell r="AB140">
            <v>0.30780000000000002</v>
          </cell>
          <cell r="AD140">
            <v>56700</v>
          </cell>
          <cell r="AE140">
            <v>10.5</v>
          </cell>
          <cell r="AF140">
            <v>5356</v>
          </cell>
        </row>
        <row r="141">
          <cell r="A141" t="str">
            <v>OAE</v>
          </cell>
          <cell r="B141" t="str">
            <v>OOCL America</v>
          </cell>
          <cell r="C141" t="str">
            <v>OOL</v>
          </cell>
          <cell r="D141">
            <v>5400</v>
          </cell>
          <cell r="F141">
            <v>66046</v>
          </cell>
          <cell r="G141">
            <v>12.230740740740741</v>
          </cell>
          <cell r="H141">
            <v>30540</v>
          </cell>
          <cell r="I141">
            <v>5.6555555555555559</v>
          </cell>
          <cell r="J141">
            <v>55527</v>
          </cell>
          <cell r="K141">
            <v>10.282777777777778</v>
          </cell>
          <cell r="L141">
            <v>5</v>
          </cell>
          <cell r="O141">
            <v>0</v>
          </cell>
          <cell r="P141">
            <v>276.02</v>
          </cell>
          <cell r="R141">
            <v>40</v>
          </cell>
          <cell r="T141">
            <v>14</v>
          </cell>
          <cell r="V141">
            <v>24.3</v>
          </cell>
          <cell r="X141">
            <v>4.8000000000000001E-5</v>
          </cell>
          <cell r="Y141">
            <v>0.25919999999999999</v>
          </cell>
          <cell r="AA141">
            <v>5.7000000000000003E-5</v>
          </cell>
          <cell r="AB141">
            <v>0.30780000000000002</v>
          </cell>
          <cell r="AD141">
            <v>56700</v>
          </cell>
          <cell r="AE141">
            <v>10.5</v>
          </cell>
          <cell r="AF141">
            <v>5356</v>
          </cell>
        </row>
        <row r="142">
          <cell r="A142" t="str">
            <v>OJP</v>
          </cell>
          <cell r="B142" t="str">
            <v>OOCL Japan</v>
          </cell>
          <cell r="C142" t="str">
            <v>OOL</v>
          </cell>
          <cell r="D142">
            <v>5400</v>
          </cell>
          <cell r="F142">
            <v>66046</v>
          </cell>
          <cell r="G142">
            <v>12.230740740740741</v>
          </cell>
          <cell r="H142">
            <v>30540</v>
          </cell>
          <cell r="I142">
            <v>5.6555555555555559</v>
          </cell>
          <cell r="J142">
            <v>55527</v>
          </cell>
          <cell r="K142">
            <v>10.282777777777778</v>
          </cell>
          <cell r="L142">
            <v>5</v>
          </cell>
          <cell r="O142">
            <v>0</v>
          </cell>
          <cell r="P142">
            <v>276.02</v>
          </cell>
          <cell r="R142">
            <v>40</v>
          </cell>
          <cell r="T142">
            <v>14</v>
          </cell>
          <cell r="V142">
            <v>24.3</v>
          </cell>
          <cell r="X142">
            <v>4.8000000000000001E-5</v>
          </cell>
          <cell r="Y142">
            <v>0.25919999999999999</v>
          </cell>
          <cell r="AA142">
            <v>5.7000000000000003E-5</v>
          </cell>
          <cell r="AB142">
            <v>0.30780000000000002</v>
          </cell>
          <cell r="AD142">
            <v>56700</v>
          </cell>
          <cell r="AE142">
            <v>10.5</v>
          </cell>
          <cell r="AF142">
            <v>5356</v>
          </cell>
        </row>
        <row r="143">
          <cell r="A143" t="str">
            <v>OCF</v>
          </cell>
          <cell r="B143" t="str">
            <v>OOCL California</v>
          </cell>
          <cell r="C143" t="str">
            <v>OOL</v>
          </cell>
          <cell r="D143">
            <v>5400</v>
          </cell>
          <cell r="F143">
            <v>66046</v>
          </cell>
          <cell r="G143">
            <v>12.230740740740741</v>
          </cell>
          <cell r="H143">
            <v>30540</v>
          </cell>
          <cell r="I143">
            <v>5.6555555555555559</v>
          </cell>
          <cell r="J143">
            <v>55527</v>
          </cell>
          <cell r="K143">
            <v>10.282777777777778</v>
          </cell>
          <cell r="L143">
            <v>5</v>
          </cell>
          <cell r="O143">
            <v>0</v>
          </cell>
          <cell r="P143">
            <v>276.02</v>
          </cell>
          <cell r="R143">
            <v>40</v>
          </cell>
          <cell r="T143">
            <v>14</v>
          </cell>
          <cell r="V143">
            <v>24.3</v>
          </cell>
          <cell r="X143">
            <v>4.8000000000000001E-5</v>
          </cell>
          <cell r="Y143">
            <v>0.25919999999999999</v>
          </cell>
          <cell r="AA143">
            <v>5.7000000000000003E-5</v>
          </cell>
          <cell r="AB143">
            <v>0.30780000000000002</v>
          </cell>
          <cell r="AD143">
            <v>56700</v>
          </cell>
          <cell r="AE143">
            <v>10.5</v>
          </cell>
          <cell r="AF143">
            <v>5356</v>
          </cell>
        </row>
        <row r="144">
          <cell r="A144" t="str">
            <v>ONW</v>
          </cell>
          <cell r="B144" t="str">
            <v>OOCL New York</v>
          </cell>
          <cell r="C144" t="str">
            <v>OOL</v>
          </cell>
          <cell r="D144">
            <v>5738</v>
          </cell>
          <cell r="F144">
            <v>66289</v>
          </cell>
          <cell r="G144">
            <v>11.552631578947368</v>
          </cell>
          <cell r="H144">
            <v>33238</v>
          </cell>
          <cell r="I144">
            <v>5.7926106657371905</v>
          </cell>
          <cell r="J144">
            <v>58093</v>
          </cell>
          <cell r="K144">
            <v>10.124259323806204</v>
          </cell>
          <cell r="L144">
            <v>7</v>
          </cell>
          <cell r="O144">
            <v>0</v>
          </cell>
          <cell r="P144">
            <v>277</v>
          </cell>
          <cell r="R144">
            <v>40</v>
          </cell>
          <cell r="T144">
            <v>14</v>
          </cell>
          <cell r="V144">
            <v>24.3</v>
          </cell>
          <cell r="X144">
            <v>4.5057511327988847E-5</v>
          </cell>
          <cell r="Y144">
            <v>0.25853999999999999</v>
          </cell>
          <cell r="AA144">
            <v>5.3778319972115724E-5</v>
          </cell>
          <cell r="AB144">
            <v>0.30858000000000002</v>
          </cell>
          <cell r="AD144">
            <v>60720</v>
          </cell>
          <cell r="AE144">
            <v>10.58</v>
          </cell>
          <cell r="AF144">
            <v>5713</v>
          </cell>
        </row>
        <row r="145">
          <cell r="A145" t="str">
            <v>OSH</v>
          </cell>
          <cell r="B145" t="str">
            <v>OOCL Shanghai</v>
          </cell>
          <cell r="C145" t="str">
            <v>OOL</v>
          </cell>
          <cell r="D145">
            <v>5738</v>
          </cell>
          <cell r="F145">
            <v>66289</v>
          </cell>
          <cell r="G145">
            <v>11.552631578947368</v>
          </cell>
          <cell r="H145">
            <v>33238</v>
          </cell>
          <cell r="I145">
            <v>5.7926106657371905</v>
          </cell>
          <cell r="J145">
            <v>58093</v>
          </cell>
          <cell r="K145">
            <v>10.124259323806204</v>
          </cell>
          <cell r="L145">
            <v>7</v>
          </cell>
          <cell r="O145">
            <v>0</v>
          </cell>
          <cell r="P145">
            <v>277</v>
          </cell>
          <cell r="R145">
            <v>40</v>
          </cell>
          <cell r="T145">
            <v>14</v>
          </cell>
          <cell r="V145">
            <v>24.3</v>
          </cell>
          <cell r="X145">
            <v>4.5057511327988847E-5</v>
          </cell>
          <cell r="Y145">
            <v>0.25853999999999999</v>
          </cell>
          <cell r="AA145">
            <v>5.3778319972115724E-5</v>
          </cell>
          <cell r="AB145">
            <v>0.30858000000000002</v>
          </cell>
          <cell r="AD145">
            <v>60720</v>
          </cell>
          <cell r="AE145">
            <v>10.58</v>
          </cell>
          <cell r="AF145">
            <v>5713</v>
          </cell>
        </row>
        <row r="146">
          <cell r="A146" t="str">
            <v>OLA</v>
          </cell>
          <cell r="B146" t="str">
            <v>OOCL Los Angeles</v>
          </cell>
          <cell r="C146" t="str">
            <v>OOL</v>
          </cell>
          <cell r="D146">
            <v>5738</v>
          </cell>
          <cell r="F146">
            <v>66289</v>
          </cell>
          <cell r="G146">
            <v>11.552631578947368</v>
          </cell>
          <cell r="H146">
            <v>33238</v>
          </cell>
          <cell r="I146">
            <v>5.7926106657371905</v>
          </cell>
          <cell r="J146">
            <v>58093</v>
          </cell>
          <cell r="K146">
            <v>10.124259323806204</v>
          </cell>
          <cell r="L146">
            <v>7</v>
          </cell>
          <cell r="O146">
            <v>0</v>
          </cell>
          <cell r="P146">
            <v>277</v>
          </cell>
          <cell r="R146">
            <v>40</v>
          </cell>
          <cell r="T146">
            <v>14</v>
          </cell>
          <cell r="V146">
            <v>24.3</v>
          </cell>
          <cell r="X146">
            <v>4.5057511327988847E-5</v>
          </cell>
          <cell r="Y146">
            <v>0.25853999999999999</v>
          </cell>
          <cell r="AA146">
            <v>5.3778319972115724E-5</v>
          </cell>
          <cell r="AB146">
            <v>0.30858000000000002</v>
          </cell>
          <cell r="AD146">
            <v>60720</v>
          </cell>
          <cell r="AE146">
            <v>10.58</v>
          </cell>
          <cell r="AF146">
            <v>5713</v>
          </cell>
        </row>
        <row r="147">
          <cell r="A147" t="str">
            <v>OMY</v>
          </cell>
          <cell r="B147" t="str">
            <v>OOCL Malaysia</v>
          </cell>
          <cell r="C147" t="str">
            <v>OOL</v>
          </cell>
          <cell r="D147">
            <v>5738</v>
          </cell>
          <cell r="F147">
            <v>66289</v>
          </cell>
          <cell r="G147">
            <v>11.552631578947368</v>
          </cell>
          <cell r="H147">
            <v>33238</v>
          </cell>
          <cell r="I147">
            <v>5.7926106657371905</v>
          </cell>
          <cell r="J147">
            <v>58093</v>
          </cell>
          <cell r="K147">
            <v>10.124259323806204</v>
          </cell>
          <cell r="L147">
            <v>7</v>
          </cell>
          <cell r="O147">
            <v>0</v>
          </cell>
          <cell r="P147">
            <v>277</v>
          </cell>
          <cell r="R147">
            <v>40</v>
          </cell>
          <cell r="T147">
            <v>14</v>
          </cell>
          <cell r="V147">
            <v>24.3</v>
          </cell>
          <cell r="X147">
            <v>4.5057511327988847E-5</v>
          </cell>
          <cell r="Y147">
            <v>0.25853999999999999</v>
          </cell>
          <cell r="AA147">
            <v>5.5500000000000001E-5</v>
          </cell>
          <cell r="AB147">
            <v>0.30858000000000002</v>
          </cell>
          <cell r="AD147">
            <v>60720</v>
          </cell>
          <cell r="AE147">
            <v>10.58</v>
          </cell>
          <cell r="AF147">
            <v>5713</v>
          </cell>
        </row>
        <row r="148">
          <cell r="A148" t="str">
            <v>OFR</v>
          </cell>
          <cell r="B148" t="str">
            <v>OOCL Fair</v>
          </cell>
          <cell r="C148" t="str">
            <v>OOL</v>
          </cell>
          <cell r="D148">
            <v>2880</v>
          </cell>
          <cell r="E148">
            <v>2880</v>
          </cell>
          <cell r="F148">
            <v>40980</v>
          </cell>
          <cell r="G148">
            <v>14.229166666666666</v>
          </cell>
          <cell r="H148">
            <v>23885</v>
          </cell>
          <cell r="I148">
            <v>8.2934027777777786</v>
          </cell>
          <cell r="J148">
            <v>35311</v>
          </cell>
          <cell r="K148">
            <v>12.260763888888889</v>
          </cell>
          <cell r="L148">
            <v>5</v>
          </cell>
          <cell r="N148">
            <v>36836</v>
          </cell>
          <cell r="O148">
            <v>12.790277777777778</v>
          </cell>
          <cell r="P148">
            <v>242</v>
          </cell>
          <cell r="Q148">
            <v>242</v>
          </cell>
          <cell r="R148">
            <v>32.200000000000003</v>
          </cell>
          <cell r="T148">
            <v>12.52</v>
          </cell>
          <cell r="V148">
            <v>21.1</v>
          </cell>
          <cell r="X148">
            <v>6.4999999999999994E-5</v>
          </cell>
          <cell r="Y148">
            <v>0.18719999999999998</v>
          </cell>
          <cell r="AD148">
            <v>32120</v>
          </cell>
          <cell r="AE148">
            <v>11.15</v>
          </cell>
          <cell r="AF148">
            <v>2944</v>
          </cell>
        </row>
        <row r="149">
          <cell r="A149" t="str">
            <v>OFY</v>
          </cell>
          <cell r="B149" t="str">
            <v>OOCL Fidelity</v>
          </cell>
          <cell r="C149" t="str">
            <v>OOL</v>
          </cell>
          <cell r="D149">
            <v>2880</v>
          </cell>
          <cell r="E149">
            <v>2880</v>
          </cell>
          <cell r="F149">
            <v>40980</v>
          </cell>
          <cell r="G149">
            <v>14.229166666666666</v>
          </cell>
          <cell r="H149">
            <v>23885</v>
          </cell>
          <cell r="I149">
            <v>8.2934027777777786</v>
          </cell>
          <cell r="J149">
            <v>35311</v>
          </cell>
          <cell r="K149">
            <v>12.260763888888889</v>
          </cell>
          <cell r="L149">
            <v>5</v>
          </cell>
          <cell r="N149">
            <v>36792</v>
          </cell>
          <cell r="O149">
            <v>12.775</v>
          </cell>
          <cell r="P149">
            <v>241</v>
          </cell>
          <cell r="Q149">
            <v>241</v>
          </cell>
          <cell r="R149">
            <v>32.200000000000003</v>
          </cell>
          <cell r="T149">
            <v>12.52</v>
          </cell>
          <cell r="V149">
            <v>21.1</v>
          </cell>
          <cell r="X149">
            <v>6.4999999999999994E-5</v>
          </cell>
          <cell r="Y149">
            <v>0.18719999999999998</v>
          </cell>
          <cell r="AD149">
            <v>32120</v>
          </cell>
          <cell r="AE149">
            <v>11.15</v>
          </cell>
          <cell r="AF149">
            <v>2944</v>
          </cell>
        </row>
        <row r="150">
          <cell r="A150" t="str">
            <v>OFT</v>
          </cell>
          <cell r="B150" t="str">
            <v>OOCL Fortune</v>
          </cell>
          <cell r="C150" t="str">
            <v>OOL</v>
          </cell>
          <cell r="D150">
            <v>2880</v>
          </cell>
          <cell r="E150">
            <v>2880</v>
          </cell>
          <cell r="F150">
            <v>40978</v>
          </cell>
          <cell r="G150">
            <v>14.228472222222223</v>
          </cell>
          <cell r="H150">
            <v>23885</v>
          </cell>
          <cell r="I150">
            <v>8.2934027777777786</v>
          </cell>
          <cell r="J150">
            <v>35313</v>
          </cell>
          <cell r="K150">
            <v>12.261458333333334</v>
          </cell>
          <cell r="L150">
            <v>5</v>
          </cell>
          <cell r="N150">
            <v>36789</v>
          </cell>
          <cell r="O150">
            <v>12.773958333333333</v>
          </cell>
          <cell r="P150">
            <v>241</v>
          </cell>
          <cell r="Q150">
            <v>241</v>
          </cell>
          <cell r="R150">
            <v>32.200000000000003</v>
          </cell>
          <cell r="T150">
            <v>12.52</v>
          </cell>
          <cell r="V150">
            <v>21.1</v>
          </cell>
          <cell r="X150">
            <v>6.4999999999999994E-5</v>
          </cell>
          <cell r="Y150">
            <v>0.18719999999999998</v>
          </cell>
          <cell r="AD150">
            <v>32120</v>
          </cell>
          <cell r="AE150">
            <v>11.15</v>
          </cell>
          <cell r="AF150">
            <v>2944</v>
          </cell>
        </row>
        <row r="151">
          <cell r="A151" t="str">
            <v>OFA</v>
          </cell>
          <cell r="B151" t="str">
            <v>OOCL Faith</v>
          </cell>
          <cell r="C151" t="str">
            <v>OOL</v>
          </cell>
          <cell r="D151">
            <v>2880</v>
          </cell>
          <cell r="E151">
            <v>2880</v>
          </cell>
          <cell r="F151">
            <v>40980</v>
          </cell>
          <cell r="G151">
            <v>14.229166666666666</v>
          </cell>
          <cell r="H151">
            <v>23885</v>
          </cell>
          <cell r="I151">
            <v>8.2934027777777786</v>
          </cell>
          <cell r="J151">
            <v>35311</v>
          </cell>
          <cell r="K151">
            <v>12.260763888888889</v>
          </cell>
          <cell r="L151">
            <v>5</v>
          </cell>
          <cell r="N151">
            <v>36739</v>
          </cell>
          <cell r="O151">
            <v>12.756597222222222</v>
          </cell>
          <cell r="P151">
            <v>241</v>
          </cell>
          <cell r="Q151">
            <v>241</v>
          </cell>
          <cell r="R151">
            <v>32.200000000000003</v>
          </cell>
          <cell r="T151">
            <v>12.52</v>
          </cell>
          <cell r="V151">
            <v>21.1</v>
          </cell>
          <cell r="X151">
            <v>6.4999999999999994E-5</v>
          </cell>
          <cell r="Y151">
            <v>0.18719999999999998</v>
          </cell>
          <cell r="AD151">
            <v>32120</v>
          </cell>
          <cell r="AE151">
            <v>11.15</v>
          </cell>
          <cell r="AF151">
            <v>2944</v>
          </cell>
        </row>
        <row r="152">
          <cell r="A152" t="str">
            <v>OFD</v>
          </cell>
          <cell r="B152" t="str">
            <v>OOCL Freedom</v>
          </cell>
          <cell r="C152" t="str">
            <v>OOL</v>
          </cell>
          <cell r="D152">
            <v>2880</v>
          </cell>
          <cell r="E152">
            <v>2880</v>
          </cell>
          <cell r="F152">
            <v>40978</v>
          </cell>
          <cell r="G152">
            <v>14.228472222222223</v>
          </cell>
          <cell r="H152">
            <v>23885</v>
          </cell>
          <cell r="I152">
            <v>8.2934027777777786</v>
          </cell>
          <cell r="J152">
            <v>35319</v>
          </cell>
          <cell r="K152">
            <v>12.263541666666667</v>
          </cell>
          <cell r="L152">
            <v>5</v>
          </cell>
          <cell r="N152">
            <v>36820</v>
          </cell>
          <cell r="O152">
            <v>12.784722222222221</v>
          </cell>
          <cell r="P152">
            <v>241</v>
          </cell>
          <cell r="Q152">
            <v>241</v>
          </cell>
          <cell r="R152">
            <v>32.200000000000003</v>
          </cell>
          <cell r="T152">
            <v>12.52</v>
          </cell>
          <cell r="V152">
            <v>21.1</v>
          </cell>
          <cell r="X152">
            <v>6.4999999999999994E-5</v>
          </cell>
          <cell r="Y152">
            <v>0.18719999999999998</v>
          </cell>
          <cell r="AD152">
            <v>32120</v>
          </cell>
          <cell r="AE152">
            <v>11.15</v>
          </cell>
          <cell r="AF152">
            <v>2944</v>
          </cell>
        </row>
        <row r="153">
          <cell r="A153" t="str">
            <v>OFH</v>
          </cell>
          <cell r="B153" t="str">
            <v>OOCL Friendship</v>
          </cell>
          <cell r="C153" t="str">
            <v>OOL</v>
          </cell>
          <cell r="D153">
            <v>2930</v>
          </cell>
          <cell r="E153">
            <v>2880</v>
          </cell>
          <cell r="F153">
            <v>42023</v>
          </cell>
          <cell r="G153">
            <v>14.342320819112627</v>
          </cell>
          <cell r="H153">
            <v>21112</v>
          </cell>
          <cell r="I153">
            <v>7.2054607508532422</v>
          </cell>
          <cell r="J153">
            <v>37083</v>
          </cell>
          <cell r="K153">
            <v>12.656313993174061</v>
          </cell>
          <cell r="L153">
            <v>5</v>
          </cell>
          <cell r="N153">
            <v>37665</v>
          </cell>
          <cell r="O153">
            <v>12.854948805460751</v>
          </cell>
          <cell r="P153">
            <v>249</v>
          </cell>
          <cell r="Q153">
            <v>249</v>
          </cell>
          <cell r="R153">
            <v>32.200000000000003</v>
          </cell>
          <cell r="T153">
            <v>12.52</v>
          </cell>
          <cell r="V153">
            <v>21.1</v>
          </cell>
          <cell r="X153">
            <v>6.4999999999999994E-5</v>
          </cell>
          <cell r="Y153">
            <v>0.19044999999999998</v>
          </cell>
          <cell r="AD153">
            <v>33120</v>
          </cell>
          <cell r="AE153">
            <v>11.3</v>
          </cell>
          <cell r="AF153">
            <v>3016</v>
          </cell>
        </row>
        <row r="154">
          <cell r="A154" t="str">
            <v>OCG</v>
          </cell>
          <cell r="B154" t="str">
            <v>OOCL Chicago</v>
          </cell>
          <cell r="C154" t="str">
            <v>OOL</v>
          </cell>
          <cell r="D154">
            <v>5720</v>
          </cell>
          <cell r="F154">
            <v>66677</v>
          </cell>
          <cell r="G154">
            <v>11.656818181818181</v>
          </cell>
          <cell r="H154">
            <v>39516</v>
          </cell>
          <cell r="I154">
            <v>6.9083916083916082</v>
          </cell>
          <cell r="J154">
            <v>68961</v>
          </cell>
          <cell r="K154">
            <v>12.056118881118881</v>
          </cell>
          <cell r="L154">
            <v>6</v>
          </cell>
          <cell r="O154">
            <v>0</v>
          </cell>
          <cell r="P154">
            <v>277</v>
          </cell>
          <cell r="R154">
            <v>40</v>
          </cell>
          <cell r="T154">
            <v>14</v>
          </cell>
          <cell r="V154">
            <v>24.3</v>
          </cell>
          <cell r="X154">
            <v>4.5199300699300697E-5</v>
          </cell>
          <cell r="Y154">
            <v>0.25853999999999999</v>
          </cell>
          <cell r="AA154">
            <v>5.394755244755245E-5</v>
          </cell>
          <cell r="AB154">
            <v>0.30858000000000002</v>
          </cell>
          <cell r="AD154">
            <v>62350</v>
          </cell>
          <cell r="AE154">
            <v>10.9</v>
          </cell>
          <cell r="AF154">
            <v>5780</v>
          </cell>
        </row>
        <row r="155">
          <cell r="A155" t="str">
            <v>OFN</v>
          </cell>
          <cell r="B155" t="str">
            <v>OOCL France</v>
          </cell>
          <cell r="C155" t="str">
            <v>OOL</v>
          </cell>
          <cell r="D155">
            <v>5738</v>
          </cell>
          <cell r="F155">
            <v>66289</v>
          </cell>
          <cell r="G155">
            <v>11.552631578947368</v>
          </cell>
          <cell r="H155">
            <v>33238</v>
          </cell>
          <cell r="I155">
            <v>5.7926106657371905</v>
          </cell>
          <cell r="J155">
            <v>58093</v>
          </cell>
          <cell r="K155">
            <v>10.124259323806204</v>
          </cell>
          <cell r="L155">
            <v>7</v>
          </cell>
          <cell r="O155">
            <v>0</v>
          </cell>
          <cell r="P155">
            <v>277</v>
          </cell>
          <cell r="R155">
            <v>40</v>
          </cell>
          <cell r="T155">
            <v>14</v>
          </cell>
          <cell r="V155">
            <v>24.3</v>
          </cell>
          <cell r="X155">
            <v>4.5057511327988847E-5</v>
          </cell>
          <cell r="Y155">
            <v>0.25853999999999999</v>
          </cell>
          <cell r="AA155">
            <v>5.3778319972115724E-5</v>
          </cell>
          <cell r="AB155">
            <v>0.30858000000000002</v>
          </cell>
          <cell r="AD155">
            <v>60720</v>
          </cell>
          <cell r="AE155">
            <v>10.58</v>
          </cell>
          <cell r="AF155">
            <v>5713</v>
          </cell>
        </row>
        <row r="156">
          <cell r="A156" t="str">
            <v>OGM</v>
          </cell>
          <cell r="B156" t="str">
            <v>OOCL Germany</v>
          </cell>
          <cell r="C156" t="str">
            <v>OOL</v>
          </cell>
          <cell r="D156">
            <v>5738</v>
          </cell>
          <cell r="F156">
            <v>66289</v>
          </cell>
          <cell r="G156">
            <v>11.552631578947368</v>
          </cell>
          <cell r="H156">
            <v>33238</v>
          </cell>
          <cell r="I156">
            <v>5.7926106657371905</v>
          </cell>
          <cell r="J156">
            <v>58093</v>
          </cell>
          <cell r="K156">
            <v>10.124259323806204</v>
          </cell>
          <cell r="L156">
            <v>7</v>
          </cell>
          <cell r="O156">
            <v>0</v>
          </cell>
          <cell r="P156">
            <v>277</v>
          </cell>
          <cell r="R156">
            <v>40</v>
          </cell>
          <cell r="T156">
            <v>14</v>
          </cell>
          <cell r="V156">
            <v>24.3</v>
          </cell>
          <cell r="X156">
            <v>4.5057511327988847E-5</v>
          </cell>
          <cell r="Y156">
            <v>0.25853999999999999</v>
          </cell>
          <cell r="AA156">
            <v>5.3778319972115724E-5</v>
          </cell>
          <cell r="AB156">
            <v>0.30858000000000002</v>
          </cell>
          <cell r="AD156">
            <v>60720</v>
          </cell>
          <cell r="AE156">
            <v>10.58</v>
          </cell>
          <cell r="AF156">
            <v>5713</v>
          </cell>
        </row>
        <row r="157">
          <cell r="A157" t="str">
            <v>OKE</v>
          </cell>
          <cell r="B157" t="str">
            <v>OOCL Korea</v>
          </cell>
          <cell r="C157" t="str">
            <v>OOL</v>
          </cell>
          <cell r="D157">
            <v>5770</v>
          </cell>
          <cell r="F157">
            <v>66289</v>
          </cell>
          <cell r="G157">
            <v>11.488561525129983</v>
          </cell>
          <cell r="H157">
            <v>33238</v>
          </cell>
          <cell r="I157">
            <v>5.7604852686308492</v>
          </cell>
          <cell r="J157">
            <v>58093</v>
          </cell>
          <cell r="K157">
            <v>10.068110918544194</v>
          </cell>
          <cell r="L157">
            <v>7</v>
          </cell>
          <cell r="O157">
            <v>0</v>
          </cell>
          <cell r="P157">
            <v>277</v>
          </cell>
          <cell r="R157">
            <v>40</v>
          </cell>
          <cell r="T157">
            <v>14</v>
          </cell>
          <cell r="V157">
            <v>24.3</v>
          </cell>
          <cell r="X157">
            <v>4.4807625649913347E-5</v>
          </cell>
          <cell r="Y157">
            <v>0.25853999999999999</v>
          </cell>
          <cell r="AA157">
            <v>5.3480069324090125E-5</v>
          </cell>
          <cell r="AB157">
            <v>0.30858000000000002</v>
          </cell>
          <cell r="AD157">
            <v>60720</v>
          </cell>
          <cell r="AE157">
            <v>10.52</v>
          </cell>
          <cell r="AF157">
            <v>5729</v>
          </cell>
        </row>
        <row r="158">
          <cell r="A158" t="str">
            <v>OTH</v>
          </cell>
          <cell r="B158" t="str">
            <v>OOCL Thailand</v>
          </cell>
          <cell r="C158" t="str">
            <v>OOL</v>
          </cell>
          <cell r="D158">
            <v>5770</v>
          </cell>
          <cell r="F158">
            <v>66289</v>
          </cell>
          <cell r="G158">
            <v>11.488561525129983</v>
          </cell>
          <cell r="H158">
            <v>33238</v>
          </cell>
          <cell r="I158">
            <v>5.7604852686308492</v>
          </cell>
          <cell r="J158">
            <v>58093</v>
          </cell>
          <cell r="K158">
            <v>10.068110918544194</v>
          </cell>
          <cell r="L158">
            <v>7</v>
          </cell>
          <cell r="O158">
            <v>0</v>
          </cell>
          <cell r="P158">
            <v>277</v>
          </cell>
          <cell r="R158">
            <v>40</v>
          </cell>
          <cell r="T158">
            <v>14</v>
          </cell>
          <cell r="V158">
            <v>24.3</v>
          </cell>
          <cell r="X158">
            <v>4.4807625649913347E-5</v>
          </cell>
          <cell r="Y158">
            <v>0.25853999999999999</v>
          </cell>
          <cell r="AA158">
            <v>5.3480069324090125E-5</v>
          </cell>
          <cell r="AB158">
            <v>0.30858000000000002</v>
          </cell>
          <cell r="AD158">
            <v>60720</v>
          </cell>
          <cell r="AE158">
            <v>10.52</v>
          </cell>
          <cell r="AF158">
            <v>5729</v>
          </cell>
        </row>
        <row r="159">
          <cell r="A159" t="str">
            <v>OSF</v>
          </cell>
          <cell r="B159" t="str">
            <v>OOCL San Francisco</v>
          </cell>
          <cell r="C159" t="str">
            <v>OOL</v>
          </cell>
          <cell r="D159">
            <v>5720</v>
          </cell>
          <cell r="F159">
            <v>66677</v>
          </cell>
          <cell r="G159">
            <v>11.656818181818181</v>
          </cell>
          <cell r="H159">
            <v>39516</v>
          </cell>
          <cell r="I159">
            <v>6.9083916083916082</v>
          </cell>
          <cell r="J159">
            <v>68961</v>
          </cell>
          <cell r="K159">
            <v>12.056118881118881</v>
          </cell>
          <cell r="L159">
            <v>6</v>
          </cell>
          <cell r="O159">
            <v>0</v>
          </cell>
          <cell r="P159">
            <v>277.39999999999998</v>
          </cell>
          <cell r="R159">
            <v>40</v>
          </cell>
          <cell r="T159">
            <v>14</v>
          </cell>
          <cell r="V159">
            <v>24.3</v>
          </cell>
          <cell r="X159">
            <v>4.5199300699300697E-5</v>
          </cell>
          <cell r="Y159">
            <v>0.25853999999999999</v>
          </cell>
          <cell r="AA159">
            <v>5.394755244755245E-5</v>
          </cell>
          <cell r="AB159">
            <v>0.30858000000000002</v>
          </cell>
          <cell r="AD159">
            <v>62350</v>
          </cell>
          <cell r="AE159">
            <v>10.9</v>
          </cell>
          <cell r="AF159">
            <v>5780</v>
          </cell>
        </row>
        <row r="160">
          <cell r="A160" t="str">
            <v>OSZ</v>
          </cell>
          <cell r="B160" t="str">
            <v>OOCL Shezhen</v>
          </cell>
          <cell r="C160" t="str">
            <v>OOL</v>
          </cell>
          <cell r="D160">
            <v>7859</v>
          </cell>
          <cell r="F160">
            <v>89097</v>
          </cell>
          <cell r="G160">
            <v>11.336938541799212</v>
          </cell>
          <cell r="H160">
            <v>37326</v>
          </cell>
          <cell r="I160">
            <v>4.7494592187301183</v>
          </cell>
          <cell r="J160">
            <v>78500</v>
          </cell>
          <cell r="K160">
            <v>9.9885481613436831</v>
          </cell>
          <cell r="L160">
            <v>7</v>
          </cell>
          <cell r="O160">
            <v>0</v>
          </cell>
          <cell r="P160">
            <v>322.971</v>
          </cell>
          <cell r="R160">
            <v>42.8</v>
          </cell>
          <cell r="T160">
            <v>14.5</v>
          </cell>
          <cell r="V160">
            <v>24.6</v>
          </cell>
          <cell r="X160">
            <v>3.3456928362387073E-5</v>
          </cell>
          <cell r="Y160">
            <v>0.26293800000000001</v>
          </cell>
          <cell r="AA160">
            <v>4.0973151800483522E-5</v>
          </cell>
          <cell r="AB160">
            <v>0.32200800000000002</v>
          </cell>
          <cell r="AD160">
            <v>87500</v>
          </cell>
          <cell r="AE160">
            <v>11.13</v>
          </cell>
          <cell r="AF160">
            <v>8028</v>
          </cell>
        </row>
        <row r="161">
          <cell r="A161" t="str">
            <v>OLB</v>
          </cell>
          <cell r="B161" t="str">
            <v>OOCL Long Beach</v>
          </cell>
          <cell r="C161" t="str">
            <v>OOL</v>
          </cell>
          <cell r="D161">
            <v>7859</v>
          </cell>
          <cell r="F161">
            <v>89097</v>
          </cell>
          <cell r="G161">
            <v>11.336938541799212</v>
          </cell>
          <cell r="H161">
            <v>37326</v>
          </cell>
          <cell r="I161">
            <v>4.7494592187301183</v>
          </cell>
          <cell r="J161">
            <v>78500</v>
          </cell>
          <cell r="K161">
            <v>9.9885481613436831</v>
          </cell>
          <cell r="L161">
            <v>7</v>
          </cell>
          <cell r="O161">
            <v>0</v>
          </cell>
          <cell r="P161">
            <v>322.971</v>
          </cell>
          <cell r="R161">
            <v>42.8</v>
          </cell>
          <cell r="T161">
            <v>14.5</v>
          </cell>
          <cell r="V161">
            <v>24.6</v>
          </cell>
          <cell r="X161">
            <v>3.3456928362387073E-5</v>
          </cell>
          <cell r="Y161">
            <v>0.26293800000000001</v>
          </cell>
          <cell r="AA161">
            <v>4.0973151800483522E-5</v>
          </cell>
          <cell r="AB161">
            <v>0.32200800000000002</v>
          </cell>
          <cell r="AD161">
            <v>87500</v>
          </cell>
          <cell r="AE161">
            <v>11.13</v>
          </cell>
          <cell r="AF161">
            <v>8028</v>
          </cell>
        </row>
        <row r="162">
          <cell r="A162" t="str">
            <v>ORT</v>
          </cell>
          <cell r="B162" t="str">
            <v>OOCL Rotterdam</v>
          </cell>
          <cell r="C162" t="str">
            <v>OOL</v>
          </cell>
          <cell r="D162">
            <v>7859</v>
          </cell>
          <cell r="F162">
            <v>89097</v>
          </cell>
          <cell r="G162">
            <v>11.336938541799212</v>
          </cell>
          <cell r="H162">
            <v>37326</v>
          </cell>
          <cell r="I162">
            <v>4.7494592187301183</v>
          </cell>
          <cell r="J162">
            <v>78500</v>
          </cell>
          <cell r="K162">
            <v>9.9885481613436831</v>
          </cell>
          <cell r="L162">
            <v>7</v>
          </cell>
          <cell r="O162">
            <v>0</v>
          </cell>
          <cell r="P162">
            <v>322.971</v>
          </cell>
          <cell r="R162">
            <v>42.8</v>
          </cell>
          <cell r="T162">
            <v>14.5</v>
          </cell>
          <cell r="V162">
            <v>24.6</v>
          </cell>
          <cell r="X162">
            <v>3.3456928362387073E-5</v>
          </cell>
          <cell r="Y162">
            <v>0.26293800000000001</v>
          </cell>
          <cell r="AA162">
            <v>4.0973151800483522E-5</v>
          </cell>
          <cell r="AB162">
            <v>0.32200800000000002</v>
          </cell>
          <cell r="AD162">
            <v>87500</v>
          </cell>
          <cell r="AE162">
            <v>11.13</v>
          </cell>
          <cell r="AF162">
            <v>8028</v>
          </cell>
        </row>
        <row r="163">
          <cell r="A163" t="str">
            <v>OHB</v>
          </cell>
          <cell r="B163" t="str">
            <v>OOCL Hamburg</v>
          </cell>
          <cell r="C163" t="str">
            <v>OOL</v>
          </cell>
          <cell r="D163">
            <v>7859</v>
          </cell>
          <cell r="F163">
            <v>89097</v>
          </cell>
          <cell r="G163">
            <v>11.336938541799212</v>
          </cell>
          <cell r="H163">
            <v>37326</v>
          </cell>
          <cell r="I163">
            <v>4.7494592187301183</v>
          </cell>
          <cell r="J163">
            <v>78500</v>
          </cell>
          <cell r="K163">
            <v>9.9885481613436831</v>
          </cell>
          <cell r="L163">
            <v>7</v>
          </cell>
          <cell r="O163">
            <v>0</v>
          </cell>
          <cell r="P163">
            <v>322.971</v>
          </cell>
          <cell r="R163">
            <v>42.8</v>
          </cell>
          <cell r="T163">
            <v>14.5</v>
          </cell>
          <cell r="V163">
            <v>24.6</v>
          </cell>
          <cell r="X163">
            <v>3.3456928362387073E-5</v>
          </cell>
          <cell r="Y163">
            <v>0.26293800000000001</v>
          </cell>
          <cell r="AA163">
            <v>4.0973151800483522E-5</v>
          </cell>
          <cell r="AB163">
            <v>0.32200800000000002</v>
          </cell>
          <cell r="AD163">
            <v>87500</v>
          </cell>
          <cell r="AE163">
            <v>11.13</v>
          </cell>
          <cell r="AF163">
            <v>8028</v>
          </cell>
        </row>
        <row r="164">
          <cell r="A164" t="str">
            <v>OQD</v>
          </cell>
          <cell r="B164" t="str">
            <v>OOCL Qingdao</v>
          </cell>
          <cell r="C164" t="str">
            <v>OOL</v>
          </cell>
          <cell r="D164">
            <v>7859</v>
          </cell>
          <cell r="F164">
            <v>89097</v>
          </cell>
          <cell r="G164">
            <v>11.336938541799212</v>
          </cell>
          <cell r="H164">
            <v>37326</v>
          </cell>
          <cell r="I164">
            <v>4.7494592187301183</v>
          </cell>
          <cell r="J164">
            <v>78500</v>
          </cell>
          <cell r="K164">
            <v>9.9885481613436831</v>
          </cell>
          <cell r="L164">
            <v>7</v>
          </cell>
          <cell r="O164">
            <v>0</v>
          </cell>
          <cell r="P164">
            <v>322.971</v>
          </cell>
          <cell r="R164">
            <v>42.8</v>
          </cell>
          <cell r="T164">
            <v>14.5</v>
          </cell>
          <cell r="V164">
            <v>24.6</v>
          </cell>
          <cell r="X164">
            <v>3.3456928362387073E-5</v>
          </cell>
          <cell r="Y164">
            <v>0.26293800000000001</v>
          </cell>
          <cell r="AA164">
            <v>4.0973151800483522E-5</v>
          </cell>
          <cell r="AB164">
            <v>0.32200800000000002</v>
          </cell>
          <cell r="AD164">
            <v>87500</v>
          </cell>
          <cell r="AE164">
            <v>11.13</v>
          </cell>
          <cell r="AF164">
            <v>8028</v>
          </cell>
        </row>
        <row r="165">
          <cell r="A165" t="str">
            <v>ONB</v>
          </cell>
          <cell r="B165" t="str">
            <v>OOCL Ningbo</v>
          </cell>
          <cell r="C165" t="str">
            <v>OOL</v>
          </cell>
          <cell r="D165">
            <v>7859</v>
          </cell>
          <cell r="F165">
            <v>89097</v>
          </cell>
          <cell r="G165">
            <v>11.336938541799212</v>
          </cell>
          <cell r="H165">
            <v>37326</v>
          </cell>
          <cell r="I165">
            <v>4.7494592187301183</v>
          </cell>
          <cell r="J165">
            <v>78500</v>
          </cell>
          <cell r="K165">
            <v>9.9885481613436831</v>
          </cell>
          <cell r="L165">
            <v>7</v>
          </cell>
          <cell r="O165">
            <v>0</v>
          </cell>
          <cell r="P165">
            <v>322.971</v>
          </cell>
          <cell r="R165">
            <v>42.8</v>
          </cell>
          <cell r="T165">
            <v>14.5</v>
          </cell>
          <cell r="V165">
            <v>24.6</v>
          </cell>
          <cell r="X165">
            <v>3.3456928362387073E-5</v>
          </cell>
          <cell r="Y165">
            <v>0.26293800000000001</v>
          </cell>
          <cell r="AA165">
            <v>4.0973151800483522E-5</v>
          </cell>
          <cell r="AB165">
            <v>0.32200800000000002</v>
          </cell>
          <cell r="AD165">
            <v>87500</v>
          </cell>
          <cell r="AE165">
            <v>11.13</v>
          </cell>
          <cell r="AF165">
            <v>8028</v>
          </cell>
        </row>
        <row r="166">
          <cell r="A166" t="str">
            <v>OAT</v>
          </cell>
          <cell r="C166" t="str">
            <v>OOL</v>
          </cell>
          <cell r="D166">
            <v>7859</v>
          </cell>
        </row>
        <row r="167">
          <cell r="A167" t="str">
            <v>OTJ</v>
          </cell>
          <cell r="C167" t="str">
            <v>OOL</v>
          </cell>
          <cell r="D167">
            <v>7859</v>
          </cell>
        </row>
        <row r="168">
          <cell r="A168" t="str">
            <v>OL9</v>
          </cell>
          <cell r="C168" t="str">
            <v>OOL</v>
          </cell>
          <cell r="D168">
            <v>5888</v>
          </cell>
        </row>
        <row r="170">
          <cell r="A170" t="str">
            <v>MIS</v>
          </cell>
          <cell r="C170" t="str">
            <v>MIS</v>
          </cell>
          <cell r="D170">
            <v>3600</v>
          </cell>
          <cell r="F170">
            <v>53521</v>
          </cell>
          <cell r="G170">
            <v>12.163863636363637</v>
          </cell>
          <cell r="H170">
            <v>22417</v>
          </cell>
          <cell r="I170">
            <v>5.0947727272727272</v>
          </cell>
          <cell r="J170">
            <v>42851</v>
          </cell>
          <cell r="K170">
            <v>9.7388636363636358</v>
          </cell>
          <cell r="L170">
            <v>5</v>
          </cell>
          <cell r="O170">
            <v>0</v>
          </cell>
          <cell r="P170">
            <v>275</v>
          </cell>
          <cell r="R170">
            <v>37.1</v>
          </cell>
          <cell r="T170">
            <v>13.6</v>
          </cell>
          <cell r="V170">
            <v>21.7</v>
          </cell>
          <cell r="X170">
            <v>5.2294090909090908E-5</v>
          </cell>
          <cell r="Y170">
            <v>0.23009399999999999</v>
          </cell>
          <cell r="AA170">
            <v>6.3069772727272728E-5</v>
          </cell>
          <cell r="AB170">
            <v>0.277507</v>
          </cell>
          <cell r="AD170">
            <v>46650</v>
          </cell>
          <cell r="AE170">
            <v>10.6</v>
          </cell>
          <cell r="AF170">
            <v>4385</v>
          </cell>
        </row>
        <row r="171">
          <cell r="A171" t="str">
            <v>BPG</v>
          </cell>
          <cell r="B171" t="str">
            <v>Bunga Pelangi</v>
          </cell>
          <cell r="C171" t="str">
            <v>MIS</v>
          </cell>
          <cell r="D171">
            <v>4400</v>
          </cell>
          <cell r="F171">
            <v>53521</v>
          </cell>
          <cell r="G171">
            <v>12.163863636363637</v>
          </cell>
          <cell r="H171">
            <v>22417</v>
          </cell>
          <cell r="I171">
            <v>5.0947727272727272</v>
          </cell>
          <cell r="J171">
            <v>42851</v>
          </cell>
          <cell r="K171">
            <v>9.7388636363636358</v>
          </cell>
          <cell r="L171">
            <v>5</v>
          </cell>
          <cell r="O171">
            <v>0</v>
          </cell>
          <cell r="P171">
            <v>275</v>
          </cell>
          <cell r="R171">
            <v>37.1</v>
          </cell>
          <cell r="T171">
            <v>13.6</v>
          </cell>
          <cell r="V171">
            <v>21.7</v>
          </cell>
          <cell r="X171">
            <v>5.2294090909090908E-5</v>
          </cell>
          <cell r="Y171">
            <v>0.23009399999999999</v>
          </cell>
          <cell r="AA171">
            <v>6.3069772727272728E-5</v>
          </cell>
          <cell r="AB171">
            <v>0.277507</v>
          </cell>
          <cell r="AD171">
            <v>46650</v>
          </cell>
          <cell r="AE171">
            <v>10.6</v>
          </cell>
          <cell r="AF171">
            <v>4385</v>
          </cell>
        </row>
        <row r="172">
          <cell r="A172" t="str">
            <v>BPD</v>
          </cell>
          <cell r="B172" t="str">
            <v>Bunga Pelangi Dua</v>
          </cell>
          <cell r="C172" t="str">
            <v>MIS</v>
          </cell>
          <cell r="D172">
            <v>4400</v>
          </cell>
          <cell r="F172">
            <v>53379</v>
          </cell>
          <cell r="G172">
            <v>12.131590909090908</v>
          </cell>
          <cell r="H172">
            <v>31584</v>
          </cell>
          <cell r="I172">
            <v>7.1781818181818178</v>
          </cell>
          <cell r="J172">
            <v>44728</v>
          </cell>
          <cell r="K172">
            <v>10.165454545454546</v>
          </cell>
          <cell r="L172">
            <v>5</v>
          </cell>
          <cell r="O172">
            <v>0</v>
          </cell>
          <cell r="P172">
            <v>276</v>
          </cell>
          <cell r="R172">
            <v>37.1</v>
          </cell>
          <cell r="T172">
            <v>13.6</v>
          </cell>
          <cell r="V172">
            <v>21.7</v>
          </cell>
          <cell r="X172">
            <v>5.2294090909090908E-5</v>
          </cell>
          <cell r="Y172">
            <v>0.23009399999999999</v>
          </cell>
          <cell r="AA172">
            <v>6.3069772727272728E-5</v>
          </cell>
          <cell r="AB172">
            <v>0.277507</v>
          </cell>
          <cell r="AD172">
            <v>46650</v>
          </cell>
          <cell r="AE172">
            <v>10.6</v>
          </cell>
          <cell r="AF172">
            <v>4385</v>
          </cell>
        </row>
        <row r="173">
          <cell r="A173" t="str">
            <v>BRS</v>
          </cell>
          <cell r="B173" t="str">
            <v>Bunga Raya Satu</v>
          </cell>
          <cell r="C173" t="str">
            <v>MIS</v>
          </cell>
          <cell r="D173">
            <v>3800</v>
          </cell>
          <cell r="E173">
            <v>3500</v>
          </cell>
          <cell r="F173">
            <v>39582</v>
          </cell>
          <cell r="G173">
            <v>11.309142857142858</v>
          </cell>
          <cell r="H173">
            <v>23040</v>
          </cell>
          <cell r="I173">
            <v>6.5828571428571427</v>
          </cell>
          <cell r="J173">
            <v>35867</v>
          </cell>
          <cell r="K173">
            <v>10.247714285714286</v>
          </cell>
          <cell r="L173">
            <v>6</v>
          </cell>
          <cell r="N173">
            <v>34866</v>
          </cell>
          <cell r="O173">
            <v>9.9617142857142849</v>
          </cell>
          <cell r="P173">
            <v>258</v>
          </cell>
          <cell r="Q173">
            <v>258</v>
          </cell>
          <cell r="R173">
            <v>32.25</v>
          </cell>
          <cell r="T173">
            <v>12.019</v>
          </cell>
          <cell r="V173">
            <v>19.3</v>
          </cell>
          <cell r="X173">
            <v>6.3440857142857141E-5</v>
          </cell>
          <cell r="Y173">
            <v>0.22204299999999999</v>
          </cell>
          <cell r="AA173">
            <v>7.9304285714285711E-5</v>
          </cell>
          <cell r="AB173">
            <v>0.27756500000000001</v>
          </cell>
          <cell r="AD173">
            <v>37950</v>
          </cell>
          <cell r="AE173">
            <v>10.84</v>
          </cell>
          <cell r="AF173">
            <v>3528</v>
          </cell>
        </row>
        <row r="174">
          <cell r="A174" t="str">
            <v>BRD</v>
          </cell>
          <cell r="B174" t="str">
            <v>Bunga Raya Dua</v>
          </cell>
          <cell r="C174" t="str">
            <v>MIS</v>
          </cell>
          <cell r="D174">
            <v>3800</v>
          </cell>
          <cell r="E174">
            <v>3500</v>
          </cell>
          <cell r="F174">
            <v>39582</v>
          </cell>
          <cell r="G174">
            <v>11.309142857142858</v>
          </cell>
          <cell r="H174">
            <v>23040</v>
          </cell>
          <cell r="I174">
            <v>6.5828571428571427</v>
          </cell>
          <cell r="J174">
            <v>35867</v>
          </cell>
          <cell r="K174">
            <v>10.247714285714286</v>
          </cell>
          <cell r="L174">
            <v>6</v>
          </cell>
          <cell r="N174">
            <v>34866</v>
          </cell>
          <cell r="O174">
            <v>9.9617142857142849</v>
          </cell>
          <cell r="P174">
            <v>258</v>
          </cell>
          <cell r="Q174">
            <v>258</v>
          </cell>
          <cell r="R174">
            <v>32.25</v>
          </cell>
          <cell r="T174">
            <v>12.019</v>
          </cell>
          <cell r="V174">
            <v>19.3</v>
          </cell>
          <cell r="X174">
            <v>6.3440857142857141E-5</v>
          </cell>
          <cell r="Y174">
            <v>0.22204299999999999</v>
          </cell>
          <cell r="AA174">
            <v>7.9304285714285711E-5</v>
          </cell>
          <cell r="AB174">
            <v>0.27756500000000001</v>
          </cell>
          <cell r="AD174">
            <v>37950</v>
          </cell>
          <cell r="AE174">
            <v>10.84</v>
          </cell>
          <cell r="AF174">
            <v>3528</v>
          </cell>
        </row>
        <row r="177">
          <cell r="A177" t="str">
            <v>GAVS</v>
          </cell>
          <cell r="B177" t="str">
            <v>G A Virtual Ship</v>
          </cell>
          <cell r="D177">
            <v>4955.95</v>
          </cell>
          <cell r="F177">
            <v>60294.485714285714</v>
          </cell>
          <cell r="G177">
            <v>12.166080310391694</v>
          </cell>
          <cell r="H177">
            <v>28157.957142857143</v>
          </cell>
          <cell r="I177">
            <v>5.6816467363183936</v>
          </cell>
          <cell r="J177">
            <v>54775.084928571436</v>
          </cell>
          <cell r="K177">
            <v>11.05238852865171</v>
          </cell>
          <cell r="L177">
            <v>5.85</v>
          </cell>
          <cell r="N177">
            <v>39896.955223880599</v>
          </cell>
          <cell r="O177">
            <v>10.894631947472886</v>
          </cell>
          <cell r="P177">
            <v>281.48839999999996</v>
          </cell>
          <cell r="Q177">
            <v>268.67417910447779</v>
          </cell>
          <cell r="R177">
            <v>36.512642857142858</v>
          </cell>
          <cell r="T177">
            <v>13.437178571428563</v>
          </cell>
          <cell r="V177">
            <v>22.733571428571462</v>
          </cell>
          <cell r="X177">
            <v>4.8900000000000003E-5</v>
          </cell>
          <cell r="Y177">
            <v>0.24234388780470054</v>
          </cell>
          <cell r="AA177">
            <v>5.91E-5</v>
          </cell>
          <cell r="AB177">
            <v>0.29836582755826785</v>
          </cell>
          <cell r="AD177">
            <v>52904.857142857145</v>
          </cell>
          <cell r="AE177">
            <v>10.675018340148133</v>
          </cell>
          <cell r="AF177">
            <v>4955.8999999999996</v>
          </cell>
        </row>
        <row r="180">
          <cell r="B180" t="str">
            <v>Weighted Bunker consumption 20k/2.0</v>
          </cell>
          <cell r="D180">
            <v>4955.95</v>
          </cell>
          <cell r="X180">
            <v>4.8899582886167244E-5</v>
          </cell>
          <cell r="Y180">
            <v>0.24234388780470054</v>
          </cell>
        </row>
        <row r="182">
          <cell r="B182" t="str">
            <v>Weighted Bunker consumption 22k/2.4</v>
          </cell>
          <cell r="D182">
            <v>5048.5298507462685</v>
          </cell>
          <cell r="AA182">
            <v>5.9099547071938916E-5</v>
          </cell>
          <cell r="AB182">
            <v>0.29836582755826785</v>
          </cell>
        </row>
        <row r="184">
          <cell r="B184" t="str">
            <v>Weighted PC/UMS capacity</v>
          </cell>
          <cell r="D184">
            <v>3662.0746268656717</v>
          </cell>
        </row>
        <row r="188">
          <cell r="B188" t="str">
            <v>Average Mile consumption divided by VS GSC:</v>
          </cell>
        </row>
        <row r="192">
          <cell r="B192" t="str">
            <v>Totals</v>
          </cell>
          <cell r="D192">
            <v>693833</v>
          </cell>
          <cell r="F192">
            <v>8441228</v>
          </cell>
          <cell r="G192">
            <v>12.166080310391694</v>
          </cell>
          <cell r="AD192">
            <v>7406680</v>
          </cell>
          <cell r="AE192">
            <v>10.68</v>
          </cell>
          <cell r="AF192">
            <v>693826</v>
          </cell>
        </row>
        <row r="195">
          <cell r="E195" t="str">
            <v>(22' speed)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X-PROF"/>
    </sheetNames>
    <definedNames>
      <definedName name="SIM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nb_2"/>
      <sheetName val="Modul2"/>
      <sheetName val="Makro1"/>
      <sheetName val="Weekday"/>
      <sheetName val="Modul1"/>
      <sheetName val="Modul5"/>
      <sheetName val="Modul3"/>
      <sheetName val="Schedule11"/>
      <sheetName val="Shipdata 2005"/>
      <sheetName val="BSA"/>
      <sheetName val="Macro1"/>
      <sheetName val="Lookup"/>
      <sheetName val="region"/>
      <sheetName val="8"/>
      <sheetName val="현지법인 사업계획(총괄)"/>
      <sheetName val="ANALYSE"/>
      <sheetName val="Shipdata_2005"/>
      <sheetName val="현지법인_사업계획(총괄)"/>
      <sheetName val="Sheet4"/>
    </sheetNames>
    <sheetDataSet>
      <sheetData sheetId="0" refreshError="1">
        <row r="3">
          <cell r="B3">
            <v>273</v>
          </cell>
        </row>
        <row r="5">
          <cell r="A5" t="str">
            <v>CAPOL 68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  <sheetName val="region"/>
      <sheetName val="수입"/>
      <sheetName val="Tab_CBD"/>
      <sheetName val="AD_HOC_New_VSA"/>
      <sheetName val="Qtty_New_VSA"/>
      <sheetName val="BSA_New_VSA"/>
      <sheetName val="AdHocNew_VSA"/>
      <sheetName val="Shipdata_2005"/>
      <sheetName val="FSHPL"/>
    </sheetNames>
    <sheetDataSet>
      <sheetData sheetId="0" refreshError="1"/>
      <sheetData sheetId="1" refreshError="1">
        <row r="4">
          <cell r="A4" t="str">
            <v>Vessel</v>
          </cell>
          <cell r="B4" t="str">
            <v>Slot</v>
          </cell>
          <cell r="C4" t="str">
            <v>AL</v>
          </cell>
          <cell r="D4" t="str">
            <v>CL</v>
          </cell>
          <cell r="E4" t="str">
            <v>PON</v>
          </cell>
          <cell r="F4" t="str">
            <v>AL</v>
          </cell>
          <cell r="G4" t="str">
            <v>CL</v>
          </cell>
          <cell r="H4" t="str">
            <v>PON</v>
          </cell>
          <cell r="I4" t="str">
            <v>Max</v>
          </cell>
          <cell r="J4" t="str">
            <v>OWNER</v>
          </cell>
          <cell r="K4" t="str">
            <v>CAPACITY</v>
          </cell>
          <cell r="L4" t="str">
            <v>CAPACITY</v>
          </cell>
          <cell r="M4" t="str">
            <v>E.C.</v>
          </cell>
          <cell r="N4" t="str">
            <v>WEIGHT</v>
          </cell>
        </row>
        <row r="5">
          <cell r="A5" t="str">
            <v>TEXA</v>
          </cell>
          <cell r="B5">
            <v>0</v>
          </cell>
          <cell r="C5">
            <v>495</v>
          </cell>
          <cell r="D5">
            <v>743</v>
          </cell>
          <cell r="E5">
            <v>240</v>
          </cell>
          <cell r="J5" t="str">
            <v>CL</v>
          </cell>
          <cell r="K5">
            <v>1478</v>
          </cell>
        </row>
        <row r="6">
          <cell r="A6" t="str">
            <v>NESA</v>
          </cell>
          <cell r="B6">
            <v>0</v>
          </cell>
          <cell r="C6">
            <v>405</v>
          </cell>
          <cell r="D6">
            <v>609</v>
          </cell>
          <cell r="E6">
            <v>196</v>
          </cell>
          <cell r="J6" t="str">
            <v>PON</v>
          </cell>
          <cell r="K6">
            <v>1210</v>
          </cell>
        </row>
        <row r="7">
          <cell r="A7" t="str">
            <v>COFL</v>
          </cell>
          <cell r="B7">
            <v>0</v>
          </cell>
          <cell r="C7">
            <v>381</v>
          </cell>
          <cell r="D7">
            <v>571</v>
          </cell>
          <cell r="E7">
            <v>184</v>
          </cell>
          <cell r="J7" t="str">
            <v>CL</v>
          </cell>
          <cell r="K7">
            <v>1136</v>
          </cell>
        </row>
        <row r="8">
          <cell r="A8" t="str">
            <v>COPL</v>
          </cell>
          <cell r="B8">
            <v>0</v>
          </cell>
          <cell r="C8">
            <v>381</v>
          </cell>
          <cell r="D8">
            <v>571</v>
          </cell>
          <cell r="E8">
            <v>184</v>
          </cell>
          <cell r="J8" t="str">
            <v>CL</v>
          </cell>
          <cell r="K8">
            <v>1136</v>
          </cell>
        </row>
        <row r="9">
          <cell r="A9" t="str">
            <v>COPA</v>
          </cell>
          <cell r="B9">
            <v>0</v>
          </cell>
          <cell r="C9">
            <v>419</v>
          </cell>
          <cell r="D9">
            <v>628</v>
          </cell>
          <cell r="E9">
            <v>203</v>
          </cell>
          <cell r="J9" t="str">
            <v>AL</v>
          </cell>
          <cell r="K9">
            <v>1250</v>
          </cell>
        </row>
        <row r="10">
          <cell r="A10" t="str">
            <v>FLAM</v>
          </cell>
          <cell r="B10">
            <v>0</v>
          </cell>
          <cell r="C10">
            <v>419</v>
          </cell>
          <cell r="D10">
            <v>628</v>
          </cell>
          <cell r="E10">
            <v>203</v>
          </cell>
          <cell r="J10" t="str">
            <v>AL</v>
          </cell>
          <cell r="K10">
            <v>1250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ter Data"/>
      <sheetName val="Master Pivot"/>
      <sheetName val="neu"/>
      <sheetName val="상반기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>
        <row r="3">
          <cell r="C3" t="str">
            <v>Teu Nominal</v>
          </cell>
          <cell r="D3" t="str">
            <v>Teu Homo @ 14T</v>
          </cell>
          <cell r="E3" t="str">
            <v>Teu Declared @ 12</v>
          </cell>
          <cell r="F3" t="str">
            <v>Net Charter Hire</v>
          </cell>
          <cell r="G3" t="str">
            <v>Consumption IFO</v>
          </cell>
          <cell r="H3" t="str">
            <v>Consumption MDO</v>
          </cell>
          <cell r="I3" t="str">
            <v>Hong Kong</v>
          </cell>
          <cell r="J3" t="str">
            <v>Kaohsiung</v>
          </cell>
          <cell r="K3" t="str">
            <v>Busan</v>
          </cell>
          <cell r="L3" t="str">
            <v>Kobe</v>
          </cell>
          <cell r="M3" t="str">
            <v xml:space="preserve">Yokohama </v>
          </cell>
          <cell r="N3" t="str">
            <v>Los Angeles</v>
          </cell>
          <cell r="O3" t="str">
            <v>Ensenada</v>
          </cell>
          <cell r="P3" t="str">
            <v>Manzanillo</v>
          </cell>
          <cell r="Q3" t="str">
            <v>Yokohama 2</v>
          </cell>
          <cell r="R3" t="str">
            <v>Kobe 2</v>
          </cell>
        </row>
        <row r="4">
          <cell r="B4" t="str">
            <v>APL Mexico</v>
          </cell>
          <cell r="C4">
            <v>2546</v>
          </cell>
          <cell r="D4">
            <v>1890</v>
          </cell>
          <cell r="E4">
            <v>2040</v>
          </cell>
          <cell r="F4">
            <v>10238</v>
          </cell>
          <cell r="G4">
            <v>2379</v>
          </cell>
          <cell r="H4">
            <v>3</v>
          </cell>
          <cell r="I4">
            <v>8541</v>
          </cell>
          <cell r="J4">
            <v>7381</v>
          </cell>
          <cell r="K4">
            <v>5704</v>
          </cell>
          <cell r="L4">
            <v>33792</v>
          </cell>
          <cell r="M4">
            <v>22484</v>
          </cell>
          <cell r="N4">
            <v>0</v>
          </cell>
          <cell r="O4">
            <v>7363</v>
          </cell>
          <cell r="P4">
            <v>12327</v>
          </cell>
          <cell r="Q4">
            <v>14369</v>
          </cell>
          <cell r="R4">
            <v>6428</v>
          </cell>
        </row>
        <row r="5">
          <cell r="B5" t="str">
            <v>APL Monterrey</v>
          </cell>
          <cell r="C5">
            <v>1758</v>
          </cell>
          <cell r="D5">
            <v>1610</v>
          </cell>
          <cell r="E5">
            <v>1830</v>
          </cell>
          <cell r="F5">
            <v>10920</v>
          </cell>
          <cell r="G5">
            <v>2120</v>
          </cell>
          <cell r="H5">
            <v>78</v>
          </cell>
          <cell r="I5">
            <v>8925</v>
          </cell>
          <cell r="J5">
            <v>8343</v>
          </cell>
          <cell r="K5">
            <v>8437</v>
          </cell>
          <cell r="L5">
            <v>23182</v>
          </cell>
          <cell r="M5">
            <v>21015</v>
          </cell>
          <cell r="N5">
            <v>0</v>
          </cell>
          <cell r="O5">
            <v>9956</v>
          </cell>
          <cell r="P5">
            <v>12106</v>
          </cell>
          <cell r="Q5">
            <v>16126</v>
          </cell>
          <cell r="R5">
            <v>6428</v>
          </cell>
        </row>
        <row r="6">
          <cell r="B6" t="str">
            <v>Lykes Crusader</v>
          </cell>
          <cell r="C6">
            <v>2526</v>
          </cell>
          <cell r="D6">
            <v>1870</v>
          </cell>
          <cell r="E6">
            <v>2020</v>
          </cell>
          <cell r="F6">
            <v>9555</v>
          </cell>
          <cell r="G6">
            <v>2128</v>
          </cell>
          <cell r="H6">
            <v>0</v>
          </cell>
          <cell r="I6">
            <v>8541</v>
          </cell>
          <cell r="J6">
            <v>7381</v>
          </cell>
          <cell r="K6">
            <v>5704</v>
          </cell>
          <cell r="L6">
            <v>33792</v>
          </cell>
          <cell r="M6">
            <v>22484</v>
          </cell>
          <cell r="N6">
            <v>0</v>
          </cell>
          <cell r="O6">
            <v>7363</v>
          </cell>
          <cell r="P6">
            <v>12327</v>
          </cell>
          <cell r="Q6">
            <v>14369</v>
          </cell>
          <cell r="R6">
            <v>6428</v>
          </cell>
        </row>
        <row r="7">
          <cell r="B7" t="str">
            <v>Likes Innovator</v>
          </cell>
          <cell r="C7">
            <v>2474</v>
          </cell>
          <cell r="D7">
            <v>1912</v>
          </cell>
          <cell r="E7">
            <v>2040</v>
          </cell>
          <cell r="F7">
            <v>9555</v>
          </cell>
          <cell r="G7">
            <v>2264</v>
          </cell>
          <cell r="H7">
            <v>5</v>
          </cell>
          <cell r="I7">
            <v>8541</v>
          </cell>
          <cell r="J7">
            <v>7381</v>
          </cell>
          <cell r="K7">
            <v>5704</v>
          </cell>
          <cell r="L7">
            <v>33792</v>
          </cell>
          <cell r="M7">
            <v>22484</v>
          </cell>
          <cell r="N7">
            <v>0</v>
          </cell>
          <cell r="O7">
            <v>7363</v>
          </cell>
          <cell r="P7">
            <v>12327</v>
          </cell>
          <cell r="Q7">
            <v>14369</v>
          </cell>
          <cell r="R7">
            <v>6428</v>
          </cell>
        </row>
        <row r="8">
          <cell r="B8" t="str">
            <v>TMM Ensenada</v>
          </cell>
          <cell r="C8">
            <v>2474</v>
          </cell>
          <cell r="D8">
            <v>1890</v>
          </cell>
          <cell r="E8">
            <v>2040</v>
          </cell>
          <cell r="F8">
            <v>9555</v>
          </cell>
          <cell r="G8">
            <v>2293</v>
          </cell>
          <cell r="H8">
            <v>3</v>
          </cell>
          <cell r="I8">
            <v>8541</v>
          </cell>
          <cell r="J8">
            <v>7381</v>
          </cell>
          <cell r="K8">
            <v>5704</v>
          </cell>
          <cell r="L8">
            <v>33792</v>
          </cell>
          <cell r="M8">
            <v>22484</v>
          </cell>
          <cell r="N8">
            <v>0</v>
          </cell>
          <cell r="O8">
            <v>7363</v>
          </cell>
          <cell r="P8">
            <v>12327</v>
          </cell>
          <cell r="Q8">
            <v>14369</v>
          </cell>
          <cell r="R8">
            <v>6428</v>
          </cell>
        </row>
        <row r="9">
          <cell r="B9" t="str">
            <v>TMM San Antonio</v>
          </cell>
          <cell r="C9">
            <v>2468</v>
          </cell>
          <cell r="D9">
            <v>1870</v>
          </cell>
          <cell r="E9">
            <v>2020</v>
          </cell>
          <cell r="F9">
            <v>10237</v>
          </cell>
          <cell r="G9">
            <v>2181</v>
          </cell>
          <cell r="H9">
            <v>1</v>
          </cell>
          <cell r="I9">
            <v>8541</v>
          </cell>
          <cell r="J9">
            <v>7381</v>
          </cell>
          <cell r="K9">
            <v>5704</v>
          </cell>
          <cell r="L9">
            <v>33792</v>
          </cell>
          <cell r="M9">
            <v>22484</v>
          </cell>
          <cell r="N9">
            <v>0</v>
          </cell>
          <cell r="O9">
            <v>7363</v>
          </cell>
          <cell r="P9">
            <v>12327</v>
          </cell>
          <cell r="Q9">
            <v>14369</v>
          </cell>
          <cell r="R9">
            <v>6428</v>
          </cell>
        </row>
        <row r="10">
          <cell r="B10" t="str">
            <v>Asia Crown</v>
          </cell>
          <cell r="C10">
            <v>1758</v>
          </cell>
          <cell r="D10">
            <v>1610</v>
          </cell>
          <cell r="E10">
            <v>1830</v>
          </cell>
          <cell r="F10">
            <v>10920</v>
          </cell>
          <cell r="G10">
            <v>2120</v>
          </cell>
          <cell r="H10">
            <v>78</v>
          </cell>
          <cell r="I10">
            <v>8541</v>
          </cell>
          <cell r="J10">
            <v>7381</v>
          </cell>
          <cell r="K10">
            <v>5704</v>
          </cell>
          <cell r="L10">
            <v>33792</v>
          </cell>
          <cell r="M10">
            <v>22484</v>
          </cell>
          <cell r="N10">
            <v>0</v>
          </cell>
          <cell r="O10">
            <v>7363</v>
          </cell>
          <cell r="P10">
            <v>12327</v>
          </cell>
          <cell r="Q10">
            <v>14369</v>
          </cell>
          <cell r="R10">
            <v>6428</v>
          </cell>
        </row>
        <row r="11">
          <cell r="B11" t="str">
            <v>TMM Manzanillo</v>
          </cell>
          <cell r="C11">
            <v>2474</v>
          </cell>
          <cell r="D11">
            <v>1912</v>
          </cell>
          <cell r="E11">
            <v>2040</v>
          </cell>
          <cell r="F11">
            <v>9555</v>
          </cell>
          <cell r="G11">
            <v>2264</v>
          </cell>
          <cell r="H11">
            <v>5</v>
          </cell>
          <cell r="I11">
            <v>8541</v>
          </cell>
          <cell r="J11">
            <v>7381</v>
          </cell>
          <cell r="K11">
            <v>5704</v>
          </cell>
          <cell r="L11">
            <v>33792</v>
          </cell>
          <cell r="M11">
            <v>22484</v>
          </cell>
          <cell r="N11">
            <v>0</v>
          </cell>
          <cell r="O11">
            <v>7363</v>
          </cell>
          <cell r="P11">
            <v>12327</v>
          </cell>
          <cell r="Q11">
            <v>14369</v>
          </cell>
          <cell r="R11">
            <v>6428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금실적"/>
      <sheetName val="입금실적"/>
      <sheetName val="수입"/>
      <sheetName val="업무계획1"/>
      <sheetName val="Summary"/>
      <sheetName val="합손"/>
      <sheetName val="도급"/>
      <sheetName val="Master Data"/>
      <sheetName val="자금실적"/>
      <sheetName val="갑지"/>
      <sheetName val="NB-MKT"/>
      <sheetName val="2.대외공문"/>
      <sheetName val="차수"/>
      <sheetName val="구주(03실적)"/>
      <sheetName val="미주(03실적))"/>
      <sheetName val="아주(03실적)"/>
      <sheetName val="INOBTB"/>
      <sheetName val="지방,해외배부"/>
      <sheetName val="민감도분석"/>
      <sheetName val="연간데이터"/>
      <sheetName val="불변현금흐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상투자비명세 (3)"/>
      <sheetName val="불변사업비명세 (3)"/>
      <sheetName val="경상투자비명세 (2)"/>
      <sheetName val="불변사업비명세 (2)"/>
      <sheetName val="고정자산"/>
      <sheetName val="불변사업비명세"/>
      <sheetName val="총투자비산정"/>
      <sheetName val="경상투자비명세"/>
      <sheetName val="경상손익계산서"/>
      <sheetName val="경상현금흐름표"/>
      <sheetName val="불변현금흐름표"/>
      <sheetName val="민감도분석"/>
      <sheetName val="테이블표"/>
      <sheetName val="년간데이타"/>
      <sheetName val="gaduk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1.0122722344290394</v>
          </cell>
          <cell r="D3">
            <v>1.0246950765959599</v>
          </cell>
          <cell r="E3">
            <v>1.037270374794228</v>
          </cell>
          <cell r="F3">
            <v>1.0500000000000003</v>
          </cell>
          <cell r="G3">
            <v>1.0628858461504915</v>
          </cell>
          <cell r="H3">
            <v>1.0759298304257583</v>
          </cell>
          <cell r="I3">
            <v>1.0891338935339396</v>
          </cell>
          <cell r="J3">
            <v>1.1025000000000005</v>
          </cell>
          <cell r="K3">
            <v>1.1160301384580165</v>
          </cell>
          <cell r="L3">
            <v>1.1297263219470464</v>
          </cell>
          <cell r="M3">
            <v>1.143590588210637</v>
          </cell>
          <cell r="N3">
            <v>1.1576250000000008</v>
          </cell>
          <cell r="O3">
            <v>1.1718316453809174</v>
          </cell>
          <cell r="P3">
            <v>1.1862126380443991</v>
          </cell>
          <cell r="Q3">
            <v>1.2007701176211689</v>
          </cell>
          <cell r="R3">
            <v>1.2155062500000011</v>
          </cell>
          <cell r="S3">
            <v>1.2304232276499636</v>
          </cell>
          <cell r="T3">
            <v>1.2455232699466192</v>
          </cell>
          <cell r="U3">
            <v>1.2608086235022278</v>
          </cell>
          <cell r="V3">
            <v>1.2762815625000015</v>
          </cell>
        </row>
        <row r="6">
          <cell r="C6">
            <v>1.05</v>
          </cell>
          <cell r="D6">
            <v>1.1025</v>
          </cell>
          <cell r="E6">
            <v>1.1576250000000001</v>
          </cell>
          <cell r="F6">
            <v>1.21550625</v>
          </cell>
          <cell r="G6">
            <v>1.2762815625000001</v>
          </cell>
          <cell r="H6">
            <v>1.340095640625</v>
          </cell>
          <cell r="I6">
            <v>1.4071004226562502</v>
          </cell>
          <cell r="J6">
            <v>1.4774554437890626</v>
          </cell>
          <cell r="K6">
            <v>1.5513282159785158</v>
          </cell>
          <cell r="L6">
            <v>1.6288946267774416</v>
          </cell>
          <cell r="M6">
            <v>1.7103393581163138</v>
          </cell>
          <cell r="N6">
            <v>1.7958563260221292</v>
          </cell>
          <cell r="O6">
            <v>1.885649142323236</v>
          </cell>
          <cell r="P6">
            <v>1.9799315994393973</v>
          </cell>
          <cell r="Q6">
            <v>2.0789281794113679</v>
          </cell>
          <cell r="R6">
            <v>2.182874588381936</v>
          </cell>
          <cell r="S6">
            <v>2.2920183178010332</v>
          </cell>
          <cell r="T6">
            <v>2.4066192336910848</v>
          </cell>
          <cell r="U6">
            <v>2.526950195375639</v>
          </cell>
          <cell r="V6">
            <v>2.6532977051444209</v>
          </cell>
          <cell r="W6">
            <v>2.7859625904016418</v>
          </cell>
          <cell r="X6">
            <v>2.9252607199217238</v>
          </cell>
          <cell r="Y6">
            <v>3.0715237559178106</v>
          </cell>
          <cell r="Z6">
            <v>3.2250999437137007</v>
          </cell>
          <cell r="AA6">
            <v>3.3863549408993858</v>
          </cell>
          <cell r="AB6">
            <v>3.5556726879443552</v>
          </cell>
          <cell r="AC6">
            <v>3.7334563223415733</v>
          </cell>
          <cell r="AD6">
            <v>3.9201291384586514</v>
          </cell>
          <cell r="AE6">
            <v>4.1161355953815848</v>
          </cell>
          <cell r="AF6">
            <v>4.3219423751506625</v>
          </cell>
          <cell r="AG6">
            <v>4.5380394939081974</v>
          </cell>
          <cell r="AH6">
            <v>4.7649414686036069</v>
          </cell>
          <cell r="AI6">
            <v>5.0031885420337874</v>
          </cell>
          <cell r="AJ6">
            <v>5.2533479691354765</v>
          </cell>
          <cell r="AK6">
            <v>5.5160153675922512</v>
          </cell>
          <cell r="AL6">
            <v>5.791816135971863</v>
          </cell>
          <cell r="AM6">
            <v>6.0814069427704567</v>
          </cell>
          <cell r="AN6">
            <v>6.3854772899089784</v>
          </cell>
          <cell r="AO6">
            <v>6.7047511544044287</v>
          </cell>
          <cell r="AP6">
            <v>7.0399887121246492</v>
          </cell>
          <cell r="AQ6">
            <v>7.3919881477308822</v>
          </cell>
          <cell r="AR6">
            <v>7.7615875551174263</v>
          </cell>
          <cell r="AS6">
            <v>8.1496669328732985</v>
          </cell>
          <cell r="AT6">
            <v>8.5571502795169625</v>
          </cell>
          <cell r="AU6">
            <v>8.9850077934928123</v>
          </cell>
          <cell r="AV6">
            <v>9.4342581831674508</v>
          </cell>
          <cell r="AW6">
            <v>9.9059710923258262</v>
          </cell>
          <cell r="AX6">
            <v>10.401269646942117</v>
          </cell>
          <cell r="AY6">
            <v>10.921333129289224</v>
          </cell>
          <cell r="AZ6">
            <v>11.467399785753685</v>
          </cell>
          <cell r="BA6">
            <v>12.040769775041369</v>
          </cell>
          <cell r="BB6">
            <v>12.642808263793437</v>
          </cell>
          <cell r="BC6">
            <v>13.274948676983108</v>
          </cell>
          <cell r="BD6">
            <v>13.938696110832263</v>
          </cell>
          <cell r="BE6">
            <v>14.635630916373879</v>
          </cell>
        </row>
      </sheetData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▶총괄(03실적)"/>
      <sheetName val="미주(03실적))"/>
      <sheetName val="구주(03실적)"/>
      <sheetName val="아주(03실적)"/>
      <sheetName val="▶총괄(03예산)"/>
      <sheetName val="미주(03예산)"/>
      <sheetName val="구주(03예산) "/>
      <sheetName val="아주(03예산)"/>
      <sheetName val="▶총괄(02실적)"/>
      <sheetName val="미주(02실적) "/>
      <sheetName val="구주(02실적)"/>
      <sheetName val="아주(02실적)"/>
      <sheetName val="※구주운송물량(03예산)"/>
      <sheetName val="년간데이타"/>
      <sheetName val="지방,해외배부"/>
      <sheetName val="미국지도II"/>
      <sheetName val="출금실적"/>
    </sheetNames>
    <sheetDataSet>
      <sheetData sheetId="0"/>
      <sheetData sheetId="1" refreshError="1">
        <row r="3">
          <cell r="A3" t="str">
            <v>구  분</v>
          </cell>
          <cell r="C3" t="str">
            <v>1월</v>
          </cell>
          <cell r="D3" t="str">
            <v>2월</v>
          </cell>
          <cell r="E3" t="str">
            <v>3월</v>
          </cell>
          <cell r="F3" t="str">
            <v>4월</v>
          </cell>
          <cell r="G3" t="str">
            <v>5월</v>
          </cell>
          <cell r="H3" t="str">
            <v>6월</v>
          </cell>
          <cell r="I3" t="str">
            <v>7월</v>
          </cell>
          <cell r="J3" t="str">
            <v>8월</v>
          </cell>
          <cell r="K3" t="str">
            <v>9월</v>
          </cell>
          <cell r="L3" t="str">
            <v>10월</v>
          </cell>
          <cell r="M3" t="str">
            <v>11월</v>
          </cell>
          <cell r="N3" t="str">
            <v>12월</v>
          </cell>
          <cell r="O3" t="str">
            <v>계</v>
          </cell>
        </row>
        <row r="4">
          <cell r="B4" t="str">
            <v>적취량</v>
          </cell>
          <cell r="C4">
            <v>76406</v>
          </cell>
          <cell r="D4">
            <v>61832</v>
          </cell>
          <cell r="E4">
            <v>64369</v>
          </cell>
          <cell r="F4">
            <v>81075</v>
          </cell>
          <cell r="G4">
            <v>61006</v>
          </cell>
          <cell r="H4">
            <v>68892</v>
          </cell>
          <cell r="I4">
            <v>89243</v>
          </cell>
          <cell r="J4">
            <v>72628</v>
          </cell>
          <cell r="K4">
            <v>70992</v>
          </cell>
          <cell r="O4">
            <v>646443</v>
          </cell>
        </row>
        <row r="5">
          <cell r="A5" t="str">
            <v>물량</v>
          </cell>
          <cell r="B5" t="str">
            <v>T/S</v>
          </cell>
          <cell r="C5">
            <v>18236</v>
          </cell>
          <cell r="D5">
            <v>16747</v>
          </cell>
          <cell r="E5">
            <v>15885</v>
          </cell>
          <cell r="F5">
            <v>20459</v>
          </cell>
          <cell r="G5">
            <v>15773</v>
          </cell>
          <cell r="H5">
            <v>16024</v>
          </cell>
          <cell r="I5">
            <v>20127</v>
          </cell>
          <cell r="J5">
            <v>17679</v>
          </cell>
          <cell r="K5">
            <v>16042</v>
          </cell>
          <cell r="O5">
            <v>156972</v>
          </cell>
        </row>
        <row r="6">
          <cell r="B6" t="str">
            <v>TRUCK</v>
          </cell>
          <cell r="C6">
            <v>32743</v>
          </cell>
          <cell r="D6">
            <v>25221</v>
          </cell>
          <cell r="E6">
            <v>25197</v>
          </cell>
          <cell r="F6">
            <v>31197</v>
          </cell>
          <cell r="G6">
            <v>25872</v>
          </cell>
          <cell r="H6">
            <v>25906</v>
          </cell>
          <cell r="I6">
            <v>32372</v>
          </cell>
          <cell r="J6">
            <v>26147</v>
          </cell>
          <cell r="K6">
            <v>26244</v>
          </cell>
          <cell r="O6">
            <v>250899</v>
          </cell>
        </row>
        <row r="7">
          <cell r="B7" t="str">
            <v>FEEDER</v>
          </cell>
          <cell r="C7">
            <v>6455</v>
          </cell>
          <cell r="D7">
            <v>5008</v>
          </cell>
          <cell r="E7">
            <v>4760</v>
          </cell>
          <cell r="F7">
            <v>6419</v>
          </cell>
          <cell r="G7">
            <v>5532</v>
          </cell>
          <cell r="H7">
            <v>7022</v>
          </cell>
          <cell r="I7">
            <v>9425</v>
          </cell>
          <cell r="J7">
            <v>7154</v>
          </cell>
          <cell r="K7">
            <v>6452</v>
          </cell>
          <cell r="O7">
            <v>58227</v>
          </cell>
        </row>
        <row r="8">
          <cell r="B8" t="str">
            <v>RAIL</v>
          </cell>
          <cell r="C8">
            <v>35741</v>
          </cell>
          <cell r="D8">
            <v>28372</v>
          </cell>
          <cell r="E8">
            <v>30788</v>
          </cell>
          <cell r="F8">
            <v>39654</v>
          </cell>
          <cell r="G8">
            <v>29899</v>
          </cell>
          <cell r="H8">
            <v>34135</v>
          </cell>
          <cell r="I8">
            <v>44705</v>
          </cell>
          <cell r="J8">
            <v>35874</v>
          </cell>
          <cell r="K8">
            <v>35253</v>
          </cell>
          <cell r="O8">
            <v>314421</v>
          </cell>
        </row>
        <row r="9">
          <cell r="A9" t="str">
            <v>연료비</v>
          </cell>
          <cell r="B9" t="str">
            <v>F.O. 소모량</v>
          </cell>
          <cell r="C9">
            <v>43100.84</v>
          </cell>
          <cell r="D9">
            <v>38446.699999999997</v>
          </cell>
          <cell r="E9">
            <v>37380.449999999997</v>
          </cell>
          <cell r="F9">
            <v>47256.27</v>
          </cell>
          <cell r="G9">
            <v>36717.75</v>
          </cell>
          <cell r="H9">
            <v>40871.199999999997</v>
          </cell>
          <cell r="I9">
            <v>53291.3</v>
          </cell>
          <cell r="J9">
            <v>39793.85</v>
          </cell>
          <cell r="K9">
            <v>43399.05</v>
          </cell>
          <cell r="O9">
            <v>380257.40999999992</v>
          </cell>
        </row>
        <row r="10">
          <cell r="B10" t="str">
            <v>F.O.단가</v>
          </cell>
          <cell r="C10">
            <v>176.73</v>
          </cell>
          <cell r="D10">
            <v>192.09</v>
          </cell>
          <cell r="E10">
            <v>200.53</v>
          </cell>
          <cell r="F10">
            <v>188.27</v>
          </cell>
          <cell r="G10">
            <v>178.45</v>
          </cell>
          <cell r="H10">
            <v>169.36</v>
          </cell>
          <cell r="I10">
            <v>176.19</v>
          </cell>
          <cell r="J10">
            <v>178.42</v>
          </cell>
          <cell r="K10">
            <v>172.38</v>
          </cell>
          <cell r="O10">
            <v>181.03538776561911</v>
          </cell>
        </row>
        <row r="11">
          <cell r="A11" t="str">
            <v>운임율</v>
          </cell>
          <cell r="C11">
            <v>1180.8560976886631</v>
          </cell>
          <cell r="D11">
            <v>1166.9011191615991</v>
          </cell>
          <cell r="E11">
            <v>1218.7279746461807</v>
          </cell>
          <cell r="F11">
            <v>1262.753105149553</v>
          </cell>
          <cell r="G11">
            <v>1508.6883585221126</v>
          </cell>
          <cell r="H11">
            <v>1573.9803895953087</v>
          </cell>
          <cell r="I11">
            <v>1575.9102338558766</v>
          </cell>
          <cell r="J11">
            <v>1552.6215509170017</v>
          </cell>
          <cell r="K11">
            <v>1580.3256986702727</v>
          </cell>
          <cell r="L11" t="e">
            <v>#DIV/0!</v>
          </cell>
          <cell r="M11" t="e">
            <v>#DIV/0!</v>
          </cell>
          <cell r="N11" t="e">
            <v>#DIV/0!</v>
          </cell>
          <cell r="O11">
            <v>1406.572994061348</v>
          </cell>
        </row>
        <row r="12">
          <cell r="A12" t="str">
            <v>매출</v>
          </cell>
          <cell r="B12" t="str">
            <v>운임</v>
          </cell>
          <cell r="C12">
            <v>90224491</v>
          </cell>
          <cell r="D12">
            <v>72151830</v>
          </cell>
          <cell r="E12">
            <v>78448301</v>
          </cell>
          <cell r="F12">
            <v>102377708</v>
          </cell>
          <cell r="G12">
            <v>92039042</v>
          </cell>
          <cell r="H12">
            <v>108434657</v>
          </cell>
          <cell r="I12">
            <v>140638957</v>
          </cell>
          <cell r="J12">
            <v>112763798</v>
          </cell>
          <cell r="K12">
            <v>112190482</v>
          </cell>
          <cell r="O12">
            <v>909269266</v>
          </cell>
        </row>
        <row r="13">
          <cell r="B13" t="str">
            <v>대선료</v>
          </cell>
          <cell r="C13">
            <v>7191392</v>
          </cell>
          <cell r="D13">
            <v>6451392</v>
          </cell>
          <cell r="E13">
            <v>6868917</v>
          </cell>
          <cell r="F13">
            <v>8478017</v>
          </cell>
          <cell r="G13">
            <v>6981921</v>
          </cell>
          <cell r="H13">
            <v>8596606</v>
          </cell>
          <cell r="I13">
            <v>11800527</v>
          </cell>
          <cell r="J13">
            <v>8738345</v>
          </cell>
          <cell r="K13">
            <v>9388838</v>
          </cell>
          <cell r="O13">
            <v>74495955</v>
          </cell>
        </row>
        <row r="14">
          <cell r="B14" t="str">
            <v>계</v>
          </cell>
          <cell r="C14">
            <v>97415883</v>
          </cell>
          <cell r="D14">
            <v>78603222</v>
          </cell>
          <cell r="E14">
            <v>85317218</v>
          </cell>
          <cell r="F14">
            <v>110855725</v>
          </cell>
          <cell r="G14">
            <v>99020963</v>
          </cell>
          <cell r="H14">
            <v>117031263</v>
          </cell>
          <cell r="I14">
            <v>152439484</v>
          </cell>
          <cell r="J14">
            <v>121502143</v>
          </cell>
          <cell r="K14">
            <v>121579320</v>
          </cell>
          <cell r="L14">
            <v>0</v>
          </cell>
          <cell r="M14">
            <v>0</v>
          </cell>
          <cell r="N14">
            <v>0</v>
          </cell>
          <cell r="O14">
            <v>983765221</v>
          </cell>
        </row>
        <row r="15">
          <cell r="A15" t="str">
            <v>운항비용</v>
          </cell>
          <cell r="B15" t="str">
            <v>하역비 계</v>
          </cell>
          <cell r="C15">
            <v>21643901</v>
          </cell>
          <cell r="D15">
            <v>14690672</v>
          </cell>
          <cell r="E15">
            <v>18236891</v>
          </cell>
          <cell r="F15">
            <v>22327913</v>
          </cell>
          <cell r="G15">
            <v>16681583</v>
          </cell>
          <cell r="H15">
            <v>19421085</v>
          </cell>
          <cell r="I15">
            <v>24793045</v>
          </cell>
          <cell r="J15">
            <v>20186388</v>
          </cell>
          <cell r="K15">
            <v>19724484</v>
          </cell>
          <cell r="O15">
            <v>177705962</v>
          </cell>
        </row>
        <row r="16">
          <cell r="B16" t="str">
            <v>ON-DOCK</v>
          </cell>
          <cell r="C16">
            <v>20265505</v>
          </cell>
          <cell r="D16">
            <v>13334492</v>
          </cell>
          <cell r="E16">
            <v>16988950</v>
          </cell>
          <cell r="F16">
            <v>20736880</v>
          </cell>
          <cell r="G16">
            <v>15473071</v>
          </cell>
          <cell r="H16">
            <v>18183425</v>
          </cell>
          <cell r="I16">
            <v>23194341</v>
          </cell>
          <cell r="J16">
            <v>18773842</v>
          </cell>
          <cell r="K16">
            <v>18463262</v>
          </cell>
          <cell r="L16">
            <v>0</v>
          </cell>
          <cell r="M16">
            <v>0</v>
          </cell>
          <cell r="N16">
            <v>0</v>
          </cell>
          <cell r="O16">
            <v>165413768</v>
          </cell>
        </row>
        <row r="17">
          <cell r="B17" t="str">
            <v>T/S</v>
          </cell>
          <cell r="C17">
            <v>1378396</v>
          </cell>
          <cell r="D17">
            <v>1356180</v>
          </cell>
          <cell r="E17">
            <v>1247941</v>
          </cell>
          <cell r="F17">
            <v>1591033</v>
          </cell>
          <cell r="G17">
            <v>1208512</v>
          </cell>
          <cell r="H17">
            <v>1237660</v>
          </cell>
          <cell r="I17">
            <v>1598704</v>
          </cell>
          <cell r="J17">
            <v>1412546</v>
          </cell>
          <cell r="K17">
            <v>1261222</v>
          </cell>
          <cell r="O17">
            <v>12292194</v>
          </cell>
        </row>
        <row r="18">
          <cell r="B18" t="str">
            <v>운송비 계</v>
          </cell>
          <cell r="C18">
            <v>26779338</v>
          </cell>
          <cell r="D18">
            <v>22214960</v>
          </cell>
          <cell r="E18">
            <v>23748608</v>
          </cell>
          <cell r="F18">
            <v>31238459</v>
          </cell>
          <cell r="G18">
            <v>23522755</v>
          </cell>
          <cell r="H18">
            <v>26022334</v>
          </cell>
          <cell r="I18">
            <v>33360444</v>
          </cell>
          <cell r="J18">
            <v>26291909</v>
          </cell>
          <cell r="K18">
            <v>25853838</v>
          </cell>
          <cell r="L18">
            <v>0</v>
          </cell>
          <cell r="M18">
            <v>0</v>
          </cell>
          <cell r="N18">
            <v>0</v>
          </cell>
          <cell r="O18">
            <v>239032645</v>
          </cell>
        </row>
        <row r="19">
          <cell r="B19" t="str">
            <v>TRUCK</v>
          </cell>
          <cell r="C19">
            <v>3696450</v>
          </cell>
          <cell r="D19">
            <v>3114844</v>
          </cell>
          <cell r="E19">
            <v>3053490</v>
          </cell>
          <cell r="F19">
            <v>4105847</v>
          </cell>
          <cell r="G19">
            <v>3044688</v>
          </cell>
          <cell r="H19">
            <v>3213348</v>
          </cell>
          <cell r="I19">
            <v>4067196</v>
          </cell>
          <cell r="J19">
            <v>3193825</v>
          </cell>
          <cell r="K19">
            <v>3113045</v>
          </cell>
          <cell r="O19">
            <v>30602733</v>
          </cell>
        </row>
        <row r="20">
          <cell r="B20" t="str">
            <v>FEEDER</v>
          </cell>
          <cell r="C20">
            <v>1307470</v>
          </cell>
          <cell r="D20">
            <v>1002207</v>
          </cell>
          <cell r="E20">
            <v>1030350</v>
          </cell>
          <cell r="F20">
            <v>1342434</v>
          </cell>
          <cell r="G20">
            <v>1091871</v>
          </cell>
          <cell r="H20">
            <v>1333051</v>
          </cell>
          <cell r="I20">
            <v>1806083</v>
          </cell>
          <cell r="J20">
            <v>1402844</v>
          </cell>
          <cell r="K20">
            <v>1232789</v>
          </cell>
          <cell r="O20">
            <v>11549099</v>
          </cell>
        </row>
        <row r="21">
          <cell r="B21" t="str">
            <v>RAIL</v>
          </cell>
          <cell r="C21">
            <v>21775418</v>
          </cell>
          <cell r="D21">
            <v>18097909</v>
          </cell>
          <cell r="E21">
            <v>19664768</v>
          </cell>
          <cell r="F21">
            <v>25790178</v>
          </cell>
          <cell r="G21">
            <v>19386196</v>
          </cell>
          <cell r="H21">
            <v>21475935</v>
          </cell>
          <cell r="I21">
            <v>27487165</v>
          </cell>
          <cell r="J21">
            <v>21695240</v>
          </cell>
          <cell r="K21">
            <v>21508004</v>
          </cell>
          <cell r="O21">
            <v>196880813</v>
          </cell>
        </row>
        <row r="22">
          <cell r="B22" t="str">
            <v>대리점비</v>
          </cell>
          <cell r="C22">
            <v>5912846</v>
          </cell>
          <cell r="D22">
            <v>4718988</v>
          </cell>
          <cell r="E22">
            <v>5090383</v>
          </cell>
          <cell r="F22">
            <v>5795617</v>
          </cell>
          <cell r="G22">
            <v>5601579</v>
          </cell>
          <cell r="H22">
            <v>6841732</v>
          </cell>
          <cell r="I22">
            <v>8954418</v>
          </cell>
          <cell r="J22">
            <v>6981904</v>
          </cell>
          <cell r="K22">
            <v>6864305</v>
          </cell>
          <cell r="O22">
            <v>56761772</v>
          </cell>
        </row>
        <row r="23">
          <cell r="B23" t="str">
            <v>기기비</v>
          </cell>
          <cell r="C23">
            <v>16060643</v>
          </cell>
          <cell r="D23">
            <v>13082496</v>
          </cell>
          <cell r="E23">
            <v>13089814</v>
          </cell>
          <cell r="F23">
            <v>16959201</v>
          </cell>
          <cell r="G23">
            <v>15650499</v>
          </cell>
          <cell r="H23">
            <v>15902785</v>
          </cell>
          <cell r="I23">
            <v>19492301</v>
          </cell>
          <cell r="J23">
            <v>17082602</v>
          </cell>
          <cell r="K23">
            <v>16614566</v>
          </cell>
          <cell r="O23">
            <v>143934907</v>
          </cell>
        </row>
        <row r="24">
          <cell r="B24" t="str">
            <v>화물비 계</v>
          </cell>
          <cell r="C24">
            <v>70396728</v>
          </cell>
          <cell r="D24">
            <v>54707116</v>
          </cell>
          <cell r="E24">
            <v>60165696</v>
          </cell>
          <cell r="F24">
            <v>76321190</v>
          </cell>
          <cell r="G24">
            <v>61456416</v>
          </cell>
          <cell r="H24">
            <v>68187936</v>
          </cell>
          <cell r="I24">
            <v>86600208</v>
          </cell>
          <cell r="J24">
            <v>70542803</v>
          </cell>
          <cell r="K24">
            <v>69057193</v>
          </cell>
          <cell r="L24">
            <v>0</v>
          </cell>
          <cell r="M24">
            <v>0</v>
          </cell>
          <cell r="N24">
            <v>0</v>
          </cell>
          <cell r="O24">
            <v>617435286</v>
          </cell>
        </row>
        <row r="25">
          <cell r="B25" t="str">
            <v>화물이익</v>
          </cell>
          <cell r="C25">
            <v>19827763</v>
          </cell>
          <cell r="D25">
            <v>17444714</v>
          </cell>
          <cell r="E25">
            <v>18282605</v>
          </cell>
          <cell r="F25">
            <v>26056518</v>
          </cell>
          <cell r="G25">
            <v>30582626</v>
          </cell>
          <cell r="H25">
            <v>40246721</v>
          </cell>
          <cell r="I25">
            <v>54038749</v>
          </cell>
          <cell r="J25">
            <v>42220995</v>
          </cell>
          <cell r="K25">
            <v>43133289</v>
          </cell>
          <cell r="L25">
            <v>0</v>
          </cell>
          <cell r="M25">
            <v>0</v>
          </cell>
          <cell r="N25">
            <v>0</v>
          </cell>
          <cell r="O25">
            <v>291833980</v>
          </cell>
        </row>
        <row r="26">
          <cell r="B26" t="str">
            <v>항비</v>
          </cell>
          <cell r="C26">
            <v>1511607</v>
          </cell>
          <cell r="D26">
            <v>1584532</v>
          </cell>
          <cell r="E26">
            <v>1517109</v>
          </cell>
          <cell r="F26">
            <v>1922035</v>
          </cell>
          <cell r="G26">
            <v>1537172</v>
          </cell>
          <cell r="H26">
            <v>1894792</v>
          </cell>
          <cell r="I26">
            <v>2655163</v>
          </cell>
          <cell r="J26">
            <v>1897430</v>
          </cell>
          <cell r="K26">
            <v>1797577</v>
          </cell>
          <cell r="O26">
            <v>16317417</v>
          </cell>
        </row>
        <row r="27">
          <cell r="B27" t="str">
            <v>연료비</v>
          </cell>
          <cell r="C27">
            <v>7622850</v>
          </cell>
          <cell r="D27">
            <v>7388314</v>
          </cell>
          <cell r="E27">
            <v>7498675</v>
          </cell>
          <cell r="F27">
            <v>8900162</v>
          </cell>
          <cell r="G27">
            <v>6557965</v>
          </cell>
          <cell r="H27">
            <v>6928292</v>
          </cell>
          <cell r="I27">
            <v>9399631</v>
          </cell>
          <cell r="J27">
            <v>7110137</v>
          </cell>
          <cell r="K27">
            <v>7494944</v>
          </cell>
          <cell r="O27">
            <v>68900970</v>
          </cell>
        </row>
        <row r="28">
          <cell r="B28" t="str">
            <v>용선료</v>
          </cell>
          <cell r="C28">
            <v>19447656</v>
          </cell>
          <cell r="D28">
            <v>15389521</v>
          </cell>
          <cell r="E28">
            <v>15711515</v>
          </cell>
          <cell r="F28">
            <v>20056582</v>
          </cell>
          <cell r="G28">
            <v>17750838</v>
          </cell>
          <cell r="H28">
            <v>19310579</v>
          </cell>
          <cell r="I28">
            <v>26626041</v>
          </cell>
          <cell r="J28">
            <v>21568180</v>
          </cell>
          <cell r="K28">
            <v>21663722</v>
          </cell>
          <cell r="L28">
            <v>0</v>
          </cell>
          <cell r="M28">
            <v>0</v>
          </cell>
          <cell r="N28">
            <v>0</v>
          </cell>
          <cell r="O28">
            <v>177524634</v>
          </cell>
        </row>
        <row r="29">
          <cell r="B29" t="str">
            <v>운항고정비 계</v>
          </cell>
          <cell r="C29">
            <v>28582113</v>
          </cell>
          <cell r="D29">
            <v>24362367</v>
          </cell>
          <cell r="E29">
            <v>24727299</v>
          </cell>
          <cell r="F29">
            <v>30878779</v>
          </cell>
          <cell r="G29">
            <v>25845975</v>
          </cell>
          <cell r="H29">
            <v>28133663</v>
          </cell>
          <cell r="I29">
            <v>38680835</v>
          </cell>
          <cell r="J29">
            <v>30575747</v>
          </cell>
          <cell r="K29">
            <v>30956243</v>
          </cell>
          <cell r="L29">
            <v>0</v>
          </cell>
          <cell r="M29">
            <v>0</v>
          </cell>
          <cell r="N29">
            <v>0</v>
          </cell>
          <cell r="O29">
            <v>262743021</v>
          </cell>
        </row>
        <row r="30">
          <cell r="B30" t="str">
            <v>운항비용계</v>
          </cell>
          <cell r="C30">
            <v>98978841</v>
          </cell>
          <cell r="D30">
            <v>79069483</v>
          </cell>
          <cell r="E30">
            <v>84892995</v>
          </cell>
          <cell r="F30">
            <v>107199969</v>
          </cell>
          <cell r="G30">
            <v>87302391</v>
          </cell>
          <cell r="H30">
            <v>96321599</v>
          </cell>
          <cell r="I30">
            <v>125281043</v>
          </cell>
          <cell r="J30">
            <v>101118550</v>
          </cell>
          <cell r="K30">
            <v>100013436</v>
          </cell>
          <cell r="L30">
            <v>0</v>
          </cell>
          <cell r="M30">
            <v>0</v>
          </cell>
          <cell r="N30">
            <v>0</v>
          </cell>
          <cell r="O30">
            <v>880178307</v>
          </cell>
        </row>
        <row r="31">
          <cell r="A31" t="str">
            <v>운항손익</v>
          </cell>
          <cell r="C31">
            <v>-1562958</v>
          </cell>
          <cell r="D31">
            <v>-466261</v>
          </cell>
          <cell r="E31">
            <v>424223</v>
          </cell>
          <cell r="F31">
            <v>3655756</v>
          </cell>
          <cell r="G31">
            <v>11718572</v>
          </cell>
          <cell r="H31">
            <v>20709664</v>
          </cell>
          <cell r="I31">
            <v>27158441</v>
          </cell>
          <cell r="J31">
            <v>20383593</v>
          </cell>
          <cell r="K31">
            <v>21565884</v>
          </cell>
          <cell r="L31">
            <v>0</v>
          </cell>
          <cell r="M31">
            <v>0</v>
          </cell>
          <cell r="N31">
            <v>0</v>
          </cell>
          <cell r="O31">
            <v>103586914</v>
          </cell>
        </row>
        <row r="32">
          <cell r="A32" t="str">
            <v>고정비</v>
          </cell>
          <cell r="C32">
            <v>3175499</v>
          </cell>
          <cell r="D32">
            <v>3725890</v>
          </cell>
          <cell r="E32">
            <v>3230348</v>
          </cell>
          <cell r="F32">
            <v>3671041</v>
          </cell>
          <cell r="G32">
            <v>1955684</v>
          </cell>
          <cell r="H32">
            <v>2284078</v>
          </cell>
          <cell r="I32">
            <v>2943137</v>
          </cell>
          <cell r="J32">
            <v>2359940</v>
          </cell>
          <cell r="K32">
            <v>2359940</v>
          </cell>
          <cell r="O32">
            <v>25705557</v>
          </cell>
        </row>
        <row r="33">
          <cell r="A33" t="str">
            <v>영업손익</v>
          </cell>
          <cell r="C33">
            <v>-4738457</v>
          </cell>
          <cell r="D33">
            <v>-4192151</v>
          </cell>
          <cell r="E33">
            <v>-2806125</v>
          </cell>
          <cell r="F33">
            <v>-15285</v>
          </cell>
          <cell r="G33">
            <v>9762888</v>
          </cell>
          <cell r="H33">
            <v>18425586</v>
          </cell>
          <cell r="I33">
            <v>24215304</v>
          </cell>
          <cell r="J33">
            <v>18023653</v>
          </cell>
          <cell r="K33">
            <v>19205944</v>
          </cell>
          <cell r="L33">
            <v>0</v>
          </cell>
          <cell r="M33">
            <v>0</v>
          </cell>
          <cell r="N33">
            <v>0</v>
          </cell>
          <cell r="O33">
            <v>77881357</v>
          </cell>
        </row>
      </sheetData>
      <sheetData sheetId="2" refreshError="1">
        <row r="3">
          <cell r="A3" t="str">
            <v>구  분</v>
          </cell>
          <cell r="C3" t="str">
            <v>1월</v>
          </cell>
          <cell r="D3" t="str">
            <v>2월</v>
          </cell>
          <cell r="E3" t="str">
            <v>3월</v>
          </cell>
          <cell r="F3" t="str">
            <v>4월</v>
          </cell>
          <cell r="G3" t="str">
            <v>5월</v>
          </cell>
          <cell r="H3" t="str">
            <v>6월</v>
          </cell>
          <cell r="I3" t="str">
            <v>7월</v>
          </cell>
          <cell r="J3" t="str">
            <v>8월</v>
          </cell>
          <cell r="K3" t="str">
            <v>9월</v>
          </cell>
          <cell r="L3" t="str">
            <v>10월</v>
          </cell>
          <cell r="M3" t="str">
            <v>11월</v>
          </cell>
          <cell r="N3" t="str">
            <v>12월</v>
          </cell>
          <cell r="O3" t="str">
            <v>계</v>
          </cell>
        </row>
        <row r="4">
          <cell r="B4" t="str">
            <v>적취량</v>
          </cell>
          <cell r="C4">
            <v>37263</v>
          </cell>
          <cell r="D4">
            <v>33500</v>
          </cell>
          <cell r="E4">
            <v>32690</v>
          </cell>
          <cell r="F4">
            <v>41932</v>
          </cell>
          <cell r="G4">
            <v>31367</v>
          </cell>
          <cell r="H4">
            <v>33695</v>
          </cell>
          <cell r="I4">
            <v>41206</v>
          </cell>
          <cell r="J4">
            <v>34817</v>
          </cell>
          <cell r="K4">
            <v>33517</v>
          </cell>
          <cell r="O4">
            <v>319987</v>
          </cell>
        </row>
        <row r="5">
          <cell r="A5" t="str">
            <v>물량</v>
          </cell>
          <cell r="B5" t="str">
            <v>T/S</v>
          </cell>
          <cell r="C5">
            <v>13405</v>
          </cell>
          <cell r="D5">
            <v>13480</v>
          </cell>
          <cell r="E5">
            <v>12317</v>
          </cell>
          <cell r="F5">
            <v>14949</v>
          </cell>
          <cell r="G5">
            <v>11399</v>
          </cell>
          <cell r="H5">
            <v>14609</v>
          </cell>
          <cell r="I5">
            <v>18448</v>
          </cell>
          <cell r="J5">
            <v>13918</v>
          </cell>
          <cell r="K5">
            <v>13730</v>
          </cell>
          <cell r="O5">
            <v>126255</v>
          </cell>
        </row>
        <row r="6">
          <cell r="B6" t="str">
            <v>TRUCK</v>
          </cell>
          <cell r="C6">
            <v>16941</v>
          </cell>
          <cell r="D6">
            <v>15594</v>
          </cell>
          <cell r="E6">
            <v>15192</v>
          </cell>
          <cell r="F6">
            <v>18805</v>
          </cell>
          <cell r="G6">
            <v>14527</v>
          </cell>
          <cell r="H6">
            <v>13894</v>
          </cell>
          <cell r="I6">
            <v>17451</v>
          </cell>
          <cell r="J6">
            <v>14840</v>
          </cell>
          <cell r="K6">
            <v>13910</v>
          </cell>
          <cell r="O6">
            <v>141154</v>
          </cell>
        </row>
        <row r="7">
          <cell r="B7" t="str">
            <v>FEEDER</v>
          </cell>
          <cell r="C7">
            <v>9774</v>
          </cell>
          <cell r="D7">
            <v>9809</v>
          </cell>
          <cell r="E7">
            <v>8458</v>
          </cell>
          <cell r="F7">
            <v>10923</v>
          </cell>
          <cell r="G7">
            <v>8320</v>
          </cell>
          <cell r="H7">
            <v>9505</v>
          </cell>
          <cell r="I7">
            <v>11627</v>
          </cell>
          <cell r="J7">
            <v>8258</v>
          </cell>
          <cell r="K7">
            <v>8825</v>
          </cell>
          <cell r="O7">
            <v>85499</v>
          </cell>
        </row>
        <row r="8">
          <cell r="B8" t="str">
            <v>RAIL</v>
          </cell>
          <cell r="K8">
            <v>0</v>
          </cell>
        </row>
        <row r="9">
          <cell r="A9" t="str">
            <v>연료비</v>
          </cell>
          <cell r="B9" t="str">
            <v>F.O. 소모량</v>
          </cell>
          <cell r="C9">
            <v>39869.97</v>
          </cell>
          <cell r="D9">
            <v>31952.46</v>
          </cell>
          <cell r="E9">
            <v>31748.12</v>
          </cell>
          <cell r="F9">
            <v>40441.050000000003</v>
          </cell>
          <cell r="G9">
            <v>32350.7</v>
          </cell>
          <cell r="H9">
            <v>32330.9</v>
          </cell>
          <cell r="I9">
            <v>40676.47</v>
          </cell>
          <cell r="J9">
            <v>32152.35</v>
          </cell>
          <cell r="K9">
            <v>32900</v>
          </cell>
          <cell r="L9">
            <v>0</v>
          </cell>
          <cell r="M9">
            <v>0</v>
          </cell>
          <cell r="N9">
            <v>0</v>
          </cell>
          <cell r="O9">
            <v>314422.01999999996</v>
          </cell>
        </row>
        <row r="10">
          <cell r="B10" t="str">
            <v>F.O.단가</v>
          </cell>
          <cell r="C10">
            <v>161.82</v>
          </cell>
          <cell r="D10">
            <v>168.89</v>
          </cell>
          <cell r="E10">
            <v>165.88</v>
          </cell>
          <cell r="F10">
            <v>151.94</v>
          </cell>
          <cell r="G10">
            <v>143.97999999999999</v>
          </cell>
          <cell r="H10">
            <v>140.42292559130738</v>
          </cell>
          <cell r="I10">
            <v>155.087071621505</v>
          </cell>
          <cell r="J10">
            <v>156.76203282186219</v>
          </cell>
          <cell r="K10">
            <v>153.41999999999999</v>
          </cell>
          <cell r="L10" t="e">
            <v>#DIV/0!</v>
          </cell>
          <cell r="M10" t="e">
            <v>#DIV/0!</v>
          </cell>
          <cell r="N10" t="e">
            <v>#DIV/0!</v>
          </cell>
          <cell r="O10">
            <v>88.788484290635878</v>
          </cell>
        </row>
        <row r="11">
          <cell r="A11" t="str">
            <v>운임율</v>
          </cell>
          <cell r="C11">
            <v>1116.5830448434103</v>
          </cell>
          <cell r="D11">
            <v>1110.6750447761194</v>
          </cell>
          <cell r="E11">
            <v>1140.1709697155093</v>
          </cell>
          <cell r="F11">
            <v>1209.0785319088047</v>
          </cell>
          <cell r="G11">
            <v>1230.4878694169031</v>
          </cell>
          <cell r="H11">
            <v>1224.9929959934709</v>
          </cell>
          <cell r="I11">
            <v>1320.6226520409648</v>
          </cell>
          <cell r="J11">
            <v>1273.6534164345003</v>
          </cell>
          <cell r="K11">
            <v>1313.3283110063551</v>
          </cell>
          <cell r="L11" t="e">
            <v>#DIV/0!</v>
          </cell>
          <cell r="M11" t="e">
            <v>#DIV/0!</v>
          </cell>
          <cell r="N11" t="e">
            <v>#DIV/0!</v>
          </cell>
          <cell r="O11">
            <v>1217.0499520293013</v>
          </cell>
        </row>
        <row r="12">
          <cell r="A12" t="str">
            <v>매출</v>
          </cell>
          <cell r="B12" t="str">
            <v>운임</v>
          </cell>
          <cell r="C12">
            <v>41607234</v>
          </cell>
          <cell r="D12">
            <v>37207614</v>
          </cell>
          <cell r="E12">
            <v>37272189</v>
          </cell>
          <cell r="F12">
            <v>50699081</v>
          </cell>
          <cell r="G12">
            <v>38596713</v>
          </cell>
          <cell r="H12">
            <v>41276139</v>
          </cell>
          <cell r="I12">
            <v>54417577</v>
          </cell>
          <cell r="J12">
            <v>44344791</v>
          </cell>
          <cell r="K12">
            <v>44018825</v>
          </cell>
          <cell r="O12">
            <v>389440163</v>
          </cell>
        </row>
        <row r="13">
          <cell r="B13" t="str">
            <v>대선료</v>
          </cell>
          <cell r="C13">
            <v>13720569</v>
          </cell>
          <cell r="D13">
            <v>11374912</v>
          </cell>
          <cell r="E13">
            <v>11442000</v>
          </cell>
          <cell r="F13">
            <v>14682405</v>
          </cell>
          <cell r="G13">
            <v>12389742</v>
          </cell>
          <cell r="H13">
            <v>11723402</v>
          </cell>
          <cell r="I13">
            <v>13966336</v>
          </cell>
          <cell r="J13">
            <v>11298240</v>
          </cell>
          <cell r="K13">
            <v>11274164</v>
          </cell>
          <cell r="O13">
            <v>111871770</v>
          </cell>
        </row>
        <row r="14">
          <cell r="B14" t="str">
            <v>계</v>
          </cell>
          <cell r="C14">
            <v>55327803</v>
          </cell>
          <cell r="D14">
            <v>48582526</v>
          </cell>
          <cell r="E14">
            <v>48714189</v>
          </cell>
          <cell r="F14">
            <v>65381486</v>
          </cell>
          <cell r="G14">
            <v>50986455</v>
          </cell>
          <cell r="H14">
            <v>52999541</v>
          </cell>
          <cell r="I14">
            <v>68383913</v>
          </cell>
          <cell r="J14">
            <v>55643031</v>
          </cell>
          <cell r="K14">
            <v>55292989</v>
          </cell>
          <cell r="L14">
            <v>0</v>
          </cell>
          <cell r="M14">
            <v>0</v>
          </cell>
          <cell r="N14">
            <v>0</v>
          </cell>
          <cell r="O14">
            <v>501311933</v>
          </cell>
        </row>
        <row r="15">
          <cell r="A15" t="str">
            <v>운항비용</v>
          </cell>
          <cell r="B15" t="str">
            <v>하역비 계</v>
          </cell>
          <cell r="C15">
            <v>7601179</v>
          </cell>
          <cell r="D15">
            <v>7168183</v>
          </cell>
          <cell r="E15">
            <v>7069955</v>
          </cell>
          <cell r="F15">
            <v>8797929</v>
          </cell>
          <cell r="G15">
            <v>6515769</v>
          </cell>
          <cell r="H15">
            <v>7221088</v>
          </cell>
          <cell r="I15">
            <v>9370995</v>
          </cell>
          <cell r="J15">
            <v>7414461</v>
          </cell>
          <cell r="K15">
            <v>7141439</v>
          </cell>
          <cell r="O15">
            <v>68300998</v>
          </cell>
        </row>
        <row r="16">
          <cell r="B16" t="str">
            <v>ON-DOCK</v>
          </cell>
          <cell r="C16">
            <v>6654524</v>
          </cell>
          <cell r="D16">
            <v>6239926</v>
          </cell>
          <cell r="E16">
            <v>6202111</v>
          </cell>
          <cell r="F16">
            <v>7759209</v>
          </cell>
          <cell r="G16">
            <v>5723154</v>
          </cell>
          <cell r="H16">
            <v>6120173</v>
          </cell>
          <cell r="I16">
            <v>7858529</v>
          </cell>
          <cell r="J16">
            <v>6334343</v>
          </cell>
          <cell r="K16">
            <v>6083319</v>
          </cell>
          <cell r="L16">
            <v>0</v>
          </cell>
          <cell r="M16">
            <v>0</v>
          </cell>
          <cell r="N16">
            <v>0</v>
          </cell>
          <cell r="O16">
            <v>58975288</v>
          </cell>
        </row>
        <row r="17">
          <cell r="B17" t="str">
            <v>T/S</v>
          </cell>
          <cell r="C17">
            <v>946655</v>
          </cell>
          <cell r="D17">
            <v>928257</v>
          </cell>
          <cell r="E17">
            <v>867844</v>
          </cell>
          <cell r="F17">
            <v>1038720</v>
          </cell>
          <cell r="G17">
            <v>792615</v>
          </cell>
          <cell r="H17">
            <v>1100915</v>
          </cell>
          <cell r="I17">
            <v>1512466</v>
          </cell>
          <cell r="J17">
            <v>1080118</v>
          </cell>
          <cell r="K17">
            <v>1058120</v>
          </cell>
          <cell r="O17">
            <v>9325710</v>
          </cell>
        </row>
        <row r="18">
          <cell r="B18" t="str">
            <v>운송비 계</v>
          </cell>
          <cell r="C18">
            <v>5907072</v>
          </cell>
          <cell r="D18">
            <v>5877841</v>
          </cell>
          <cell r="E18">
            <v>5381352</v>
          </cell>
          <cell r="F18">
            <v>6759107</v>
          </cell>
          <cell r="G18">
            <v>5015327</v>
          </cell>
          <cell r="H18">
            <v>5133554</v>
          </cell>
          <cell r="I18">
            <v>6717332</v>
          </cell>
          <cell r="J18">
            <v>5625409</v>
          </cell>
          <cell r="K18">
            <v>5574808</v>
          </cell>
          <cell r="O18">
            <v>51991802</v>
          </cell>
        </row>
        <row r="19">
          <cell r="B19" t="str">
            <v>TRUCK</v>
          </cell>
          <cell r="C19">
            <v>3938761</v>
          </cell>
          <cell r="D19">
            <v>3844364</v>
          </cell>
          <cell r="E19">
            <v>3702220</v>
          </cell>
          <cell r="F19">
            <v>4697204</v>
          </cell>
          <cell r="G19">
            <v>3427292</v>
          </cell>
          <cell r="H19">
            <v>3346283</v>
          </cell>
          <cell r="I19">
            <v>4383192</v>
          </cell>
          <cell r="J19">
            <v>4086547</v>
          </cell>
          <cell r="K19">
            <v>3864981</v>
          </cell>
          <cell r="O19">
            <v>35290844</v>
          </cell>
        </row>
        <row r="20">
          <cell r="B20" t="str">
            <v>FEEDER</v>
          </cell>
          <cell r="C20">
            <v>1968311</v>
          </cell>
          <cell r="D20">
            <v>2033477</v>
          </cell>
          <cell r="E20">
            <v>1679132</v>
          </cell>
          <cell r="F20">
            <v>2061903</v>
          </cell>
          <cell r="G20">
            <v>1588035</v>
          </cell>
          <cell r="H20">
            <v>1787271</v>
          </cell>
          <cell r="I20">
            <v>2334140</v>
          </cell>
          <cell r="J20">
            <v>1538862</v>
          </cell>
          <cell r="K20">
            <v>1709827</v>
          </cell>
          <cell r="O20">
            <v>16700958</v>
          </cell>
        </row>
        <row r="21">
          <cell r="B21" t="str">
            <v>RAIL</v>
          </cell>
          <cell r="K21">
            <v>0</v>
          </cell>
        </row>
        <row r="22">
          <cell r="B22" t="str">
            <v>대리점비</v>
          </cell>
          <cell r="C22">
            <v>3825671</v>
          </cell>
          <cell r="D22">
            <v>3051862</v>
          </cell>
          <cell r="E22">
            <v>3064164</v>
          </cell>
          <cell r="F22">
            <v>3242273</v>
          </cell>
          <cell r="G22">
            <v>3361984</v>
          </cell>
          <cell r="H22">
            <v>3561533</v>
          </cell>
          <cell r="I22">
            <v>4695104</v>
          </cell>
          <cell r="J22">
            <v>3735562</v>
          </cell>
          <cell r="K22">
            <v>3780452</v>
          </cell>
          <cell r="O22">
            <v>32318605</v>
          </cell>
        </row>
        <row r="23">
          <cell r="B23" t="str">
            <v>기기비</v>
          </cell>
          <cell r="C23">
            <v>5142447</v>
          </cell>
          <cell r="D23">
            <v>4585570</v>
          </cell>
          <cell r="E23">
            <v>4282259</v>
          </cell>
          <cell r="F23">
            <v>5552851</v>
          </cell>
          <cell r="G23">
            <v>4860941</v>
          </cell>
          <cell r="H23">
            <v>4918240</v>
          </cell>
          <cell r="I23">
            <v>5865092</v>
          </cell>
          <cell r="J23">
            <v>5062573</v>
          </cell>
          <cell r="K23">
            <v>4955826</v>
          </cell>
          <cell r="O23">
            <v>45225799</v>
          </cell>
        </row>
        <row r="24">
          <cell r="B24" t="str">
            <v>화물비 계</v>
          </cell>
          <cell r="C24">
            <v>22476369</v>
          </cell>
          <cell r="D24">
            <v>20683456</v>
          </cell>
          <cell r="E24">
            <v>19797730</v>
          </cell>
          <cell r="F24">
            <v>24352160</v>
          </cell>
          <cell r="G24">
            <v>19754021</v>
          </cell>
          <cell r="H24">
            <v>20834415</v>
          </cell>
          <cell r="I24">
            <v>26648523</v>
          </cell>
          <cell r="J24">
            <v>21838005</v>
          </cell>
          <cell r="K24">
            <v>21452525</v>
          </cell>
          <cell r="L24">
            <v>0</v>
          </cell>
          <cell r="M24">
            <v>0</v>
          </cell>
          <cell r="N24">
            <v>0</v>
          </cell>
          <cell r="O24">
            <v>197837204</v>
          </cell>
        </row>
        <row r="25">
          <cell r="B25" t="str">
            <v>화물이익</v>
          </cell>
          <cell r="C25">
            <v>19130865</v>
          </cell>
          <cell r="D25">
            <v>16524158</v>
          </cell>
          <cell r="E25">
            <v>17474459</v>
          </cell>
          <cell r="F25">
            <v>26346921</v>
          </cell>
          <cell r="G25">
            <v>18842692</v>
          </cell>
          <cell r="H25">
            <v>20441724</v>
          </cell>
          <cell r="I25">
            <v>27769054</v>
          </cell>
          <cell r="J25">
            <v>22506786</v>
          </cell>
          <cell r="K25">
            <v>22566300</v>
          </cell>
          <cell r="L25">
            <v>0</v>
          </cell>
          <cell r="M25">
            <v>0</v>
          </cell>
          <cell r="N25">
            <v>0</v>
          </cell>
          <cell r="O25">
            <v>191602959</v>
          </cell>
        </row>
        <row r="26">
          <cell r="B26" t="str">
            <v>항비</v>
          </cell>
          <cell r="C26">
            <v>3959348</v>
          </cell>
          <cell r="D26">
            <v>3330309</v>
          </cell>
          <cell r="E26">
            <v>3183398</v>
          </cell>
          <cell r="F26">
            <v>4162275</v>
          </cell>
          <cell r="G26">
            <v>3322160</v>
          </cell>
          <cell r="H26">
            <v>3373196</v>
          </cell>
          <cell r="I26">
            <v>4113197</v>
          </cell>
          <cell r="J26">
            <v>3275124</v>
          </cell>
          <cell r="K26">
            <v>3838840</v>
          </cell>
          <cell r="O26">
            <v>32557847</v>
          </cell>
        </row>
        <row r="27">
          <cell r="B27" t="str">
            <v>연료비</v>
          </cell>
          <cell r="C27">
            <v>6461705</v>
          </cell>
          <cell r="D27">
            <v>5401354</v>
          </cell>
          <cell r="E27">
            <v>5272459</v>
          </cell>
          <cell r="F27">
            <v>6147571</v>
          </cell>
          <cell r="G27">
            <v>4664388</v>
          </cell>
          <cell r="H27">
            <v>4546276</v>
          </cell>
          <cell r="I27">
            <v>6316368</v>
          </cell>
          <cell r="J27">
            <v>5045572</v>
          </cell>
          <cell r="K27">
            <v>5052106</v>
          </cell>
          <cell r="O27">
            <v>48907799</v>
          </cell>
        </row>
        <row r="28">
          <cell r="B28" t="str">
            <v>용선료</v>
          </cell>
          <cell r="C28">
            <v>13608405</v>
          </cell>
          <cell r="D28">
            <v>11284886</v>
          </cell>
          <cell r="E28">
            <v>11772580</v>
          </cell>
          <cell r="F28">
            <v>16163788</v>
          </cell>
          <cell r="G28">
            <v>12243119</v>
          </cell>
          <cell r="H28">
            <v>12733544</v>
          </cell>
          <cell r="I28">
            <v>14637493</v>
          </cell>
          <cell r="J28">
            <v>11237503</v>
          </cell>
          <cell r="K28">
            <v>12300045</v>
          </cell>
          <cell r="O28">
            <v>115981363</v>
          </cell>
        </row>
        <row r="29">
          <cell r="B29" t="str">
            <v>운항고정비 계</v>
          </cell>
          <cell r="C29">
            <v>24029458</v>
          </cell>
          <cell r="D29">
            <v>20016549</v>
          </cell>
          <cell r="E29">
            <v>20228437</v>
          </cell>
          <cell r="F29">
            <v>26473634</v>
          </cell>
          <cell r="G29">
            <v>20229667</v>
          </cell>
          <cell r="H29">
            <v>20653016</v>
          </cell>
          <cell r="I29">
            <v>25067058</v>
          </cell>
          <cell r="J29">
            <v>19558199</v>
          </cell>
          <cell r="K29">
            <v>21190991</v>
          </cell>
          <cell r="L29">
            <v>0</v>
          </cell>
          <cell r="M29">
            <v>0</v>
          </cell>
          <cell r="N29">
            <v>0</v>
          </cell>
          <cell r="O29">
            <v>197447009</v>
          </cell>
        </row>
        <row r="30">
          <cell r="B30" t="str">
            <v>운항비용계</v>
          </cell>
          <cell r="C30">
            <v>46505827</v>
          </cell>
          <cell r="D30">
            <v>40700005</v>
          </cell>
          <cell r="E30">
            <v>40026167</v>
          </cell>
          <cell r="F30">
            <v>50825794</v>
          </cell>
          <cell r="G30">
            <v>39983688</v>
          </cell>
          <cell r="H30">
            <v>41487431</v>
          </cell>
          <cell r="I30">
            <v>51715581</v>
          </cell>
          <cell r="J30">
            <v>41396204</v>
          </cell>
          <cell r="K30">
            <v>42643516</v>
          </cell>
          <cell r="L30">
            <v>0</v>
          </cell>
          <cell r="M30">
            <v>0</v>
          </cell>
          <cell r="N30">
            <v>0</v>
          </cell>
          <cell r="O30">
            <v>395284213</v>
          </cell>
        </row>
        <row r="31">
          <cell r="A31" t="str">
            <v>운항손익</v>
          </cell>
          <cell r="C31">
            <v>8821976</v>
          </cell>
          <cell r="D31">
            <v>7882521</v>
          </cell>
          <cell r="E31">
            <v>8688022</v>
          </cell>
          <cell r="F31">
            <v>14555692</v>
          </cell>
          <cell r="G31">
            <v>11002767</v>
          </cell>
          <cell r="H31">
            <v>11512110</v>
          </cell>
          <cell r="I31">
            <v>16668332</v>
          </cell>
          <cell r="J31">
            <v>14246827</v>
          </cell>
          <cell r="K31">
            <v>12649473</v>
          </cell>
          <cell r="L31">
            <v>0</v>
          </cell>
          <cell r="M31">
            <v>0</v>
          </cell>
          <cell r="N31">
            <v>0</v>
          </cell>
          <cell r="O31">
            <v>106027720</v>
          </cell>
        </row>
        <row r="32">
          <cell r="A32" t="str">
            <v>고정비</v>
          </cell>
          <cell r="C32">
            <v>8691200</v>
          </cell>
          <cell r="D32">
            <v>6952960</v>
          </cell>
          <cell r="E32">
            <v>6886072</v>
          </cell>
          <cell r="F32">
            <v>7104340</v>
          </cell>
          <cell r="G32">
            <v>6330250</v>
          </cell>
          <cell r="H32">
            <v>4559816</v>
          </cell>
          <cell r="I32">
            <v>6236144</v>
          </cell>
          <cell r="J32">
            <v>6889810</v>
          </cell>
          <cell r="K32">
            <v>4559816</v>
          </cell>
          <cell r="O32">
            <v>58210408</v>
          </cell>
        </row>
        <row r="33">
          <cell r="A33" t="str">
            <v>영업손익</v>
          </cell>
          <cell r="C33">
            <v>130776</v>
          </cell>
          <cell r="D33">
            <v>929561</v>
          </cell>
          <cell r="E33">
            <v>1801950</v>
          </cell>
          <cell r="F33">
            <v>7451352</v>
          </cell>
          <cell r="G33">
            <v>4672517</v>
          </cell>
          <cell r="H33">
            <v>6952294</v>
          </cell>
          <cell r="I33">
            <v>10432188</v>
          </cell>
          <cell r="J33">
            <v>7357017</v>
          </cell>
          <cell r="K33">
            <v>8089657</v>
          </cell>
          <cell r="L33">
            <v>0</v>
          </cell>
          <cell r="M33">
            <v>0</v>
          </cell>
          <cell r="N33">
            <v>0</v>
          </cell>
          <cell r="O33">
            <v>47817312</v>
          </cell>
        </row>
      </sheetData>
      <sheetData sheetId="3" refreshError="1">
        <row r="3">
          <cell r="A3" t="str">
            <v>구  분</v>
          </cell>
          <cell r="C3" t="str">
            <v>1월</v>
          </cell>
          <cell r="D3" t="str">
            <v>2월</v>
          </cell>
          <cell r="E3" t="str">
            <v>3월</v>
          </cell>
          <cell r="F3" t="str">
            <v>4월</v>
          </cell>
          <cell r="G3" t="str">
            <v>5월</v>
          </cell>
          <cell r="H3" t="str">
            <v>6월</v>
          </cell>
          <cell r="I3" t="str">
            <v>7월</v>
          </cell>
          <cell r="J3" t="str">
            <v>8월</v>
          </cell>
          <cell r="K3" t="str">
            <v>9월</v>
          </cell>
          <cell r="L3" t="str">
            <v>10월</v>
          </cell>
          <cell r="M3" t="str">
            <v>11월</v>
          </cell>
          <cell r="N3" t="str">
            <v>12월</v>
          </cell>
          <cell r="O3" t="str">
            <v>계</v>
          </cell>
        </row>
        <row r="4">
          <cell r="B4" t="str">
            <v>적취량</v>
          </cell>
          <cell r="C4">
            <v>45979</v>
          </cell>
          <cell r="D4">
            <v>36975</v>
          </cell>
          <cell r="E4">
            <v>44892</v>
          </cell>
          <cell r="F4">
            <v>52183</v>
          </cell>
          <cell r="G4">
            <v>42108</v>
          </cell>
          <cell r="H4">
            <v>44316</v>
          </cell>
          <cell r="I4">
            <v>54997</v>
          </cell>
          <cell r="J4">
            <v>44841</v>
          </cell>
          <cell r="K4">
            <v>45822</v>
          </cell>
          <cell r="O4">
            <v>412113</v>
          </cell>
        </row>
        <row r="5">
          <cell r="A5" t="str">
            <v>물량</v>
          </cell>
          <cell r="B5" t="str">
            <v>T/S</v>
          </cell>
          <cell r="C5">
            <v>11611</v>
          </cell>
          <cell r="D5">
            <v>10192</v>
          </cell>
          <cell r="E5">
            <v>11984</v>
          </cell>
          <cell r="F5">
            <v>11592</v>
          </cell>
          <cell r="G5">
            <v>11220</v>
          </cell>
          <cell r="H5">
            <v>10440</v>
          </cell>
          <cell r="I5">
            <v>12838</v>
          </cell>
          <cell r="J5">
            <v>10408</v>
          </cell>
          <cell r="K5">
            <v>10033</v>
          </cell>
          <cell r="O5">
            <v>100318</v>
          </cell>
        </row>
        <row r="6">
          <cell r="B6" t="str">
            <v>TRUCK</v>
          </cell>
          <cell r="C6">
            <v>6904</v>
          </cell>
          <cell r="D6">
            <v>4347</v>
          </cell>
          <cell r="E6">
            <v>5804</v>
          </cell>
          <cell r="F6">
            <v>6996</v>
          </cell>
          <cell r="G6">
            <v>5480</v>
          </cell>
          <cell r="H6">
            <v>5712</v>
          </cell>
          <cell r="I6">
            <v>7089</v>
          </cell>
          <cell r="J6">
            <v>6052</v>
          </cell>
          <cell r="K6">
            <v>6033</v>
          </cell>
          <cell r="O6">
            <v>54417</v>
          </cell>
        </row>
        <row r="7">
          <cell r="B7" t="str">
            <v>FEEDER</v>
          </cell>
          <cell r="C7">
            <v>6759</v>
          </cell>
          <cell r="D7">
            <v>4948</v>
          </cell>
          <cell r="E7">
            <v>6353</v>
          </cell>
          <cell r="F7">
            <v>5845</v>
          </cell>
          <cell r="G7">
            <v>5298</v>
          </cell>
          <cell r="H7">
            <v>6255</v>
          </cell>
          <cell r="I7">
            <v>6809</v>
          </cell>
          <cell r="J7">
            <v>5402</v>
          </cell>
          <cell r="K7">
            <v>5440</v>
          </cell>
          <cell r="O7">
            <v>53109</v>
          </cell>
        </row>
        <row r="8">
          <cell r="B8" t="str">
            <v>RAIL</v>
          </cell>
          <cell r="C8">
            <v>1057</v>
          </cell>
          <cell r="D8">
            <v>755</v>
          </cell>
          <cell r="E8">
            <v>1243</v>
          </cell>
          <cell r="F8">
            <v>435</v>
          </cell>
          <cell r="G8">
            <v>77</v>
          </cell>
          <cell r="H8">
            <v>44</v>
          </cell>
          <cell r="I8">
            <v>411</v>
          </cell>
          <cell r="J8">
            <v>387</v>
          </cell>
          <cell r="K8">
            <v>899</v>
          </cell>
          <cell r="O8">
            <v>5308</v>
          </cell>
        </row>
        <row r="9">
          <cell r="A9" t="str">
            <v>연료비</v>
          </cell>
          <cell r="B9" t="str">
            <v>F.O. 소모량</v>
          </cell>
          <cell r="C9">
            <v>18812.45</v>
          </cell>
          <cell r="D9">
            <v>14725.46</v>
          </cell>
          <cell r="E9">
            <v>14703.47</v>
          </cell>
          <cell r="F9">
            <v>17062.21</v>
          </cell>
          <cell r="G9">
            <v>15660.73</v>
          </cell>
          <cell r="H9">
            <v>14447</v>
          </cell>
          <cell r="I9">
            <v>19030.16</v>
          </cell>
          <cell r="J9">
            <v>15192.42</v>
          </cell>
          <cell r="K9">
            <v>15570.34</v>
          </cell>
          <cell r="O9">
            <v>145204.24000000002</v>
          </cell>
        </row>
        <row r="10">
          <cell r="B10" t="str">
            <v>F.O.단가</v>
          </cell>
          <cell r="C10">
            <v>173.28</v>
          </cell>
          <cell r="D10">
            <v>190.38</v>
          </cell>
          <cell r="E10">
            <v>197.89</v>
          </cell>
          <cell r="F10">
            <v>190.41</v>
          </cell>
          <cell r="G10">
            <v>171.54</v>
          </cell>
          <cell r="H10">
            <v>166.66</v>
          </cell>
          <cell r="I10">
            <v>168.32</v>
          </cell>
          <cell r="J10">
            <v>172.17</v>
          </cell>
          <cell r="K10">
            <v>165.93</v>
          </cell>
          <cell r="O10">
            <v>177.11838261885461</v>
          </cell>
        </row>
        <row r="11">
          <cell r="A11" t="str">
            <v>운임율</v>
          </cell>
          <cell r="C11">
            <v>583.02429369929746</v>
          </cell>
          <cell r="D11">
            <v>546.79599729546987</v>
          </cell>
          <cell r="E11">
            <v>551.58487035551991</v>
          </cell>
          <cell r="F11">
            <v>524.94465630569346</v>
          </cell>
          <cell r="G11">
            <v>558.63073525220864</v>
          </cell>
          <cell r="H11">
            <v>555.85817763336036</v>
          </cell>
          <cell r="I11">
            <v>560.46495263378006</v>
          </cell>
          <cell r="J11">
            <v>553.29965879440692</v>
          </cell>
          <cell r="K11">
            <v>578.43012090262323</v>
          </cell>
          <cell r="L11" t="e">
            <v>#DIV/0!</v>
          </cell>
          <cell r="M11" t="e">
            <v>#DIV/0!</v>
          </cell>
          <cell r="N11" t="e">
            <v>#DIV/0!</v>
          </cell>
          <cell r="O11">
            <v>556.82555755338944</v>
          </cell>
        </row>
        <row r="12">
          <cell r="A12" t="str">
            <v>매출</v>
          </cell>
          <cell r="B12" t="str">
            <v>운임</v>
          </cell>
          <cell r="C12">
            <v>26806874</v>
          </cell>
          <cell r="D12">
            <v>20217782</v>
          </cell>
          <cell r="E12">
            <v>24761748</v>
          </cell>
          <cell r="F12">
            <v>27393187</v>
          </cell>
          <cell r="G12">
            <v>23522823</v>
          </cell>
          <cell r="H12">
            <v>24633411</v>
          </cell>
          <cell r="I12">
            <v>30823891</v>
          </cell>
          <cell r="J12">
            <v>24810510</v>
          </cell>
          <cell r="K12">
            <v>26504825</v>
          </cell>
          <cell r="O12">
            <v>229475051</v>
          </cell>
        </row>
        <row r="13">
          <cell r="B13" t="str">
            <v>대선료</v>
          </cell>
          <cell r="C13">
            <v>3999229</v>
          </cell>
          <cell r="D13">
            <v>3620014</v>
          </cell>
          <cell r="E13">
            <v>3081916</v>
          </cell>
          <cell r="F13">
            <v>3634086</v>
          </cell>
          <cell r="G13">
            <v>3358554</v>
          </cell>
          <cell r="H13">
            <v>3359207</v>
          </cell>
          <cell r="I13">
            <v>4114422</v>
          </cell>
          <cell r="J13">
            <v>3587115</v>
          </cell>
          <cell r="K13">
            <v>3406083</v>
          </cell>
          <cell r="O13">
            <v>32160626</v>
          </cell>
        </row>
        <row r="14">
          <cell r="B14" t="str">
            <v>계</v>
          </cell>
          <cell r="C14">
            <v>30806103</v>
          </cell>
          <cell r="D14">
            <v>23837796</v>
          </cell>
          <cell r="E14">
            <v>27843664</v>
          </cell>
          <cell r="F14">
            <v>31027273</v>
          </cell>
          <cell r="G14">
            <v>26881377</v>
          </cell>
          <cell r="H14">
            <v>27992618</v>
          </cell>
          <cell r="I14">
            <v>34938313</v>
          </cell>
          <cell r="J14">
            <v>28397625</v>
          </cell>
          <cell r="K14">
            <v>29910908</v>
          </cell>
          <cell r="L14">
            <v>0</v>
          </cell>
          <cell r="M14">
            <v>0</v>
          </cell>
          <cell r="N14">
            <v>0</v>
          </cell>
          <cell r="O14">
            <v>261635677</v>
          </cell>
        </row>
        <row r="15">
          <cell r="A15" t="str">
            <v>운항비용</v>
          </cell>
          <cell r="B15" t="str">
            <v>하역비 계</v>
          </cell>
          <cell r="C15">
            <v>7669058</v>
          </cell>
          <cell r="D15">
            <v>6329144</v>
          </cell>
          <cell r="E15">
            <v>7700604</v>
          </cell>
          <cell r="F15">
            <v>8737321</v>
          </cell>
          <cell r="G15">
            <v>7081947</v>
          </cell>
          <cell r="H15">
            <v>7341533</v>
          </cell>
          <cell r="I15">
            <v>9341194</v>
          </cell>
          <cell r="J15">
            <v>7380238</v>
          </cell>
          <cell r="K15">
            <v>7580447</v>
          </cell>
          <cell r="L15">
            <v>0</v>
          </cell>
          <cell r="M15">
            <v>0</v>
          </cell>
          <cell r="N15">
            <v>0</v>
          </cell>
          <cell r="O15">
            <v>69161486</v>
          </cell>
        </row>
        <row r="16">
          <cell r="B16" t="str">
            <v>ON-DOCK</v>
          </cell>
          <cell r="C16">
            <v>6593571</v>
          </cell>
          <cell r="D16">
            <v>5374843</v>
          </cell>
          <cell r="E16">
            <v>6572643</v>
          </cell>
          <cell r="F16">
            <v>7644312</v>
          </cell>
          <cell r="G16">
            <v>6051144</v>
          </cell>
          <cell r="H16">
            <v>6346921</v>
          </cell>
          <cell r="I16">
            <v>8045240</v>
          </cell>
          <cell r="J16">
            <v>6390145</v>
          </cell>
          <cell r="K16">
            <v>6639681</v>
          </cell>
          <cell r="O16">
            <v>59658500</v>
          </cell>
        </row>
        <row r="17">
          <cell r="B17" t="str">
            <v>T/S</v>
          </cell>
          <cell r="C17">
            <v>1075487</v>
          </cell>
          <cell r="D17">
            <v>954301</v>
          </cell>
          <cell r="E17">
            <v>1127961</v>
          </cell>
          <cell r="F17">
            <v>1093009</v>
          </cell>
          <cell r="G17">
            <v>1030803</v>
          </cell>
          <cell r="H17">
            <v>994612</v>
          </cell>
          <cell r="I17">
            <v>1295954</v>
          </cell>
          <cell r="J17">
            <v>990093</v>
          </cell>
          <cell r="K17">
            <v>940766</v>
          </cell>
          <cell r="O17">
            <v>9502986</v>
          </cell>
        </row>
        <row r="18">
          <cell r="B18" t="str">
            <v>운송비 계</v>
          </cell>
          <cell r="C18">
            <v>3013194</v>
          </cell>
          <cell r="D18">
            <v>2101072</v>
          </cell>
          <cell r="E18">
            <v>2859185</v>
          </cell>
          <cell r="F18">
            <v>2528647</v>
          </cell>
          <cell r="G18">
            <v>1828651</v>
          </cell>
          <cell r="H18">
            <v>2176640</v>
          </cell>
          <cell r="I18">
            <v>2410232</v>
          </cell>
          <cell r="J18">
            <v>1869454</v>
          </cell>
          <cell r="K18">
            <v>2270893</v>
          </cell>
          <cell r="L18">
            <v>0</v>
          </cell>
          <cell r="M18">
            <v>0</v>
          </cell>
          <cell r="N18">
            <v>0</v>
          </cell>
          <cell r="O18">
            <v>21057968</v>
          </cell>
        </row>
        <row r="19">
          <cell r="B19" t="str">
            <v>TRUCK</v>
          </cell>
          <cell r="C19">
            <v>1134035</v>
          </cell>
          <cell r="D19">
            <v>701600</v>
          </cell>
          <cell r="E19">
            <v>943237</v>
          </cell>
          <cell r="F19">
            <v>1180011</v>
          </cell>
          <cell r="G19">
            <v>899853</v>
          </cell>
          <cell r="H19">
            <v>1091791</v>
          </cell>
          <cell r="I19">
            <v>1060075</v>
          </cell>
          <cell r="J19">
            <v>750990</v>
          </cell>
          <cell r="K19">
            <v>774970</v>
          </cell>
          <cell r="O19">
            <v>8536562</v>
          </cell>
        </row>
        <row r="20">
          <cell r="B20" t="str">
            <v>FEEDER</v>
          </cell>
          <cell r="C20">
            <v>1156478</v>
          </cell>
          <cell r="D20">
            <v>879197</v>
          </cell>
          <cell r="E20">
            <v>1089299</v>
          </cell>
          <cell r="F20">
            <v>1040152</v>
          </cell>
          <cell r="G20">
            <v>875881</v>
          </cell>
          <cell r="H20">
            <v>1052637</v>
          </cell>
          <cell r="I20">
            <v>1068100</v>
          </cell>
          <cell r="J20">
            <v>853092</v>
          </cell>
          <cell r="K20">
            <v>857176</v>
          </cell>
          <cell r="O20">
            <v>8872012</v>
          </cell>
        </row>
        <row r="21">
          <cell r="B21" t="str">
            <v>RAIL</v>
          </cell>
          <cell r="C21">
            <v>722681</v>
          </cell>
          <cell r="D21">
            <v>520275</v>
          </cell>
          <cell r="E21">
            <v>826649</v>
          </cell>
          <cell r="F21">
            <v>308484</v>
          </cell>
          <cell r="G21">
            <v>52917</v>
          </cell>
          <cell r="H21">
            <v>32212</v>
          </cell>
          <cell r="I21">
            <v>282057</v>
          </cell>
          <cell r="J21">
            <v>265372</v>
          </cell>
          <cell r="K21">
            <v>638747</v>
          </cell>
          <cell r="O21">
            <v>3649394</v>
          </cell>
        </row>
        <row r="22">
          <cell r="B22" t="str">
            <v>대리점비</v>
          </cell>
          <cell r="C22">
            <v>1699526</v>
          </cell>
          <cell r="D22">
            <v>1223390</v>
          </cell>
          <cell r="E22">
            <v>1505161</v>
          </cell>
          <cell r="F22">
            <v>1593379</v>
          </cell>
          <cell r="G22">
            <v>1429351</v>
          </cell>
          <cell r="H22">
            <v>1513453</v>
          </cell>
          <cell r="I22">
            <v>1850951</v>
          </cell>
          <cell r="J22">
            <v>1468459</v>
          </cell>
          <cell r="K22">
            <v>1500115</v>
          </cell>
          <cell r="O22">
            <v>13783785</v>
          </cell>
        </row>
        <row r="23">
          <cell r="B23" t="str">
            <v>기기비</v>
          </cell>
          <cell r="C23">
            <v>4626929</v>
          </cell>
          <cell r="D23">
            <v>3731210</v>
          </cell>
          <cell r="E23">
            <v>4288809</v>
          </cell>
          <cell r="F23">
            <v>4969071</v>
          </cell>
          <cell r="G23">
            <v>4083927</v>
          </cell>
          <cell r="H23">
            <v>3980370</v>
          </cell>
          <cell r="I23">
            <v>4702673</v>
          </cell>
          <cell r="J23">
            <v>4068013</v>
          </cell>
          <cell r="K23">
            <v>4413605</v>
          </cell>
          <cell r="O23">
            <v>38864607</v>
          </cell>
        </row>
        <row r="24">
          <cell r="B24" t="str">
            <v>화물비 계</v>
          </cell>
          <cell r="C24">
            <v>17008707</v>
          </cell>
          <cell r="D24">
            <v>13384816</v>
          </cell>
          <cell r="E24">
            <v>16353759</v>
          </cell>
          <cell r="F24">
            <v>17828418</v>
          </cell>
          <cell r="G24">
            <v>14423876</v>
          </cell>
          <cell r="H24">
            <v>15011996</v>
          </cell>
          <cell r="I24">
            <v>18305050</v>
          </cell>
          <cell r="J24">
            <v>14786164</v>
          </cell>
          <cell r="K24">
            <v>15765060</v>
          </cell>
          <cell r="L24">
            <v>0</v>
          </cell>
          <cell r="M24">
            <v>0</v>
          </cell>
          <cell r="N24">
            <v>0</v>
          </cell>
          <cell r="O24">
            <v>142867846</v>
          </cell>
        </row>
        <row r="25">
          <cell r="B25" t="str">
            <v>화물이익</v>
          </cell>
          <cell r="C25">
            <v>9798167</v>
          </cell>
          <cell r="D25">
            <v>6832966</v>
          </cell>
          <cell r="E25">
            <v>8407989</v>
          </cell>
          <cell r="F25">
            <v>9564769</v>
          </cell>
          <cell r="G25">
            <v>9098947</v>
          </cell>
          <cell r="H25">
            <v>9621415</v>
          </cell>
          <cell r="I25">
            <v>12518841</v>
          </cell>
          <cell r="J25">
            <v>10024346</v>
          </cell>
          <cell r="K25">
            <v>10739765</v>
          </cell>
          <cell r="L25">
            <v>0</v>
          </cell>
          <cell r="M25">
            <v>0</v>
          </cell>
          <cell r="N25">
            <v>0</v>
          </cell>
          <cell r="O25">
            <v>86607205</v>
          </cell>
        </row>
        <row r="26">
          <cell r="B26" t="str">
            <v>항비</v>
          </cell>
          <cell r="C26">
            <v>1143344</v>
          </cell>
          <cell r="D26">
            <v>802961</v>
          </cell>
          <cell r="E26">
            <v>880542</v>
          </cell>
          <cell r="F26">
            <v>984090</v>
          </cell>
          <cell r="G26">
            <v>942541</v>
          </cell>
          <cell r="H26">
            <v>832371</v>
          </cell>
          <cell r="I26">
            <v>1112147</v>
          </cell>
          <cell r="J26">
            <v>822956</v>
          </cell>
          <cell r="K26">
            <v>758078</v>
          </cell>
          <cell r="O26">
            <v>8279030</v>
          </cell>
        </row>
        <row r="27">
          <cell r="B27" t="str">
            <v>연료비</v>
          </cell>
          <cell r="C27">
            <v>3364706</v>
          </cell>
          <cell r="D27">
            <v>2884964</v>
          </cell>
          <cell r="E27">
            <v>2992412</v>
          </cell>
          <cell r="F27">
            <v>3354765</v>
          </cell>
          <cell r="G27">
            <v>2783131</v>
          </cell>
          <cell r="H27">
            <v>2435274</v>
          </cell>
          <cell r="I27">
            <v>3307146</v>
          </cell>
          <cell r="J27">
            <v>2681061</v>
          </cell>
          <cell r="K27">
            <v>2664978</v>
          </cell>
          <cell r="O27">
            <v>26468437</v>
          </cell>
        </row>
        <row r="28">
          <cell r="B28" t="str">
            <v>용선료</v>
          </cell>
          <cell r="C28">
            <v>4246374</v>
          </cell>
          <cell r="D28">
            <v>3503017</v>
          </cell>
          <cell r="E28">
            <v>3664253</v>
          </cell>
          <cell r="F28">
            <v>3792777</v>
          </cell>
          <cell r="G28">
            <v>3986425</v>
          </cell>
          <cell r="H28">
            <v>3619836</v>
          </cell>
          <cell r="I28">
            <v>4420368</v>
          </cell>
          <cell r="J28">
            <v>3946855</v>
          </cell>
          <cell r="K28">
            <v>4001937</v>
          </cell>
          <cell r="O28">
            <v>35181842</v>
          </cell>
        </row>
        <row r="29">
          <cell r="B29" t="str">
            <v>운항고정비 계</v>
          </cell>
          <cell r="C29">
            <v>8754424</v>
          </cell>
          <cell r="D29">
            <v>7190942</v>
          </cell>
          <cell r="E29">
            <v>7537207</v>
          </cell>
          <cell r="F29">
            <v>8131632</v>
          </cell>
          <cell r="G29">
            <v>7712097</v>
          </cell>
          <cell r="H29">
            <v>6887481</v>
          </cell>
          <cell r="I29">
            <v>8839661</v>
          </cell>
          <cell r="J29">
            <v>7450872</v>
          </cell>
          <cell r="K29">
            <v>7424993</v>
          </cell>
          <cell r="L29">
            <v>0</v>
          </cell>
          <cell r="M29">
            <v>0</v>
          </cell>
          <cell r="N29">
            <v>0</v>
          </cell>
          <cell r="O29">
            <v>69929309</v>
          </cell>
        </row>
        <row r="30">
          <cell r="B30" t="str">
            <v>운항비용계</v>
          </cell>
          <cell r="C30">
            <v>25763131</v>
          </cell>
          <cell r="D30">
            <v>20575758</v>
          </cell>
          <cell r="E30">
            <v>23890966</v>
          </cell>
          <cell r="F30">
            <v>25960050</v>
          </cell>
          <cell r="G30">
            <v>22135973</v>
          </cell>
          <cell r="H30">
            <v>21899477</v>
          </cell>
          <cell r="I30">
            <v>27144711</v>
          </cell>
          <cell r="J30">
            <v>22237036</v>
          </cell>
          <cell r="K30">
            <v>23190053</v>
          </cell>
          <cell r="L30">
            <v>0</v>
          </cell>
          <cell r="M30">
            <v>0</v>
          </cell>
          <cell r="N30">
            <v>0</v>
          </cell>
          <cell r="O30">
            <v>212797155</v>
          </cell>
        </row>
        <row r="31">
          <cell r="A31" t="str">
            <v>운항손익</v>
          </cell>
          <cell r="C31">
            <v>5042972</v>
          </cell>
          <cell r="D31">
            <v>3262038</v>
          </cell>
          <cell r="E31">
            <v>3952698</v>
          </cell>
          <cell r="F31">
            <v>5067223</v>
          </cell>
          <cell r="G31">
            <v>4745404</v>
          </cell>
          <cell r="H31">
            <v>6093141</v>
          </cell>
          <cell r="I31">
            <v>7793602</v>
          </cell>
          <cell r="J31">
            <v>6160589</v>
          </cell>
          <cell r="K31">
            <v>6720855</v>
          </cell>
          <cell r="L31">
            <v>0</v>
          </cell>
          <cell r="M31">
            <v>0</v>
          </cell>
          <cell r="N31">
            <v>0</v>
          </cell>
          <cell r="O31">
            <v>48838522</v>
          </cell>
        </row>
        <row r="32">
          <cell r="A32" t="str">
            <v>고정비</v>
          </cell>
          <cell r="C32">
            <v>5114040</v>
          </cell>
          <cell r="D32">
            <v>4154015</v>
          </cell>
          <cell r="E32">
            <v>4251111</v>
          </cell>
          <cell r="F32">
            <v>4812774</v>
          </cell>
          <cell r="G32">
            <v>4704479</v>
          </cell>
          <cell r="H32">
            <v>3900515</v>
          </cell>
          <cell r="I32">
            <v>4806736</v>
          </cell>
          <cell r="J32">
            <v>3902510</v>
          </cell>
          <cell r="K32">
            <v>3858370</v>
          </cell>
          <cell r="O32">
            <v>39504550</v>
          </cell>
        </row>
        <row r="33">
          <cell r="A33" t="str">
            <v>영업손익</v>
          </cell>
          <cell r="C33">
            <v>-71068</v>
          </cell>
          <cell r="D33">
            <v>-891977</v>
          </cell>
          <cell r="E33">
            <v>-298413</v>
          </cell>
          <cell r="F33">
            <v>254449</v>
          </cell>
          <cell r="G33">
            <v>40925</v>
          </cell>
          <cell r="H33">
            <v>2192626</v>
          </cell>
          <cell r="I33">
            <v>2986866</v>
          </cell>
          <cell r="J33">
            <v>2258079</v>
          </cell>
          <cell r="K33">
            <v>2862485</v>
          </cell>
          <cell r="L33">
            <v>0</v>
          </cell>
          <cell r="M33">
            <v>0</v>
          </cell>
          <cell r="N33">
            <v>0</v>
          </cell>
          <cell r="O33">
            <v>9333972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9-1차이내역"/>
      <sheetName val="8-1순자산액계산서"/>
      <sheetName val="8-2평가차액계산명세서"/>
      <sheetName val="8-3순손익액계산서"/>
      <sheetName val="8-4영업권평가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보고표"/>
      <sheetName val="광양연간수(BASE)"/>
      <sheetName val="서류전형"/>
      <sheetName val="현금흐름(SPC)"/>
      <sheetName val="9-1차이내역"/>
      <sheetName val="필요면적"/>
      <sheetName val="2000년1차"/>
      <sheetName val="배선계획"/>
      <sheetName val="DATA"/>
      <sheetName val="REF"/>
      <sheetName val="구주(03실적)"/>
      <sheetName val="미주(03실적))"/>
      <sheetName val="아주(03실적)"/>
      <sheetName val="기별월별손익"/>
      <sheetName val="종기실공문"/>
      <sheetName val="수입"/>
      <sheetName val="PivotTable $"/>
      <sheetName val="년간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>
        <row r="14">
          <cell r="C14">
            <v>0.09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D4">
            <v>1.1664000000000001</v>
          </cell>
          <cell r="E4">
            <v>1.2597120000000002</v>
          </cell>
          <cell r="F4">
            <v>1.3604889600000003</v>
          </cell>
          <cell r="G4">
            <v>1.4693280768000003</v>
          </cell>
          <cell r="H4">
            <v>1.5868743229440005</v>
          </cell>
          <cell r="I4">
            <v>1.7138242687795207</v>
          </cell>
          <cell r="J4">
            <v>1.8509302102818823</v>
          </cell>
          <cell r="K4">
            <v>1.9990046271044331</v>
          </cell>
          <cell r="L4">
            <v>2.1589249972727877</v>
          </cell>
          <cell r="M4">
            <v>2.3316389970546108</v>
          </cell>
          <cell r="N4">
            <v>2.5181701168189798</v>
          </cell>
          <cell r="O4">
            <v>2.7196237261644982</v>
          </cell>
          <cell r="P4">
            <v>2.9371936242576586</v>
          </cell>
          <cell r="Q4">
            <v>3.1721691141982715</v>
          </cell>
          <cell r="R4">
            <v>3.4259426433341331</v>
          </cell>
          <cell r="S4">
            <v>3.7000180548008639</v>
          </cell>
          <cell r="T4">
            <v>3.9960194991849334</v>
          </cell>
          <cell r="U4">
            <v>4.3157010591197285</v>
          </cell>
          <cell r="V4">
            <v>4.6609571438493065</v>
          </cell>
          <cell r="W4">
            <v>5.0338337153572512</v>
          </cell>
          <cell r="X4">
            <v>5.4365404125858321</v>
          </cell>
          <cell r="Y4">
            <v>5.8714636455926987</v>
          </cell>
          <cell r="Z4">
            <v>6.3411807372401148</v>
          </cell>
          <cell r="AA4">
            <v>6.8484751962193249</v>
          </cell>
          <cell r="AB4">
            <v>7.3963532119168702</v>
          </cell>
          <cell r="AC4">
            <v>7.9880614688702201</v>
          </cell>
          <cell r="AD4">
            <v>8.6271063863798378</v>
          </cell>
          <cell r="AE4">
            <v>9.3172748972902255</v>
          </cell>
          <cell r="AF4">
            <v>10.062656889073445</v>
          </cell>
          <cell r="AG4">
            <v>10.867669440199322</v>
          </cell>
          <cell r="AH4">
            <v>11.737082995415268</v>
          </cell>
          <cell r="AI4">
            <v>12.676049635048489</v>
          </cell>
          <cell r="AJ4">
            <v>13.690133605852369</v>
          </cell>
          <cell r="AK4">
            <v>14.785344294320559</v>
          </cell>
          <cell r="AL4">
            <v>15.968171837866207</v>
          </cell>
          <cell r="AM4">
            <v>17.245625584895503</v>
          </cell>
          <cell r="AN4">
            <v>18.625275631687146</v>
          </cell>
          <cell r="AO4">
            <v>20.115297682222117</v>
          </cell>
          <cell r="AP4">
            <v>21.724521496799888</v>
          </cell>
          <cell r="AQ4">
            <v>23.46248321654388</v>
          </cell>
          <cell r="AR4">
            <v>25.339481873867388</v>
          </cell>
          <cell r="AS4">
            <v>27.366640423776779</v>
          </cell>
          <cell r="AT4">
            <v>29.555971657678928</v>
          </cell>
          <cell r="AU4">
            <v>31.920449390293239</v>
          </cell>
          <cell r="AV4">
            <v>34.474085341516705</v>
          </cell>
          <cell r="AW4">
            <v>37.232012168838047</v>
          </cell>
          <cell r="AX4">
            <v>40.210573142345083</v>
          </cell>
          <cell r="AY4">
            <v>43.427418993732694</v>
          </cell>
          <cell r="AZ4">
            <v>46.901612513231314</v>
          </cell>
          <cell r="BA4">
            <v>50.653741514289827</v>
          </cell>
          <cell r="BB4">
            <v>54.706040835433008</v>
          </cell>
          <cell r="BC4">
            <v>59.082524102267648</v>
          </cell>
          <cell r="BD4">
            <v>63.809126030449072</v>
          </cell>
          <cell r="BE4">
            <v>68.913856112885</v>
          </cell>
          <cell r="BF4">
            <v>74.426964601915799</v>
          </cell>
        </row>
        <row r="6">
          <cell r="G6">
            <v>1.4693280768000003</v>
          </cell>
          <cell r="H6">
            <v>1.5868743229440005</v>
          </cell>
          <cell r="I6">
            <v>1.7138242687795207</v>
          </cell>
          <cell r="J6">
            <v>1.8509302102818823</v>
          </cell>
          <cell r="K6">
            <v>1.9990046271044331</v>
          </cell>
          <cell r="L6">
            <v>2.1589249972727877</v>
          </cell>
          <cell r="M6">
            <v>2.3316389970546108</v>
          </cell>
          <cell r="N6">
            <v>2.5181701168189798</v>
          </cell>
          <cell r="O6">
            <v>2.7196237261644982</v>
          </cell>
          <cell r="P6">
            <v>2.9371936242576586</v>
          </cell>
          <cell r="Q6">
            <v>3.1721691141982715</v>
          </cell>
          <cell r="R6">
            <v>3.4259426433341331</v>
          </cell>
          <cell r="S6">
            <v>3.7000180548008639</v>
          </cell>
          <cell r="T6">
            <v>3.9960194991849334</v>
          </cell>
          <cell r="U6">
            <v>4.3157010591197285</v>
          </cell>
          <cell r="V6">
            <v>4.6609571438493065</v>
          </cell>
          <cell r="W6">
            <v>5.0338337153572512</v>
          </cell>
          <cell r="X6">
            <v>5.4365404125858321</v>
          </cell>
          <cell r="Y6">
            <v>5.8714636455926987</v>
          </cell>
          <cell r="Z6">
            <v>6.3411807372401148</v>
          </cell>
          <cell r="AA6">
            <v>6.8484751962193249</v>
          </cell>
          <cell r="AB6">
            <v>7.3963532119168702</v>
          </cell>
          <cell r="AC6">
            <v>7.9880614688702201</v>
          </cell>
          <cell r="AD6">
            <v>8.6271063863798378</v>
          </cell>
          <cell r="AE6">
            <v>9.3172748972902255</v>
          </cell>
          <cell r="AF6">
            <v>10.062656889073445</v>
          </cell>
          <cell r="AG6">
            <v>10.867669440199322</v>
          </cell>
          <cell r="AH6">
            <v>11.737082995415268</v>
          </cell>
          <cell r="AI6">
            <v>12.676049635048489</v>
          </cell>
          <cell r="AJ6">
            <v>13.690133605852369</v>
          </cell>
          <cell r="AK6">
            <v>14.785344294320559</v>
          </cell>
          <cell r="AL6">
            <v>15.968171837866207</v>
          </cell>
          <cell r="AM6">
            <v>17.245625584895503</v>
          </cell>
          <cell r="AN6">
            <v>18.625275631687146</v>
          </cell>
          <cell r="AO6">
            <v>20.115297682222117</v>
          </cell>
          <cell r="AP6">
            <v>21.724521496799888</v>
          </cell>
          <cell r="AQ6">
            <v>23.46248321654388</v>
          </cell>
          <cell r="AR6">
            <v>25.339481873867388</v>
          </cell>
          <cell r="AS6">
            <v>27.366640423776779</v>
          </cell>
          <cell r="AT6">
            <v>29.555971657678928</v>
          </cell>
          <cell r="AU6">
            <v>31.920449390293239</v>
          </cell>
          <cell r="AV6">
            <v>34.474085341516705</v>
          </cell>
          <cell r="AW6">
            <v>37.232012168838047</v>
          </cell>
          <cell r="AX6">
            <v>40.210573142345083</v>
          </cell>
          <cell r="AY6">
            <v>43.427418993732694</v>
          </cell>
          <cell r="AZ6">
            <v>46.901612513231314</v>
          </cell>
          <cell r="BA6">
            <v>50.653741514289827</v>
          </cell>
          <cell r="BB6">
            <v>54.706040835433008</v>
          </cell>
          <cell r="BC6">
            <v>59.082524102267648</v>
          </cell>
          <cell r="BD6">
            <v>63.809126030449072</v>
          </cell>
          <cell r="BE6">
            <v>68.913856112885</v>
          </cell>
          <cell r="BF6">
            <v>74.426964601915799</v>
          </cell>
          <cell r="BG6">
            <v>80.381121770069072</v>
          </cell>
          <cell r="BH6">
            <v>86.811611511674599</v>
          </cell>
          <cell r="BI6">
            <v>93.75654043260856</v>
          </cell>
          <cell r="BJ6">
            <v>109.35762876059464</v>
          </cell>
          <cell r="BK6">
            <v>118.10623906144222</v>
          </cell>
          <cell r="BL6">
            <v>127.55473818635762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POL</v>
          </cell>
          <cell r="B1" t="str">
            <v>POD</v>
          </cell>
          <cell r="C1" t="str">
            <v>Mode</v>
          </cell>
          <cell r="D1" t="str">
            <v>20F</v>
          </cell>
          <cell r="E1" t="str">
            <v>40F</v>
          </cell>
          <cell r="F1" t="str">
            <v>20E</v>
          </cell>
          <cell r="G1" t="str">
            <v>40E</v>
          </cell>
          <cell r="H1" t="str">
            <v>TEU</v>
          </cell>
        </row>
        <row r="2">
          <cell r="A2" t="str">
            <v>ABU</v>
          </cell>
          <cell r="B2" t="str">
            <v>DXB</v>
          </cell>
          <cell r="C2" t="str">
            <v>C.FDR</v>
          </cell>
          <cell r="D2">
            <v>0</v>
          </cell>
          <cell r="E2">
            <v>0</v>
          </cell>
          <cell r="F2">
            <v>2</v>
          </cell>
          <cell r="G2">
            <v>7</v>
          </cell>
          <cell r="H2">
            <v>16</v>
          </cell>
        </row>
        <row r="3">
          <cell r="A3" t="str">
            <v>ADB</v>
          </cell>
          <cell r="B3" t="str">
            <v>SHA</v>
          </cell>
          <cell r="C3" t="str">
            <v>M.VSL</v>
          </cell>
          <cell r="D3">
            <v>0</v>
          </cell>
          <cell r="E3">
            <v>0</v>
          </cell>
          <cell r="F3">
            <v>5</v>
          </cell>
          <cell r="G3">
            <v>3</v>
          </cell>
          <cell r="H3">
            <v>11</v>
          </cell>
        </row>
        <row r="4">
          <cell r="A4" t="str">
            <v>ADB</v>
          </cell>
          <cell r="B4" t="str">
            <v>SIN</v>
          </cell>
          <cell r="C4" t="str">
            <v>M.VSL</v>
          </cell>
          <cell r="D4">
            <v>0</v>
          </cell>
          <cell r="E4">
            <v>0</v>
          </cell>
          <cell r="F4">
            <v>1</v>
          </cell>
          <cell r="G4">
            <v>4</v>
          </cell>
          <cell r="H4">
            <v>9</v>
          </cell>
        </row>
        <row r="5">
          <cell r="A5" t="str">
            <v>ADL</v>
          </cell>
          <cell r="B5" t="str">
            <v>PKE</v>
          </cell>
          <cell r="C5" t="str">
            <v>M.VSL</v>
          </cell>
          <cell r="D5">
            <v>5</v>
          </cell>
          <cell r="E5">
            <v>1</v>
          </cell>
          <cell r="F5">
            <v>0</v>
          </cell>
          <cell r="G5">
            <v>0</v>
          </cell>
          <cell r="H5">
            <v>7</v>
          </cell>
        </row>
        <row r="6">
          <cell r="A6" t="str">
            <v>ADL</v>
          </cell>
          <cell r="B6" t="str">
            <v>SIN</v>
          </cell>
          <cell r="C6" t="str">
            <v>M.VSL</v>
          </cell>
          <cell r="D6">
            <v>33</v>
          </cell>
          <cell r="E6">
            <v>3</v>
          </cell>
          <cell r="F6">
            <v>0</v>
          </cell>
          <cell r="G6">
            <v>2</v>
          </cell>
          <cell r="H6">
            <v>43</v>
          </cell>
        </row>
        <row r="7">
          <cell r="A7" t="str">
            <v>ANT</v>
          </cell>
          <cell r="B7" t="str">
            <v>ADB</v>
          </cell>
          <cell r="C7" t="str">
            <v>M.VSL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8</v>
          </cell>
        </row>
        <row r="8">
          <cell r="A8" t="str">
            <v>ANT</v>
          </cell>
          <cell r="B8" t="str">
            <v>HKG</v>
          </cell>
          <cell r="C8" t="str">
            <v>M.VSL</v>
          </cell>
          <cell r="D8">
            <v>45</v>
          </cell>
          <cell r="E8">
            <v>89</v>
          </cell>
          <cell r="F8">
            <v>0</v>
          </cell>
          <cell r="G8">
            <v>9</v>
          </cell>
          <cell r="H8">
            <v>241</v>
          </cell>
        </row>
        <row r="9">
          <cell r="A9" t="str">
            <v>ANT</v>
          </cell>
          <cell r="B9" t="str">
            <v>SHA</v>
          </cell>
          <cell r="C9" t="str">
            <v>M.VSL</v>
          </cell>
          <cell r="D9">
            <v>51</v>
          </cell>
          <cell r="E9">
            <v>122</v>
          </cell>
          <cell r="F9">
            <v>50</v>
          </cell>
          <cell r="G9">
            <v>15</v>
          </cell>
          <cell r="H9">
            <v>375</v>
          </cell>
        </row>
        <row r="10">
          <cell r="A10" t="str">
            <v>ANT</v>
          </cell>
          <cell r="B10" t="str">
            <v>SIN</v>
          </cell>
          <cell r="C10" t="str">
            <v>M.VSL</v>
          </cell>
          <cell r="D10">
            <v>111</v>
          </cell>
          <cell r="E10">
            <v>251</v>
          </cell>
          <cell r="F10">
            <v>0</v>
          </cell>
          <cell r="G10">
            <v>0</v>
          </cell>
          <cell r="H10">
            <v>613</v>
          </cell>
        </row>
        <row r="11">
          <cell r="A11" t="str">
            <v>ANT</v>
          </cell>
          <cell r="B11" t="str">
            <v>YTN</v>
          </cell>
          <cell r="C11" t="str">
            <v>M.VSL</v>
          </cell>
          <cell r="D11">
            <v>0</v>
          </cell>
          <cell r="E11">
            <v>70</v>
          </cell>
          <cell r="F11">
            <v>50</v>
          </cell>
          <cell r="G11">
            <v>0</v>
          </cell>
          <cell r="H11">
            <v>190</v>
          </cell>
        </row>
        <row r="12">
          <cell r="A12" t="str">
            <v>BAL</v>
          </cell>
          <cell r="B12" t="str">
            <v>BRV</v>
          </cell>
          <cell r="C12" t="str">
            <v>M.VSL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5</v>
          </cell>
        </row>
        <row r="13">
          <cell r="A13" t="str">
            <v>BAL</v>
          </cell>
          <cell r="B13" t="str">
            <v>BSN</v>
          </cell>
          <cell r="C13" t="str">
            <v>M.VSL</v>
          </cell>
          <cell r="D13">
            <v>4</v>
          </cell>
          <cell r="E13">
            <v>0</v>
          </cell>
          <cell r="F13">
            <v>0</v>
          </cell>
          <cell r="G13">
            <v>0</v>
          </cell>
          <cell r="H13">
            <v>4</v>
          </cell>
        </row>
        <row r="14">
          <cell r="A14" t="str">
            <v>BAL</v>
          </cell>
          <cell r="B14" t="str">
            <v>HKG</v>
          </cell>
          <cell r="C14" t="str">
            <v>M.VSL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</row>
        <row r="15">
          <cell r="A15" t="str">
            <v>BAL</v>
          </cell>
          <cell r="B15" t="str">
            <v>KAO</v>
          </cell>
          <cell r="C15" t="str">
            <v>M.VSL</v>
          </cell>
          <cell r="D15">
            <v>3</v>
          </cell>
          <cell r="E15">
            <v>0</v>
          </cell>
          <cell r="F15">
            <v>0</v>
          </cell>
          <cell r="G15">
            <v>0</v>
          </cell>
          <cell r="H15">
            <v>3</v>
          </cell>
        </row>
        <row r="16">
          <cell r="A16" t="str">
            <v>BAL</v>
          </cell>
          <cell r="B16" t="str">
            <v>TKY</v>
          </cell>
          <cell r="C16" t="str">
            <v>M.VSL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3</v>
          </cell>
        </row>
        <row r="17">
          <cell r="A17" t="str">
            <v>BCN</v>
          </cell>
          <cell r="B17" t="str">
            <v>BSN</v>
          </cell>
          <cell r="C17" t="str">
            <v>M.VSL</v>
          </cell>
          <cell r="D17">
            <v>42</v>
          </cell>
          <cell r="E17">
            <v>16</v>
          </cell>
          <cell r="F17">
            <v>116</v>
          </cell>
          <cell r="G17">
            <v>71</v>
          </cell>
          <cell r="H17">
            <v>332</v>
          </cell>
        </row>
        <row r="18">
          <cell r="A18" t="str">
            <v>BCN</v>
          </cell>
          <cell r="B18" t="str">
            <v>FOS</v>
          </cell>
          <cell r="C18" t="str">
            <v>M.VSL</v>
          </cell>
          <cell r="D18">
            <v>0</v>
          </cell>
          <cell r="E18">
            <v>0</v>
          </cell>
          <cell r="F18">
            <v>13</v>
          </cell>
          <cell r="G18">
            <v>0</v>
          </cell>
          <cell r="H18">
            <v>13</v>
          </cell>
        </row>
        <row r="19">
          <cell r="A19" t="str">
            <v>BCN</v>
          </cell>
          <cell r="B19" t="str">
            <v>HKG</v>
          </cell>
          <cell r="C19" t="str">
            <v>M.VSL</v>
          </cell>
          <cell r="D19">
            <v>7</v>
          </cell>
          <cell r="E19">
            <v>6</v>
          </cell>
          <cell r="F19">
            <v>0</v>
          </cell>
          <cell r="G19">
            <v>0</v>
          </cell>
          <cell r="H19">
            <v>19</v>
          </cell>
        </row>
        <row r="20">
          <cell r="A20" t="str">
            <v>BCN</v>
          </cell>
          <cell r="B20" t="str">
            <v>JED</v>
          </cell>
          <cell r="C20" t="str">
            <v>M.VSL</v>
          </cell>
          <cell r="D20">
            <v>34</v>
          </cell>
          <cell r="E20">
            <v>14</v>
          </cell>
          <cell r="F20">
            <v>0</v>
          </cell>
          <cell r="G20">
            <v>0</v>
          </cell>
          <cell r="H20">
            <v>62</v>
          </cell>
        </row>
        <row r="21">
          <cell r="A21" t="str">
            <v>BCN</v>
          </cell>
          <cell r="B21" t="str">
            <v>KAO</v>
          </cell>
          <cell r="C21" t="str">
            <v>M.VSL</v>
          </cell>
          <cell r="D21">
            <v>0</v>
          </cell>
          <cell r="E21">
            <v>0</v>
          </cell>
          <cell r="F21">
            <v>25</v>
          </cell>
          <cell r="G21">
            <v>0</v>
          </cell>
          <cell r="H21">
            <v>25</v>
          </cell>
        </row>
        <row r="22">
          <cell r="A22" t="str">
            <v>BCN</v>
          </cell>
          <cell r="B22" t="str">
            <v>KEE</v>
          </cell>
          <cell r="C22" t="str">
            <v>M.VSL</v>
          </cell>
          <cell r="D22">
            <v>10</v>
          </cell>
          <cell r="E22">
            <v>3</v>
          </cell>
          <cell r="F22">
            <v>0</v>
          </cell>
          <cell r="G22">
            <v>25</v>
          </cell>
          <cell r="H22">
            <v>66</v>
          </cell>
        </row>
        <row r="23">
          <cell r="A23" t="str">
            <v>BCN</v>
          </cell>
          <cell r="B23" t="str">
            <v>KOB</v>
          </cell>
          <cell r="C23" t="str">
            <v>M.VSL</v>
          </cell>
          <cell r="D23">
            <v>8</v>
          </cell>
          <cell r="E23">
            <v>2</v>
          </cell>
          <cell r="F23">
            <v>31</v>
          </cell>
          <cell r="G23">
            <v>0</v>
          </cell>
          <cell r="H23">
            <v>43</v>
          </cell>
        </row>
        <row r="24">
          <cell r="A24" t="str">
            <v>BCN</v>
          </cell>
          <cell r="B24" t="str">
            <v>NGO</v>
          </cell>
          <cell r="C24" t="str">
            <v>M.VSL</v>
          </cell>
          <cell r="D24">
            <v>1</v>
          </cell>
          <cell r="E24">
            <v>1</v>
          </cell>
          <cell r="F24">
            <v>0</v>
          </cell>
          <cell r="G24">
            <v>0</v>
          </cell>
          <cell r="H24">
            <v>3</v>
          </cell>
        </row>
        <row r="25">
          <cell r="A25" t="str">
            <v>BCN</v>
          </cell>
          <cell r="B25" t="str">
            <v>PSA</v>
          </cell>
          <cell r="C25" t="str">
            <v>M.VSL</v>
          </cell>
          <cell r="D25">
            <v>1</v>
          </cell>
          <cell r="E25">
            <v>0</v>
          </cell>
          <cell r="F25">
            <v>0</v>
          </cell>
          <cell r="G25">
            <v>59</v>
          </cell>
          <cell r="H25">
            <v>119</v>
          </cell>
        </row>
        <row r="26">
          <cell r="A26" t="str">
            <v>BCN</v>
          </cell>
          <cell r="B26" t="str">
            <v>SIN</v>
          </cell>
          <cell r="C26" t="str">
            <v>M.VSL</v>
          </cell>
          <cell r="D26">
            <v>29</v>
          </cell>
          <cell r="E26">
            <v>17</v>
          </cell>
          <cell r="F26">
            <v>0</v>
          </cell>
          <cell r="G26">
            <v>0</v>
          </cell>
          <cell r="H26">
            <v>63</v>
          </cell>
        </row>
        <row r="27">
          <cell r="A27" t="str">
            <v>BCN</v>
          </cell>
          <cell r="B27" t="str">
            <v>YOK</v>
          </cell>
          <cell r="C27" t="str">
            <v>M.VSL</v>
          </cell>
          <cell r="D27">
            <v>11</v>
          </cell>
          <cell r="E27">
            <v>10</v>
          </cell>
          <cell r="F27">
            <v>0</v>
          </cell>
          <cell r="G27">
            <v>0</v>
          </cell>
          <cell r="H27">
            <v>31</v>
          </cell>
        </row>
        <row r="28">
          <cell r="A28" t="str">
            <v>BEB</v>
          </cell>
          <cell r="B28" t="str">
            <v>SIN</v>
          </cell>
          <cell r="C28" t="str">
            <v>M.VSL</v>
          </cell>
          <cell r="D28">
            <v>20</v>
          </cell>
          <cell r="E28">
            <v>0</v>
          </cell>
          <cell r="F28">
            <v>0</v>
          </cell>
          <cell r="G28">
            <v>4</v>
          </cell>
          <cell r="H28">
            <v>28</v>
          </cell>
        </row>
        <row r="29">
          <cell r="A29" t="str">
            <v>BHA</v>
          </cell>
          <cell r="B29" t="str">
            <v>DXB</v>
          </cell>
          <cell r="C29" t="str">
            <v>M.VSL</v>
          </cell>
          <cell r="D29">
            <v>29</v>
          </cell>
          <cell r="E29">
            <v>0</v>
          </cell>
          <cell r="F29">
            <v>5</v>
          </cell>
          <cell r="G29">
            <v>50</v>
          </cell>
          <cell r="H29">
            <v>134</v>
          </cell>
        </row>
        <row r="30">
          <cell r="A30" t="str">
            <v>BKK</v>
          </cell>
          <cell r="B30" t="str">
            <v>BSN</v>
          </cell>
          <cell r="C30" t="str">
            <v>M.VSL</v>
          </cell>
          <cell r="D30">
            <v>81</v>
          </cell>
          <cell r="E30">
            <v>46</v>
          </cell>
          <cell r="F30">
            <v>1</v>
          </cell>
          <cell r="G30">
            <v>0</v>
          </cell>
          <cell r="H30">
            <v>174</v>
          </cell>
        </row>
        <row r="31">
          <cell r="A31" t="str">
            <v>BKK</v>
          </cell>
          <cell r="B31" t="str">
            <v>HAT</v>
          </cell>
          <cell r="C31" t="str">
            <v>M.VSL</v>
          </cell>
          <cell r="D31">
            <v>17</v>
          </cell>
          <cell r="E31">
            <v>22</v>
          </cell>
          <cell r="F31">
            <v>0</v>
          </cell>
          <cell r="G31">
            <v>0</v>
          </cell>
          <cell r="H31">
            <v>61</v>
          </cell>
        </row>
        <row r="32">
          <cell r="A32" t="str">
            <v>BKK</v>
          </cell>
          <cell r="B32" t="str">
            <v>HKG</v>
          </cell>
          <cell r="C32" t="str">
            <v>M.VSL</v>
          </cell>
          <cell r="D32">
            <v>15</v>
          </cell>
          <cell r="E32">
            <v>42</v>
          </cell>
          <cell r="F32">
            <v>0</v>
          </cell>
          <cell r="G32">
            <v>0</v>
          </cell>
          <cell r="H32">
            <v>99</v>
          </cell>
        </row>
        <row r="33">
          <cell r="A33" t="str">
            <v>BKK</v>
          </cell>
          <cell r="B33" t="str">
            <v>HMN</v>
          </cell>
          <cell r="C33" t="str">
            <v>M.VSL</v>
          </cell>
          <cell r="D33">
            <v>84</v>
          </cell>
          <cell r="E33">
            <v>16</v>
          </cell>
          <cell r="F33">
            <v>0</v>
          </cell>
          <cell r="G33">
            <v>0</v>
          </cell>
          <cell r="H33">
            <v>116</v>
          </cell>
        </row>
        <row r="34">
          <cell r="A34" t="str">
            <v>BKK</v>
          </cell>
          <cell r="B34" t="str">
            <v>KEE</v>
          </cell>
          <cell r="C34" t="str">
            <v>M.VSL</v>
          </cell>
          <cell r="D34">
            <v>1</v>
          </cell>
          <cell r="E34">
            <v>1</v>
          </cell>
          <cell r="F34">
            <v>0</v>
          </cell>
          <cell r="G34">
            <v>0</v>
          </cell>
          <cell r="H34">
            <v>3</v>
          </cell>
        </row>
        <row r="35">
          <cell r="A35" t="str">
            <v>BKK</v>
          </cell>
          <cell r="B35" t="str">
            <v>KOB</v>
          </cell>
          <cell r="C35" t="str">
            <v>M.VSL</v>
          </cell>
          <cell r="D35">
            <v>40</v>
          </cell>
          <cell r="E35">
            <v>42</v>
          </cell>
          <cell r="F35">
            <v>0</v>
          </cell>
          <cell r="G35">
            <v>0</v>
          </cell>
          <cell r="H35">
            <v>124</v>
          </cell>
        </row>
        <row r="36">
          <cell r="A36" t="str">
            <v>BKK</v>
          </cell>
          <cell r="B36" t="str">
            <v>MAN</v>
          </cell>
          <cell r="C36" t="str">
            <v>M.VSL</v>
          </cell>
          <cell r="D36">
            <v>25</v>
          </cell>
          <cell r="E36">
            <v>30</v>
          </cell>
          <cell r="F36">
            <v>0</v>
          </cell>
          <cell r="G36">
            <v>0</v>
          </cell>
          <cell r="H36">
            <v>85</v>
          </cell>
        </row>
        <row r="37">
          <cell r="A37" t="str">
            <v>BKK</v>
          </cell>
          <cell r="B37" t="str">
            <v>NGO</v>
          </cell>
          <cell r="C37" t="str">
            <v>M.VSL</v>
          </cell>
          <cell r="D37">
            <v>33</v>
          </cell>
          <cell r="E37">
            <v>14</v>
          </cell>
          <cell r="F37">
            <v>0</v>
          </cell>
          <cell r="G37">
            <v>0</v>
          </cell>
          <cell r="H37">
            <v>61</v>
          </cell>
        </row>
        <row r="38">
          <cell r="A38" t="str">
            <v>BKK</v>
          </cell>
          <cell r="B38" t="str">
            <v>OSK</v>
          </cell>
          <cell r="C38" t="str">
            <v>M.VSL</v>
          </cell>
          <cell r="D38">
            <v>34</v>
          </cell>
          <cell r="E38">
            <v>37</v>
          </cell>
          <cell r="F38">
            <v>0</v>
          </cell>
          <cell r="G38">
            <v>0</v>
          </cell>
          <cell r="H38">
            <v>108</v>
          </cell>
        </row>
        <row r="39">
          <cell r="A39" t="str">
            <v>BKK</v>
          </cell>
          <cell r="B39" t="str">
            <v>SHZ</v>
          </cell>
          <cell r="C39" t="str">
            <v>M.VSL</v>
          </cell>
          <cell r="D39">
            <v>11</v>
          </cell>
          <cell r="E39">
            <v>3</v>
          </cell>
          <cell r="F39">
            <v>0</v>
          </cell>
          <cell r="G39">
            <v>0</v>
          </cell>
          <cell r="H39">
            <v>17</v>
          </cell>
        </row>
        <row r="40">
          <cell r="A40" t="str">
            <v>BKK</v>
          </cell>
          <cell r="B40" t="str">
            <v>SIN</v>
          </cell>
          <cell r="C40" t="str">
            <v>C.FDR</v>
          </cell>
          <cell r="D40">
            <v>157</v>
          </cell>
          <cell r="E40">
            <v>92</v>
          </cell>
          <cell r="F40">
            <v>0</v>
          </cell>
          <cell r="G40">
            <v>0</v>
          </cell>
          <cell r="H40">
            <v>341</v>
          </cell>
        </row>
        <row r="41">
          <cell r="A41" t="str">
            <v>BKK</v>
          </cell>
          <cell r="B41" t="str">
            <v>TKY</v>
          </cell>
          <cell r="C41" t="str">
            <v>M.VSL</v>
          </cell>
          <cell r="D41">
            <v>68</v>
          </cell>
          <cell r="E41">
            <v>89</v>
          </cell>
          <cell r="F41">
            <v>0</v>
          </cell>
          <cell r="G41">
            <v>0</v>
          </cell>
          <cell r="H41">
            <v>246</v>
          </cell>
        </row>
        <row r="42">
          <cell r="A42" t="str">
            <v>BKK</v>
          </cell>
          <cell r="B42" t="str">
            <v>YOK</v>
          </cell>
          <cell r="C42" t="str">
            <v>M.VSL</v>
          </cell>
          <cell r="D42">
            <v>22</v>
          </cell>
          <cell r="E42">
            <v>44</v>
          </cell>
          <cell r="F42">
            <v>0</v>
          </cell>
          <cell r="G42">
            <v>0</v>
          </cell>
          <cell r="H42">
            <v>110</v>
          </cell>
        </row>
        <row r="43">
          <cell r="A43" t="str">
            <v>BMS</v>
          </cell>
          <cell r="B43" t="str">
            <v>SUR</v>
          </cell>
          <cell r="C43" t="str">
            <v>C.FDR</v>
          </cell>
          <cell r="D43">
            <v>2</v>
          </cell>
          <cell r="E43">
            <v>13</v>
          </cell>
          <cell r="F43">
            <v>0</v>
          </cell>
          <cell r="G43">
            <v>0</v>
          </cell>
          <cell r="H43">
            <v>28</v>
          </cell>
        </row>
        <row r="44">
          <cell r="A44" t="str">
            <v>BNA</v>
          </cell>
          <cell r="B44" t="str">
            <v>NGB</v>
          </cell>
          <cell r="C44" t="str">
            <v>M.VSL</v>
          </cell>
          <cell r="D44">
            <v>0</v>
          </cell>
          <cell r="E44">
            <v>0</v>
          </cell>
          <cell r="F44">
            <v>9</v>
          </cell>
          <cell r="G44">
            <v>69</v>
          </cell>
          <cell r="H44">
            <v>147</v>
          </cell>
        </row>
        <row r="45">
          <cell r="A45" t="str">
            <v>BNA</v>
          </cell>
          <cell r="B45" t="str">
            <v>SHA</v>
          </cell>
          <cell r="C45" t="str">
            <v>M.VSL</v>
          </cell>
          <cell r="D45">
            <v>15</v>
          </cell>
          <cell r="E45">
            <v>1</v>
          </cell>
          <cell r="F45">
            <v>299</v>
          </cell>
          <cell r="G45">
            <v>13</v>
          </cell>
          <cell r="H45">
            <v>342</v>
          </cell>
        </row>
        <row r="46">
          <cell r="A46" t="str">
            <v>BNA</v>
          </cell>
          <cell r="B46" t="str">
            <v>SIN</v>
          </cell>
          <cell r="C46" t="str">
            <v>M.VSL</v>
          </cell>
          <cell r="D46">
            <v>101</v>
          </cell>
          <cell r="E46">
            <v>84</v>
          </cell>
          <cell r="F46">
            <v>19</v>
          </cell>
          <cell r="G46">
            <v>6</v>
          </cell>
          <cell r="H46">
            <v>300</v>
          </cell>
        </row>
        <row r="47">
          <cell r="A47" t="str">
            <v>BOM</v>
          </cell>
          <cell r="B47" t="str">
            <v>NSA</v>
          </cell>
          <cell r="C47" t="str">
            <v>C.FDR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</row>
        <row r="48">
          <cell r="A48" t="str">
            <v>BOM</v>
          </cell>
          <cell r="B48" t="str">
            <v>PNA</v>
          </cell>
          <cell r="C48" t="str">
            <v>M.VSL</v>
          </cell>
          <cell r="D48">
            <v>107</v>
          </cell>
          <cell r="E48">
            <v>0</v>
          </cell>
          <cell r="F48">
            <v>0</v>
          </cell>
          <cell r="G48">
            <v>11</v>
          </cell>
          <cell r="H48">
            <v>129</v>
          </cell>
        </row>
        <row r="49">
          <cell r="A49" t="str">
            <v>BOM</v>
          </cell>
          <cell r="B49" t="str">
            <v>SIN</v>
          </cell>
          <cell r="C49" t="str">
            <v>M.VSL</v>
          </cell>
          <cell r="D49">
            <v>136</v>
          </cell>
          <cell r="E49">
            <v>24</v>
          </cell>
          <cell r="F49">
            <v>3</v>
          </cell>
          <cell r="G49">
            <v>23</v>
          </cell>
          <cell r="H49">
            <v>233</v>
          </cell>
        </row>
        <row r="50">
          <cell r="A50" t="str">
            <v>BRS</v>
          </cell>
          <cell r="B50" t="str">
            <v>BSN</v>
          </cell>
          <cell r="C50" t="str">
            <v>M.VSL</v>
          </cell>
          <cell r="D50">
            <v>22</v>
          </cell>
          <cell r="E50">
            <v>14</v>
          </cell>
          <cell r="F50">
            <v>40</v>
          </cell>
          <cell r="G50">
            <v>6</v>
          </cell>
          <cell r="H50">
            <v>102</v>
          </cell>
        </row>
        <row r="51">
          <cell r="A51" t="str">
            <v>BRS</v>
          </cell>
          <cell r="B51" t="str">
            <v>HAT</v>
          </cell>
          <cell r="C51" t="str">
            <v>M.VSL</v>
          </cell>
          <cell r="D51">
            <v>2</v>
          </cell>
          <cell r="E51">
            <v>0</v>
          </cell>
          <cell r="F51">
            <v>0</v>
          </cell>
          <cell r="G51">
            <v>0</v>
          </cell>
          <cell r="H51">
            <v>2</v>
          </cell>
        </row>
        <row r="52">
          <cell r="A52" t="str">
            <v>BRS</v>
          </cell>
          <cell r="B52" t="str">
            <v>HKG</v>
          </cell>
          <cell r="C52" t="str">
            <v>M.VSL</v>
          </cell>
          <cell r="D52">
            <v>5</v>
          </cell>
          <cell r="E52">
            <v>3</v>
          </cell>
          <cell r="F52">
            <v>0</v>
          </cell>
          <cell r="G52">
            <v>0</v>
          </cell>
          <cell r="H52">
            <v>11</v>
          </cell>
        </row>
        <row r="53">
          <cell r="A53" t="str">
            <v>BRS</v>
          </cell>
          <cell r="B53" t="str">
            <v>KAO</v>
          </cell>
          <cell r="C53" t="str">
            <v>M.VSL</v>
          </cell>
          <cell r="D53">
            <v>1</v>
          </cell>
          <cell r="E53">
            <v>0</v>
          </cell>
          <cell r="F53">
            <v>10</v>
          </cell>
          <cell r="G53">
            <v>0</v>
          </cell>
          <cell r="H53">
            <v>11</v>
          </cell>
        </row>
        <row r="54">
          <cell r="A54" t="str">
            <v>BRS</v>
          </cell>
          <cell r="B54" t="str">
            <v>NGO</v>
          </cell>
          <cell r="C54" t="str">
            <v>M.VSL</v>
          </cell>
          <cell r="D54">
            <v>4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</row>
        <row r="55">
          <cell r="A55" t="str">
            <v>BRS</v>
          </cell>
          <cell r="B55" t="str">
            <v>OSK</v>
          </cell>
          <cell r="C55" t="str">
            <v>M.VSL</v>
          </cell>
          <cell r="D55">
            <v>2</v>
          </cell>
          <cell r="E55">
            <v>0</v>
          </cell>
          <cell r="F55">
            <v>0</v>
          </cell>
          <cell r="G55">
            <v>0</v>
          </cell>
          <cell r="H55">
            <v>2</v>
          </cell>
        </row>
        <row r="56">
          <cell r="A56" t="str">
            <v>BRS</v>
          </cell>
          <cell r="B56" t="str">
            <v>SHA</v>
          </cell>
          <cell r="C56" t="str">
            <v>M.VSL</v>
          </cell>
          <cell r="D56">
            <v>1</v>
          </cell>
          <cell r="E56">
            <v>0</v>
          </cell>
          <cell r="F56">
            <v>0</v>
          </cell>
          <cell r="G56">
            <v>0</v>
          </cell>
          <cell r="H56">
            <v>1</v>
          </cell>
        </row>
        <row r="57">
          <cell r="A57" t="str">
            <v>BRS</v>
          </cell>
          <cell r="B57" t="str">
            <v>YOA</v>
          </cell>
          <cell r="C57" t="str">
            <v>M.VSL</v>
          </cell>
          <cell r="D57">
            <v>6</v>
          </cell>
          <cell r="E57">
            <v>0</v>
          </cell>
          <cell r="F57">
            <v>0</v>
          </cell>
          <cell r="G57">
            <v>0</v>
          </cell>
          <cell r="H57">
            <v>6</v>
          </cell>
        </row>
        <row r="58">
          <cell r="A58" t="str">
            <v>BRS</v>
          </cell>
          <cell r="B58" t="str">
            <v>YOK</v>
          </cell>
          <cell r="C58" t="str">
            <v>M.VSL</v>
          </cell>
          <cell r="D58">
            <v>27</v>
          </cell>
          <cell r="E58">
            <v>3</v>
          </cell>
          <cell r="F58">
            <v>0</v>
          </cell>
          <cell r="G58">
            <v>0</v>
          </cell>
          <cell r="H58">
            <v>33</v>
          </cell>
        </row>
        <row r="59">
          <cell r="A59" t="str">
            <v>BRV</v>
          </cell>
          <cell r="B59" t="str">
            <v>ADB</v>
          </cell>
          <cell r="C59" t="str">
            <v>M.VSL</v>
          </cell>
          <cell r="D59">
            <v>4</v>
          </cell>
          <cell r="E59">
            <v>2</v>
          </cell>
          <cell r="F59">
            <v>0</v>
          </cell>
          <cell r="G59">
            <v>0</v>
          </cell>
          <cell r="H59">
            <v>8</v>
          </cell>
        </row>
        <row r="60">
          <cell r="A60" t="str">
            <v>BRV</v>
          </cell>
          <cell r="B60" t="str">
            <v>CST</v>
          </cell>
          <cell r="C60" t="str">
            <v>M.VSL</v>
          </cell>
          <cell r="D60">
            <v>19</v>
          </cell>
          <cell r="E60">
            <v>89</v>
          </cell>
          <cell r="F60">
            <v>0</v>
          </cell>
          <cell r="G60">
            <v>0</v>
          </cell>
          <cell r="H60">
            <v>197</v>
          </cell>
        </row>
        <row r="61">
          <cell r="A61" t="str">
            <v>BRV</v>
          </cell>
          <cell r="B61" t="str">
            <v>FEL</v>
          </cell>
          <cell r="C61" t="str">
            <v>M.VSL</v>
          </cell>
          <cell r="D61">
            <v>3</v>
          </cell>
          <cell r="E61">
            <v>7</v>
          </cell>
          <cell r="F61">
            <v>0</v>
          </cell>
          <cell r="G61">
            <v>0</v>
          </cell>
          <cell r="H61">
            <v>17</v>
          </cell>
        </row>
        <row r="62">
          <cell r="A62" t="str">
            <v>BRV</v>
          </cell>
          <cell r="B62" t="str">
            <v>HKG</v>
          </cell>
          <cell r="C62" t="str">
            <v>M.VSL</v>
          </cell>
          <cell r="D62">
            <v>8</v>
          </cell>
          <cell r="E62">
            <v>34</v>
          </cell>
          <cell r="F62">
            <v>0</v>
          </cell>
          <cell r="G62">
            <v>0</v>
          </cell>
          <cell r="H62">
            <v>76</v>
          </cell>
        </row>
        <row r="63">
          <cell r="A63" t="str">
            <v>BRV</v>
          </cell>
          <cell r="B63" t="str">
            <v>HOU</v>
          </cell>
          <cell r="C63" t="str">
            <v>M.VSL</v>
          </cell>
          <cell r="D63">
            <v>14</v>
          </cell>
          <cell r="E63">
            <v>29</v>
          </cell>
          <cell r="F63">
            <v>0</v>
          </cell>
          <cell r="G63">
            <v>0</v>
          </cell>
          <cell r="H63">
            <v>72</v>
          </cell>
        </row>
        <row r="64">
          <cell r="A64" t="str">
            <v>BRV</v>
          </cell>
          <cell r="B64" t="str">
            <v>NRF</v>
          </cell>
          <cell r="C64" t="str">
            <v>M.VSL</v>
          </cell>
          <cell r="D64">
            <v>2</v>
          </cell>
          <cell r="E64">
            <v>17</v>
          </cell>
          <cell r="F64">
            <v>0</v>
          </cell>
          <cell r="G64">
            <v>0</v>
          </cell>
          <cell r="H64">
            <v>36</v>
          </cell>
        </row>
        <row r="65">
          <cell r="A65" t="str">
            <v>BRV</v>
          </cell>
          <cell r="B65" t="str">
            <v>NYC</v>
          </cell>
          <cell r="C65" t="str">
            <v>M.VSL</v>
          </cell>
          <cell r="D65">
            <v>16</v>
          </cell>
          <cell r="E65">
            <v>99</v>
          </cell>
          <cell r="F65">
            <v>0</v>
          </cell>
          <cell r="G65">
            <v>0</v>
          </cell>
          <cell r="H65">
            <v>214</v>
          </cell>
        </row>
        <row r="66">
          <cell r="A66" t="str">
            <v>BRV</v>
          </cell>
          <cell r="B66" t="str">
            <v>PEF</v>
          </cell>
          <cell r="C66" t="str">
            <v>M.VSL</v>
          </cell>
          <cell r="D66">
            <v>3</v>
          </cell>
          <cell r="E66">
            <v>3</v>
          </cell>
          <cell r="F66">
            <v>0</v>
          </cell>
          <cell r="G66">
            <v>0</v>
          </cell>
          <cell r="H66">
            <v>9</v>
          </cell>
        </row>
        <row r="67">
          <cell r="A67" t="str">
            <v>BRV</v>
          </cell>
          <cell r="B67" t="str">
            <v>SHA</v>
          </cell>
          <cell r="C67" t="str">
            <v>M.VSL</v>
          </cell>
          <cell r="D67">
            <v>53</v>
          </cell>
          <cell r="E67">
            <v>113</v>
          </cell>
          <cell r="F67">
            <v>140</v>
          </cell>
          <cell r="G67">
            <v>8</v>
          </cell>
          <cell r="H67">
            <v>435</v>
          </cell>
        </row>
        <row r="68">
          <cell r="A68" t="str">
            <v>BRV</v>
          </cell>
          <cell r="B68" t="str">
            <v>SIN</v>
          </cell>
          <cell r="C68" t="str">
            <v>M.VSL</v>
          </cell>
          <cell r="D68">
            <v>16</v>
          </cell>
          <cell r="E68">
            <v>69</v>
          </cell>
          <cell r="F68">
            <v>1</v>
          </cell>
          <cell r="G68">
            <v>0</v>
          </cell>
          <cell r="H68">
            <v>155</v>
          </cell>
        </row>
        <row r="69">
          <cell r="A69" t="str">
            <v>BRV</v>
          </cell>
          <cell r="B69" t="str">
            <v>SVN</v>
          </cell>
          <cell r="C69" t="str">
            <v>M.VSL</v>
          </cell>
          <cell r="D69">
            <v>1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</row>
        <row r="70">
          <cell r="A70" t="str">
            <v>BRV</v>
          </cell>
          <cell r="B70" t="str">
            <v>YTN</v>
          </cell>
          <cell r="C70" t="str">
            <v>M.VSL</v>
          </cell>
          <cell r="D70">
            <v>67</v>
          </cell>
          <cell r="E70">
            <v>1</v>
          </cell>
          <cell r="F70">
            <v>60</v>
          </cell>
          <cell r="G70">
            <v>0</v>
          </cell>
          <cell r="H70">
            <v>129</v>
          </cell>
        </row>
        <row r="71">
          <cell r="A71" t="str">
            <v>BSN</v>
          </cell>
          <cell r="B71" t="str">
            <v>AKI</v>
          </cell>
          <cell r="C71" t="str">
            <v>C.FDR</v>
          </cell>
          <cell r="D71">
            <v>3</v>
          </cell>
          <cell r="E71">
            <v>11</v>
          </cell>
          <cell r="F71">
            <v>0</v>
          </cell>
          <cell r="G71">
            <v>0</v>
          </cell>
          <cell r="H71">
            <v>25</v>
          </cell>
        </row>
        <row r="72">
          <cell r="A72" t="str">
            <v>BSN</v>
          </cell>
          <cell r="B72" t="str">
            <v>BAL</v>
          </cell>
          <cell r="C72" t="str">
            <v>M.VSL</v>
          </cell>
          <cell r="D72">
            <v>6</v>
          </cell>
          <cell r="E72">
            <v>13</v>
          </cell>
          <cell r="F72">
            <v>0</v>
          </cell>
          <cell r="G72">
            <v>0</v>
          </cell>
          <cell r="H72">
            <v>32</v>
          </cell>
        </row>
        <row r="73">
          <cell r="A73" t="str">
            <v>BSN</v>
          </cell>
          <cell r="B73" t="str">
            <v>BCN</v>
          </cell>
          <cell r="C73" t="str">
            <v>M.VSL</v>
          </cell>
          <cell r="D73">
            <v>69</v>
          </cell>
          <cell r="E73">
            <v>28</v>
          </cell>
          <cell r="F73">
            <v>0</v>
          </cell>
          <cell r="G73">
            <v>0</v>
          </cell>
          <cell r="H73">
            <v>125</v>
          </cell>
        </row>
        <row r="74">
          <cell r="A74" t="str">
            <v>BSN</v>
          </cell>
          <cell r="B74" t="str">
            <v>BKK</v>
          </cell>
          <cell r="C74" t="str">
            <v>M.VSL</v>
          </cell>
          <cell r="D74">
            <v>68</v>
          </cell>
          <cell r="E74">
            <v>64</v>
          </cell>
          <cell r="F74">
            <v>0</v>
          </cell>
          <cell r="G74">
            <v>0</v>
          </cell>
          <cell r="H74">
            <v>196</v>
          </cell>
        </row>
        <row r="75">
          <cell r="A75" t="str">
            <v>BSN</v>
          </cell>
          <cell r="B75" t="str">
            <v>BRS</v>
          </cell>
          <cell r="C75" t="str">
            <v>M.VSL</v>
          </cell>
          <cell r="D75">
            <v>4</v>
          </cell>
          <cell r="E75">
            <v>0</v>
          </cell>
          <cell r="F75">
            <v>0</v>
          </cell>
          <cell r="G75">
            <v>0</v>
          </cell>
          <cell r="H75">
            <v>4</v>
          </cell>
        </row>
        <row r="76">
          <cell r="A76" t="str">
            <v>BSN</v>
          </cell>
          <cell r="B76" t="str">
            <v>CST</v>
          </cell>
          <cell r="C76" t="str">
            <v>M.VSL</v>
          </cell>
          <cell r="D76">
            <v>34</v>
          </cell>
          <cell r="E76">
            <v>73</v>
          </cell>
          <cell r="F76">
            <v>0</v>
          </cell>
          <cell r="G76">
            <v>0</v>
          </cell>
          <cell r="H76">
            <v>180</v>
          </cell>
        </row>
        <row r="77">
          <cell r="A77" t="str">
            <v>BSN</v>
          </cell>
          <cell r="B77" t="str">
            <v>DDX</v>
          </cell>
          <cell r="C77" t="str">
            <v>C.FDR</v>
          </cell>
          <cell r="D77">
            <v>0</v>
          </cell>
          <cell r="E77">
            <v>1</v>
          </cell>
          <cell r="F77">
            <v>0</v>
          </cell>
          <cell r="G77">
            <v>130</v>
          </cell>
          <cell r="H77">
            <v>262</v>
          </cell>
        </row>
        <row r="78">
          <cell r="A78" t="str">
            <v>BSN</v>
          </cell>
          <cell r="B78" t="str">
            <v>DLI</v>
          </cell>
          <cell r="C78" t="str">
            <v>M.VSL</v>
          </cell>
          <cell r="D78">
            <v>164</v>
          </cell>
          <cell r="E78">
            <v>94</v>
          </cell>
          <cell r="F78">
            <v>12</v>
          </cell>
          <cell r="G78">
            <v>45</v>
          </cell>
          <cell r="H78">
            <v>454</v>
          </cell>
        </row>
        <row r="79">
          <cell r="A79" t="str">
            <v>BSN</v>
          </cell>
          <cell r="B79" t="str">
            <v>DLI</v>
          </cell>
          <cell r="C79" t="str">
            <v>C.FDR</v>
          </cell>
          <cell r="D79">
            <v>69</v>
          </cell>
          <cell r="E79">
            <v>203</v>
          </cell>
          <cell r="F79">
            <v>66</v>
          </cell>
          <cell r="G79">
            <v>220</v>
          </cell>
          <cell r="H79">
            <v>981</v>
          </cell>
        </row>
        <row r="80">
          <cell r="A80" t="str">
            <v>BSN</v>
          </cell>
          <cell r="B80" t="str">
            <v>DMM</v>
          </cell>
          <cell r="C80" t="str">
            <v>M.VSL</v>
          </cell>
          <cell r="D80">
            <v>42</v>
          </cell>
          <cell r="E80">
            <v>100</v>
          </cell>
          <cell r="F80">
            <v>0</v>
          </cell>
          <cell r="G80">
            <v>0</v>
          </cell>
          <cell r="H80">
            <v>242</v>
          </cell>
        </row>
        <row r="81">
          <cell r="A81" t="str">
            <v>BSN</v>
          </cell>
          <cell r="B81" t="str">
            <v>DXB</v>
          </cell>
          <cell r="C81" t="str">
            <v>M.VSL</v>
          </cell>
          <cell r="D81">
            <v>87</v>
          </cell>
          <cell r="E81">
            <v>117</v>
          </cell>
          <cell r="F81">
            <v>0</v>
          </cell>
          <cell r="G81">
            <v>2</v>
          </cell>
          <cell r="H81">
            <v>325</v>
          </cell>
        </row>
        <row r="82">
          <cell r="A82" t="str">
            <v>BSN</v>
          </cell>
          <cell r="B82" t="str">
            <v>FOS</v>
          </cell>
          <cell r="C82" t="str">
            <v>M.VSL</v>
          </cell>
          <cell r="D82">
            <v>12</v>
          </cell>
          <cell r="E82">
            <v>3</v>
          </cell>
          <cell r="F82">
            <v>0</v>
          </cell>
          <cell r="G82">
            <v>0</v>
          </cell>
          <cell r="H82">
            <v>18</v>
          </cell>
        </row>
        <row r="83">
          <cell r="A83" t="str">
            <v>BSN</v>
          </cell>
          <cell r="B83" t="str">
            <v>FUK</v>
          </cell>
          <cell r="C83" t="str">
            <v>C.FDR</v>
          </cell>
          <cell r="D83">
            <v>1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</row>
        <row r="84">
          <cell r="A84" t="str">
            <v>BSN</v>
          </cell>
          <cell r="B84" t="str">
            <v>GEN</v>
          </cell>
          <cell r="C84" t="str">
            <v>M.VSL</v>
          </cell>
          <cell r="D84">
            <v>50</v>
          </cell>
          <cell r="E84">
            <v>107</v>
          </cell>
          <cell r="F84">
            <v>0</v>
          </cell>
          <cell r="G84">
            <v>0</v>
          </cell>
          <cell r="H84">
            <v>264</v>
          </cell>
        </row>
        <row r="85">
          <cell r="A85" t="str">
            <v>BSN</v>
          </cell>
          <cell r="B85" t="str">
            <v>HAC</v>
          </cell>
          <cell r="C85" t="str">
            <v>C.FDR</v>
          </cell>
          <cell r="D85">
            <v>3</v>
          </cell>
          <cell r="E85">
            <v>8</v>
          </cell>
          <cell r="F85">
            <v>0</v>
          </cell>
          <cell r="G85">
            <v>0</v>
          </cell>
          <cell r="H85">
            <v>19</v>
          </cell>
        </row>
        <row r="86">
          <cell r="A86" t="str">
            <v>BSN</v>
          </cell>
          <cell r="B86" t="str">
            <v>HAM</v>
          </cell>
          <cell r="C86" t="str">
            <v>M.VSL</v>
          </cell>
          <cell r="D86">
            <v>303</v>
          </cell>
          <cell r="E86">
            <v>267</v>
          </cell>
          <cell r="F86">
            <v>0</v>
          </cell>
          <cell r="G86">
            <v>50</v>
          </cell>
          <cell r="H86">
            <v>937</v>
          </cell>
        </row>
        <row r="87">
          <cell r="A87" t="str">
            <v>BSN</v>
          </cell>
          <cell r="B87" t="str">
            <v>HAT</v>
          </cell>
          <cell r="C87" t="str">
            <v>M.VSL</v>
          </cell>
          <cell r="D87">
            <v>36</v>
          </cell>
          <cell r="E87">
            <v>80</v>
          </cell>
          <cell r="F87">
            <v>0</v>
          </cell>
          <cell r="G87">
            <v>30</v>
          </cell>
          <cell r="H87">
            <v>256</v>
          </cell>
        </row>
        <row r="88">
          <cell r="A88" t="str">
            <v>BSN</v>
          </cell>
          <cell r="B88" t="str">
            <v>HAT</v>
          </cell>
          <cell r="C88" t="str">
            <v>C.FDR</v>
          </cell>
          <cell r="D88">
            <v>1</v>
          </cell>
          <cell r="E88">
            <v>2</v>
          </cell>
          <cell r="F88">
            <v>0</v>
          </cell>
          <cell r="G88">
            <v>0</v>
          </cell>
          <cell r="H88">
            <v>5</v>
          </cell>
        </row>
        <row r="89">
          <cell r="A89" t="str">
            <v>BSN</v>
          </cell>
          <cell r="B89" t="str">
            <v>HKG</v>
          </cell>
          <cell r="C89" t="str">
            <v>M.VSL</v>
          </cell>
          <cell r="D89">
            <v>349</v>
          </cell>
          <cell r="E89">
            <v>725</v>
          </cell>
          <cell r="F89">
            <v>0</v>
          </cell>
          <cell r="G89">
            <v>1</v>
          </cell>
          <cell r="H89">
            <v>1801</v>
          </cell>
        </row>
        <row r="90">
          <cell r="A90" t="str">
            <v>BSN</v>
          </cell>
          <cell r="B90" t="str">
            <v>HMN</v>
          </cell>
          <cell r="C90" t="str">
            <v>M.VSL</v>
          </cell>
          <cell r="D90">
            <v>199</v>
          </cell>
          <cell r="E90">
            <v>83</v>
          </cell>
          <cell r="F90">
            <v>0</v>
          </cell>
          <cell r="G90">
            <v>0</v>
          </cell>
          <cell r="H90">
            <v>365</v>
          </cell>
        </row>
        <row r="91">
          <cell r="A91" t="str">
            <v>BSN</v>
          </cell>
          <cell r="B91" t="str">
            <v>HOS</v>
          </cell>
          <cell r="C91" t="str">
            <v>C.FDR</v>
          </cell>
          <cell r="D91">
            <v>19</v>
          </cell>
          <cell r="E91">
            <v>11</v>
          </cell>
          <cell r="F91">
            <v>0</v>
          </cell>
          <cell r="G91">
            <v>0</v>
          </cell>
          <cell r="H91">
            <v>41</v>
          </cell>
        </row>
        <row r="92">
          <cell r="A92" t="str">
            <v>BSN</v>
          </cell>
          <cell r="B92" t="str">
            <v>HRS</v>
          </cell>
          <cell r="C92" t="str">
            <v>C.FDR</v>
          </cell>
          <cell r="D92">
            <v>0</v>
          </cell>
          <cell r="E92">
            <v>3</v>
          </cell>
          <cell r="F92">
            <v>0</v>
          </cell>
          <cell r="G92">
            <v>0</v>
          </cell>
          <cell r="H92">
            <v>6</v>
          </cell>
        </row>
        <row r="93">
          <cell r="A93" t="str">
            <v>BSN</v>
          </cell>
          <cell r="B93" t="str">
            <v>IMA</v>
          </cell>
          <cell r="C93" t="str">
            <v>C.FDR</v>
          </cell>
          <cell r="D93">
            <v>16</v>
          </cell>
          <cell r="E93">
            <v>0</v>
          </cell>
          <cell r="F93">
            <v>0</v>
          </cell>
          <cell r="G93">
            <v>0</v>
          </cell>
          <cell r="H93">
            <v>16</v>
          </cell>
        </row>
        <row r="94">
          <cell r="A94" t="str">
            <v>BSN</v>
          </cell>
          <cell r="B94" t="str">
            <v>ISJ</v>
          </cell>
          <cell r="C94" t="str">
            <v>C.FDR</v>
          </cell>
          <cell r="D94">
            <v>2</v>
          </cell>
          <cell r="E94">
            <v>8</v>
          </cell>
          <cell r="F94">
            <v>0</v>
          </cell>
          <cell r="G94">
            <v>0</v>
          </cell>
          <cell r="H94">
            <v>18</v>
          </cell>
        </row>
        <row r="95">
          <cell r="A95" t="str">
            <v>BSN</v>
          </cell>
          <cell r="B95" t="str">
            <v>JAK</v>
          </cell>
          <cell r="C95" t="str">
            <v>M.VSL</v>
          </cell>
          <cell r="D95">
            <v>334</v>
          </cell>
          <cell r="E95">
            <v>280</v>
          </cell>
          <cell r="F95">
            <v>0</v>
          </cell>
          <cell r="G95">
            <v>0</v>
          </cell>
          <cell r="H95">
            <v>894</v>
          </cell>
        </row>
        <row r="96">
          <cell r="A96" t="str">
            <v>BSN</v>
          </cell>
          <cell r="B96" t="str">
            <v>JMY</v>
          </cell>
          <cell r="C96" t="str">
            <v>C.FDR</v>
          </cell>
          <cell r="D96">
            <v>2</v>
          </cell>
          <cell r="E96">
            <v>5</v>
          </cell>
          <cell r="F96">
            <v>0</v>
          </cell>
          <cell r="G96">
            <v>0</v>
          </cell>
          <cell r="H96">
            <v>12</v>
          </cell>
        </row>
        <row r="97">
          <cell r="A97" t="str">
            <v>BSN</v>
          </cell>
          <cell r="B97" t="str">
            <v>KAF</v>
          </cell>
          <cell r="C97" t="str">
            <v>C.FDR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</row>
        <row r="98">
          <cell r="A98" t="str">
            <v>BSN</v>
          </cell>
          <cell r="B98" t="str">
            <v>KAH</v>
          </cell>
          <cell r="C98" t="str">
            <v>M.VSL</v>
          </cell>
          <cell r="D98">
            <v>74</v>
          </cell>
          <cell r="E98">
            <v>34</v>
          </cell>
          <cell r="F98">
            <v>0</v>
          </cell>
          <cell r="G98">
            <v>0</v>
          </cell>
          <cell r="H98">
            <v>142</v>
          </cell>
        </row>
        <row r="99">
          <cell r="A99" t="str">
            <v>BSN</v>
          </cell>
          <cell r="B99" t="str">
            <v>KAO</v>
          </cell>
          <cell r="C99" t="str">
            <v>M.VSL</v>
          </cell>
          <cell r="D99">
            <v>107</v>
          </cell>
          <cell r="E99">
            <v>157</v>
          </cell>
          <cell r="F99">
            <v>9</v>
          </cell>
          <cell r="G99">
            <v>3</v>
          </cell>
          <cell r="H99">
            <v>436</v>
          </cell>
        </row>
        <row r="100">
          <cell r="A100" t="str">
            <v>BSN</v>
          </cell>
          <cell r="B100" t="str">
            <v>KAO</v>
          </cell>
          <cell r="C100" t="str">
            <v>C.FDR</v>
          </cell>
          <cell r="D100">
            <v>0</v>
          </cell>
          <cell r="E100">
            <v>1</v>
          </cell>
          <cell r="F100">
            <v>0</v>
          </cell>
          <cell r="G100">
            <v>0</v>
          </cell>
          <cell r="H100">
            <v>2</v>
          </cell>
        </row>
        <row r="101">
          <cell r="A101" t="str">
            <v>BSN</v>
          </cell>
          <cell r="B101" t="str">
            <v>KAZ</v>
          </cell>
          <cell r="C101" t="str">
            <v>C.FDR</v>
          </cell>
          <cell r="D101">
            <v>2</v>
          </cell>
          <cell r="E101">
            <v>2</v>
          </cell>
          <cell r="F101">
            <v>0</v>
          </cell>
          <cell r="G101">
            <v>0</v>
          </cell>
          <cell r="H101">
            <v>6</v>
          </cell>
        </row>
        <row r="102">
          <cell r="A102" t="str">
            <v>BSN</v>
          </cell>
          <cell r="B102" t="str">
            <v>KCX</v>
          </cell>
          <cell r="C102" t="str">
            <v>C.FDR</v>
          </cell>
          <cell r="D102">
            <v>0</v>
          </cell>
          <cell r="E102">
            <v>1</v>
          </cell>
          <cell r="F102">
            <v>0</v>
          </cell>
          <cell r="G102">
            <v>0</v>
          </cell>
          <cell r="H102">
            <v>2</v>
          </cell>
        </row>
        <row r="103">
          <cell r="A103" t="str">
            <v>BSN</v>
          </cell>
          <cell r="B103" t="str">
            <v>KEE</v>
          </cell>
          <cell r="C103" t="str">
            <v>M.VSL</v>
          </cell>
          <cell r="D103">
            <v>110</v>
          </cell>
          <cell r="E103">
            <v>132</v>
          </cell>
          <cell r="F103">
            <v>0</v>
          </cell>
          <cell r="G103">
            <v>0</v>
          </cell>
          <cell r="H103">
            <v>374</v>
          </cell>
        </row>
        <row r="104">
          <cell r="A104" t="str">
            <v>BSN</v>
          </cell>
          <cell r="B104" t="str">
            <v>KOB</v>
          </cell>
          <cell r="C104" t="str">
            <v>M.VSL</v>
          </cell>
          <cell r="D104">
            <v>1</v>
          </cell>
          <cell r="E104">
            <v>0</v>
          </cell>
          <cell r="F104">
            <v>1</v>
          </cell>
          <cell r="G104">
            <v>5</v>
          </cell>
          <cell r="H104">
            <v>12</v>
          </cell>
        </row>
        <row r="105">
          <cell r="A105" t="str">
            <v>BSN</v>
          </cell>
          <cell r="B105" t="str">
            <v>KOB</v>
          </cell>
          <cell r="C105" t="str">
            <v>C.FDR</v>
          </cell>
          <cell r="D105">
            <v>20</v>
          </cell>
          <cell r="E105">
            <v>2</v>
          </cell>
          <cell r="F105">
            <v>0</v>
          </cell>
          <cell r="G105">
            <v>0</v>
          </cell>
          <cell r="H105">
            <v>24</v>
          </cell>
        </row>
        <row r="106">
          <cell r="A106" t="str">
            <v>BSN</v>
          </cell>
          <cell r="B106" t="str">
            <v>KYG</v>
          </cell>
          <cell r="C106" t="str">
            <v>M.VSL</v>
          </cell>
          <cell r="D106">
            <v>0</v>
          </cell>
          <cell r="E106">
            <v>10</v>
          </cell>
          <cell r="F106">
            <v>0</v>
          </cell>
          <cell r="G106">
            <v>0</v>
          </cell>
          <cell r="H106">
            <v>20</v>
          </cell>
        </row>
        <row r="107">
          <cell r="A107" t="str">
            <v>BSN</v>
          </cell>
          <cell r="B107" t="str">
            <v>LBH</v>
          </cell>
          <cell r="C107" t="str">
            <v>M.VSL</v>
          </cell>
          <cell r="D107">
            <v>995</v>
          </cell>
          <cell r="E107">
            <v>3766</v>
          </cell>
          <cell r="F107">
            <v>0</v>
          </cell>
          <cell r="G107">
            <v>31</v>
          </cell>
          <cell r="H107">
            <v>8589</v>
          </cell>
        </row>
        <row r="108">
          <cell r="A108" t="str">
            <v>BSN</v>
          </cell>
          <cell r="B108" t="str">
            <v>LCB</v>
          </cell>
          <cell r="C108" t="str">
            <v>M.VSL</v>
          </cell>
          <cell r="D108">
            <v>27</v>
          </cell>
          <cell r="E108">
            <v>72</v>
          </cell>
          <cell r="F108">
            <v>0</v>
          </cell>
          <cell r="G108">
            <v>5</v>
          </cell>
          <cell r="H108">
            <v>181</v>
          </cell>
        </row>
        <row r="109">
          <cell r="A109" t="str">
            <v>BSN</v>
          </cell>
          <cell r="B109" t="str">
            <v>LEH</v>
          </cell>
          <cell r="C109" t="str">
            <v>M.VSL</v>
          </cell>
          <cell r="D109">
            <v>120</v>
          </cell>
          <cell r="E109">
            <v>96</v>
          </cell>
          <cell r="F109">
            <v>0</v>
          </cell>
          <cell r="G109">
            <v>0</v>
          </cell>
          <cell r="H109">
            <v>312</v>
          </cell>
        </row>
        <row r="110">
          <cell r="A110" t="str">
            <v>BSN</v>
          </cell>
          <cell r="B110" t="str">
            <v>LYG</v>
          </cell>
          <cell r="C110" t="str">
            <v>C.FDR</v>
          </cell>
          <cell r="D110">
            <v>6</v>
          </cell>
          <cell r="E110">
            <v>0</v>
          </cell>
          <cell r="F110">
            <v>0</v>
          </cell>
          <cell r="G110">
            <v>0</v>
          </cell>
          <cell r="H110">
            <v>6</v>
          </cell>
        </row>
        <row r="111">
          <cell r="A111" t="str">
            <v>BSN</v>
          </cell>
          <cell r="B111" t="str">
            <v>MAN</v>
          </cell>
          <cell r="C111" t="str">
            <v>M.VSL</v>
          </cell>
          <cell r="D111">
            <v>29</v>
          </cell>
          <cell r="E111">
            <v>89</v>
          </cell>
          <cell r="F111">
            <v>0</v>
          </cell>
          <cell r="G111">
            <v>12</v>
          </cell>
          <cell r="H111">
            <v>231</v>
          </cell>
        </row>
        <row r="112">
          <cell r="A112" t="str">
            <v>BSN</v>
          </cell>
          <cell r="B112" t="str">
            <v>MEL</v>
          </cell>
          <cell r="C112" t="str">
            <v>M.VSL</v>
          </cell>
          <cell r="D112">
            <v>25</v>
          </cell>
          <cell r="E112">
            <v>9</v>
          </cell>
          <cell r="F112">
            <v>0</v>
          </cell>
          <cell r="G112">
            <v>0</v>
          </cell>
          <cell r="H112">
            <v>43</v>
          </cell>
        </row>
        <row r="113">
          <cell r="A113" t="str">
            <v>BSN</v>
          </cell>
          <cell r="B113" t="str">
            <v>MIZ</v>
          </cell>
          <cell r="C113" t="str">
            <v>C.FDR</v>
          </cell>
          <cell r="D113">
            <v>4</v>
          </cell>
          <cell r="E113">
            <v>1</v>
          </cell>
          <cell r="F113">
            <v>0</v>
          </cell>
          <cell r="G113">
            <v>0</v>
          </cell>
          <cell r="H113">
            <v>6</v>
          </cell>
        </row>
        <row r="114">
          <cell r="A114" t="str">
            <v>BSN</v>
          </cell>
          <cell r="B114" t="str">
            <v>MOJ</v>
          </cell>
          <cell r="C114" t="str">
            <v>C.FDR</v>
          </cell>
          <cell r="D114">
            <v>22</v>
          </cell>
          <cell r="E114">
            <v>10</v>
          </cell>
          <cell r="F114">
            <v>0</v>
          </cell>
          <cell r="G114">
            <v>0</v>
          </cell>
          <cell r="H114">
            <v>42</v>
          </cell>
        </row>
        <row r="115">
          <cell r="A115" t="str">
            <v>BSN</v>
          </cell>
          <cell r="B115" t="str">
            <v>MUR</v>
          </cell>
          <cell r="C115" t="str">
            <v>C.FDR</v>
          </cell>
          <cell r="D115">
            <v>1</v>
          </cell>
          <cell r="E115">
            <v>0</v>
          </cell>
          <cell r="F115">
            <v>0</v>
          </cell>
          <cell r="G115">
            <v>8</v>
          </cell>
          <cell r="H115">
            <v>17</v>
          </cell>
        </row>
        <row r="116">
          <cell r="A116" t="str">
            <v>BSN</v>
          </cell>
          <cell r="B116" t="str">
            <v>NAI</v>
          </cell>
          <cell r="C116" t="str">
            <v>C.FDR</v>
          </cell>
          <cell r="D116">
            <v>5</v>
          </cell>
          <cell r="E116">
            <v>9</v>
          </cell>
          <cell r="F116">
            <v>0</v>
          </cell>
          <cell r="G116">
            <v>0</v>
          </cell>
          <cell r="H116">
            <v>23</v>
          </cell>
        </row>
        <row r="117">
          <cell r="A117" t="str">
            <v>BSN</v>
          </cell>
          <cell r="B117" t="str">
            <v>NAK</v>
          </cell>
          <cell r="C117" t="str">
            <v>C.FDR</v>
          </cell>
          <cell r="D117">
            <v>0</v>
          </cell>
          <cell r="E117">
            <v>3</v>
          </cell>
          <cell r="F117">
            <v>0</v>
          </cell>
          <cell r="G117">
            <v>0</v>
          </cell>
          <cell r="H117">
            <v>6</v>
          </cell>
        </row>
        <row r="118">
          <cell r="A118" t="str">
            <v>BSN</v>
          </cell>
          <cell r="B118" t="str">
            <v>NGB</v>
          </cell>
          <cell r="C118" t="str">
            <v>M.VSL</v>
          </cell>
          <cell r="D118">
            <v>51</v>
          </cell>
          <cell r="E118">
            <v>43</v>
          </cell>
          <cell r="F118">
            <v>0</v>
          </cell>
          <cell r="G118">
            <v>70</v>
          </cell>
          <cell r="H118">
            <v>277</v>
          </cell>
        </row>
        <row r="119">
          <cell r="A119" t="str">
            <v>BSN</v>
          </cell>
          <cell r="B119" t="str">
            <v>NGO</v>
          </cell>
          <cell r="C119" t="str">
            <v>M.VSL</v>
          </cell>
          <cell r="D119">
            <v>10</v>
          </cell>
          <cell r="E119">
            <v>49</v>
          </cell>
          <cell r="F119">
            <v>0</v>
          </cell>
          <cell r="G119">
            <v>5</v>
          </cell>
          <cell r="H119">
            <v>118</v>
          </cell>
        </row>
        <row r="120">
          <cell r="A120" t="str">
            <v>BSN</v>
          </cell>
          <cell r="B120" t="str">
            <v>NGO</v>
          </cell>
          <cell r="C120" t="str">
            <v>C.FDR</v>
          </cell>
          <cell r="D120">
            <v>0</v>
          </cell>
          <cell r="E120">
            <v>0</v>
          </cell>
          <cell r="F120">
            <v>0</v>
          </cell>
          <cell r="G120">
            <v>6</v>
          </cell>
          <cell r="H120">
            <v>12</v>
          </cell>
        </row>
        <row r="121">
          <cell r="A121" t="str">
            <v>BSN</v>
          </cell>
          <cell r="B121" t="str">
            <v>NGS</v>
          </cell>
          <cell r="C121" t="str">
            <v>C.FDR</v>
          </cell>
          <cell r="D121">
            <v>1</v>
          </cell>
          <cell r="E121">
            <v>1</v>
          </cell>
          <cell r="F121">
            <v>0</v>
          </cell>
          <cell r="G121">
            <v>0</v>
          </cell>
          <cell r="H121">
            <v>3</v>
          </cell>
        </row>
        <row r="122">
          <cell r="A122" t="str">
            <v>BSN</v>
          </cell>
          <cell r="B122" t="str">
            <v>NGT</v>
          </cell>
          <cell r="C122" t="str">
            <v>C.FDR</v>
          </cell>
          <cell r="D122">
            <v>5</v>
          </cell>
          <cell r="E122">
            <v>23</v>
          </cell>
          <cell r="F122">
            <v>0</v>
          </cell>
          <cell r="G122">
            <v>0</v>
          </cell>
          <cell r="H122">
            <v>51</v>
          </cell>
        </row>
        <row r="123">
          <cell r="A123" t="str">
            <v>BSN</v>
          </cell>
          <cell r="B123" t="str">
            <v>NYC</v>
          </cell>
          <cell r="C123" t="str">
            <v>M.VSL</v>
          </cell>
          <cell r="D123">
            <v>56</v>
          </cell>
          <cell r="E123">
            <v>103</v>
          </cell>
          <cell r="F123">
            <v>0</v>
          </cell>
          <cell r="G123">
            <v>0</v>
          </cell>
          <cell r="H123">
            <v>262</v>
          </cell>
        </row>
        <row r="124">
          <cell r="A124" t="str">
            <v>BSN</v>
          </cell>
          <cell r="B124" t="str">
            <v>OAK</v>
          </cell>
          <cell r="C124" t="str">
            <v>M.VSL</v>
          </cell>
          <cell r="D124">
            <v>61</v>
          </cell>
          <cell r="E124">
            <v>129</v>
          </cell>
          <cell r="F124">
            <v>0</v>
          </cell>
          <cell r="G124">
            <v>35</v>
          </cell>
          <cell r="H124">
            <v>389</v>
          </cell>
        </row>
        <row r="125">
          <cell r="A125" t="str">
            <v>BSN</v>
          </cell>
          <cell r="B125" t="str">
            <v>OIT</v>
          </cell>
          <cell r="C125" t="str">
            <v>C.FDR</v>
          </cell>
          <cell r="D125">
            <v>0</v>
          </cell>
          <cell r="E125">
            <v>1</v>
          </cell>
          <cell r="F125">
            <v>0</v>
          </cell>
          <cell r="G125">
            <v>0</v>
          </cell>
          <cell r="H125">
            <v>2</v>
          </cell>
        </row>
        <row r="126">
          <cell r="A126" t="str">
            <v>BSN</v>
          </cell>
          <cell r="B126" t="str">
            <v>OSK</v>
          </cell>
          <cell r="C126" t="str">
            <v>M.VSL</v>
          </cell>
          <cell r="D126">
            <v>5</v>
          </cell>
          <cell r="E126">
            <v>0</v>
          </cell>
          <cell r="F126">
            <v>0</v>
          </cell>
          <cell r="G126">
            <v>0</v>
          </cell>
          <cell r="H126">
            <v>5</v>
          </cell>
        </row>
        <row r="127">
          <cell r="A127" t="str">
            <v>BSN</v>
          </cell>
          <cell r="B127" t="str">
            <v>OSK</v>
          </cell>
          <cell r="C127" t="str">
            <v>C.FDR</v>
          </cell>
          <cell r="D127">
            <v>28</v>
          </cell>
          <cell r="E127">
            <v>5</v>
          </cell>
          <cell r="F127">
            <v>0</v>
          </cell>
          <cell r="G127">
            <v>0</v>
          </cell>
          <cell r="H127">
            <v>38</v>
          </cell>
        </row>
        <row r="128">
          <cell r="A128" t="str">
            <v>BSN</v>
          </cell>
          <cell r="B128" t="str">
            <v>PKE</v>
          </cell>
          <cell r="C128" t="str">
            <v>M.VSL</v>
          </cell>
          <cell r="D128">
            <v>59</v>
          </cell>
          <cell r="E128">
            <v>70</v>
          </cell>
          <cell r="F128">
            <v>4</v>
          </cell>
          <cell r="G128">
            <v>30</v>
          </cell>
          <cell r="H128">
            <v>263</v>
          </cell>
        </row>
        <row r="129">
          <cell r="A129" t="str">
            <v>BSN</v>
          </cell>
          <cell r="B129" t="str">
            <v>PSA</v>
          </cell>
          <cell r="C129" t="str">
            <v>M.VSL</v>
          </cell>
          <cell r="D129">
            <v>22</v>
          </cell>
          <cell r="E129">
            <v>18</v>
          </cell>
          <cell r="F129">
            <v>0</v>
          </cell>
          <cell r="G129">
            <v>0</v>
          </cell>
          <cell r="H129">
            <v>58</v>
          </cell>
        </row>
        <row r="130">
          <cell r="A130" t="str">
            <v>BSN</v>
          </cell>
          <cell r="B130" t="str">
            <v>PTL</v>
          </cell>
          <cell r="C130" t="str">
            <v>M.VSL</v>
          </cell>
          <cell r="D130">
            <v>43</v>
          </cell>
          <cell r="E130">
            <v>43</v>
          </cell>
          <cell r="F130">
            <v>0</v>
          </cell>
          <cell r="G130">
            <v>0</v>
          </cell>
          <cell r="H130">
            <v>129</v>
          </cell>
        </row>
        <row r="131">
          <cell r="A131" t="str">
            <v>BSN</v>
          </cell>
          <cell r="B131" t="str">
            <v>QDO</v>
          </cell>
          <cell r="C131" t="str">
            <v>M.VSL</v>
          </cell>
          <cell r="D131">
            <v>103</v>
          </cell>
          <cell r="E131">
            <v>166</v>
          </cell>
          <cell r="F131">
            <v>16</v>
          </cell>
          <cell r="G131">
            <v>9</v>
          </cell>
          <cell r="H131">
            <v>469</v>
          </cell>
        </row>
        <row r="132">
          <cell r="A132" t="str">
            <v>BSN</v>
          </cell>
          <cell r="B132" t="str">
            <v>QDO</v>
          </cell>
          <cell r="C132" t="str">
            <v>C.FDR</v>
          </cell>
          <cell r="D132">
            <v>3</v>
          </cell>
          <cell r="E132">
            <v>46</v>
          </cell>
          <cell r="F132">
            <v>177</v>
          </cell>
          <cell r="G132">
            <v>68</v>
          </cell>
          <cell r="H132">
            <v>408</v>
          </cell>
        </row>
        <row r="133">
          <cell r="A133" t="str">
            <v>BSN</v>
          </cell>
          <cell r="B133" t="str">
            <v>RHX</v>
          </cell>
          <cell r="C133" t="str">
            <v>M.VSL</v>
          </cell>
          <cell r="D133">
            <v>45</v>
          </cell>
          <cell r="E133">
            <v>80</v>
          </cell>
          <cell r="F133">
            <v>0</v>
          </cell>
          <cell r="G133">
            <v>0</v>
          </cell>
          <cell r="H133">
            <v>205</v>
          </cell>
        </row>
        <row r="134">
          <cell r="A134" t="str">
            <v>BSN</v>
          </cell>
          <cell r="B134" t="str">
            <v>RTM</v>
          </cell>
          <cell r="C134" t="str">
            <v>M.VSL</v>
          </cell>
          <cell r="D134">
            <v>136</v>
          </cell>
          <cell r="E134">
            <v>345</v>
          </cell>
          <cell r="F134">
            <v>0</v>
          </cell>
          <cell r="G134">
            <v>6</v>
          </cell>
          <cell r="H134">
            <v>838</v>
          </cell>
        </row>
        <row r="135">
          <cell r="A135" t="str">
            <v>BSN</v>
          </cell>
          <cell r="B135" t="str">
            <v>SAK</v>
          </cell>
          <cell r="C135" t="str">
            <v>C.FDR</v>
          </cell>
          <cell r="D135">
            <v>4</v>
          </cell>
          <cell r="E135">
            <v>1</v>
          </cell>
          <cell r="F135">
            <v>0</v>
          </cell>
          <cell r="G135">
            <v>0</v>
          </cell>
          <cell r="H135">
            <v>6</v>
          </cell>
        </row>
        <row r="136">
          <cell r="A136" t="str">
            <v>BSN</v>
          </cell>
          <cell r="B136" t="str">
            <v>SDI</v>
          </cell>
          <cell r="C136" t="str">
            <v>C.FDR</v>
          </cell>
          <cell r="D136">
            <v>2</v>
          </cell>
          <cell r="E136">
            <v>33</v>
          </cell>
          <cell r="F136">
            <v>0</v>
          </cell>
          <cell r="G136">
            <v>0</v>
          </cell>
          <cell r="H136">
            <v>68</v>
          </cell>
        </row>
        <row r="137">
          <cell r="A137" t="str">
            <v>BSN</v>
          </cell>
          <cell r="B137" t="str">
            <v>SHA</v>
          </cell>
          <cell r="C137" t="str">
            <v>M.VSL</v>
          </cell>
          <cell r="D137">
            <v>120</v>
          </cell>
          <cell r="E137">
            <v>178</v>
          </cell>
          <cell r="F137">
            <v>0</v>
          </cell>
          <cell r="G137">
            <v>199</v>
          </cell>
          <cell r="H137">
            <v>874</v>
          </cell>
        </row>
        <row r="138">
          <cell r="A138" t="str">
            <v>BSN</v>
          </cell>
          <cell r="B138" t="str">
            <v>SHA</v>
          </cell>
          <cell r="C138" t="str">
            <v>C.FDR</v>
          </cell>
          <cell r="D138">
            <v>4</v>
          </cell>
          <cell r="E138">
            <v>26</v>
          </cell>
          <cell r="F138">
            <v>6</v>
          </cell>
          <cell r="G138">
            <v>295</v>
          </cell>
          <cell r="H138">
            <v>652</v>
          </cell>
        </row>
        <row r="139">
          <cell r="A139" t="str">
            <v>BSN</v>
          </cell>
          <cell r="B139" t="str">
            <v>SHZ</v>
          </cell>
          <cell r="C139" t="str">
            <v>C.FDR</v>
          </cell>
          <cell r="D139">
            <v>25</v>
          </cell>
          <cell r="E139">
            <v>27</v>
          </cell>
          <cell r="F139">
            <v>0</v>
          </cell>
          <cell r="G139">
            <v>0</v>
          </cell>
          <cell r="H139">
            <v>79</v>
          </cell>
        </row>
        <row r="140">
          <cell r="A140" t="str">
            <v>BSN</v>
          </cell>
          <cell r="B140" t="str">
            <v>SIN</v>
          </cell>
          <cell r="C140" t="str">
            <v>M.VSL</v>
          </cell>
          <cell r="D140">
            <v>490</v>
          </cell>
          <cell r="E140">
            <v>294</v>
          </cell>
          <cell r="F140">
            <v>2</v>
          </cell>
          <cell r="G140">
            <v>0</v>
          </cell>
          <cell r="H140">
            <v>1080</v>
          </cell>
        </row>
        <row r="141">
          <cell r="A141" t="str">
            <v>BSN</v>
          </cell>
          <cell r="B141" t="str">
            <v>SOO</v>
          </cell>
          <cell r="C141" t="str">
            <v>M.VSL</v>
          </cell>
          <cell r="D141">
            <v>93</v>
          </cell>
          <cell r="E141">
            <v>69</v>
          </cell>
          <cell r="F141">
            <v>0</v>
          </cell>
          <cell r="G141">
            <v>0</v>
          </cell>
          <cell r="H141">
            <v>231</v>
          </cell>
        </row>
        <row r="142">
          <cell r="A142" t="str">
            <v>BSN</v>
          </cell>
          <cell r="B142" t="str">
            <v>SUR</v>
          </cell>
          <cell r="C142" t="str">
            <v>M.VSL</v>
          </cell>
          <cell r="D142">
            <v>11</v>
          </cell>
          <cell r="E142">
            <v>37</v>
          </cell>
          <cell r="F142">
            <v>0</v>
          </cell>
          <cell r="G142">
            <v>0</v>
          </cell>
          <cell r="H142">
            <v>85</v>
          </cell>
        </row>
        <row r="143">
          <cell r="A143" t="str">
            <v>BSN</v>
          </cell>
          <cell r="B143" t="str">
            <v>SYD</v>
          </cell>
          <cell r="C143" t="str">
            <v>M.VSL</v>
          </cell>
          <cell r="D143">
            <v>32</v>
          </cell>
          <cell r="E143">
            <v>5</v>
          </cell>
          <cell r="F143">
            <v>0</v>
          </cell>
          <cell r="G143">
            <v>0</v>
          </cell>
          <cell r="H143">
            <v>42</v>
          </cell>
        </row>
        <row r="144">
          <cell r="A144" t="str">
            <v>BSN</v>
          </cell>
          <cell r="B144" t="str">
            <v>TCM</v>
          </cell>
          <cell r="C144" t="str">
            <v>M.VSL</v>
          </cell>
          <cell r="D144">
            <v>209</v>
          </cell>
          <cell r="E144">
            <v>549</v>
          </cell>
          <cell r="F144">
            <v>0</v>
          </cell>
          <cell r="G144">
            <v>6</v>
          </cell>
          <cell r="H144">
            <v>1319</v>
          </cell>
        </row>
        <row r="145">
          <cell r="A145" t="str">
            <v>BSN</v>
          </cell>
          <cell r="B145" t="str">
            <v>TKH</v>
          </cell>
          <cell r="C145" t="str">
            <v>C.FDR</v>
          </cell>
          <cell r="D145">
            <v>1</v>
          </cell>
          <cell r="E145">
            <v>6</v>
          </cell>
          <cell r="F145">
            <v>0</v>
          </cell>
          <cell r="G145">
            <v>0</v>
          </cell>
          <cell r="H145">
            <v>13</v>
          </cell>
        </row>
        <row r="146">
          <cell r="A146" t="str">
            <v>BSN</v>
          </cell>
          <cell r="B146" t="str">
            <v>TKJ</v>
          </cell>
          <cell r="C146" t="str">
            <v>C.FDR</v>
          </cell>
          <cell r="D146">
            <v>14</v>
          </cell>
          <cell r="E146">
            <v>4</v>
          </cell>
          <cell r="F146">
            <v>0</v>
          </cell>
          <cell r="G146">
            <v>0</v>
          </cell>
          <cell r="H146">
            <v>22</v>
          </cell>
        </row>
        <row r="147">
          <cell r="A147" t="str">
            <v>BSN</v>
          </cell>
          <cell r="B147" t="str">
            <v>TKY</v>
          </cell>
          <cell r="C147" t="str">
            <v>C.FDR</v>
          </cell>
          <cell r="D147">
            <v>2</v>
          </cell>
          <cell r="E147">
            <v>4</v>
          </cell>
          <cell r="F147">
            <v>0</v>
          </cell>
          <cell r="G147">
            <v>0</v>
          </cell>
          <cell r="H147">
            <v>10</v>
          </cell>
        </row>
        <row r="148">
          <cell r="A148" t="str">
            <v>BSN</v>
          </cell>
          <cell r="B148" t="str">
            <v>TMA</v>
          </cell>
          <cell r="C148" t="str">
            <v>C.FDR</v>
          </cell>
          <cell r="D148">
            <v>35</v>
          </cell>
          <cell r="E148">
            <v>174</v>
          </cell>
          <cell r="F148">
            <v>0</v>
          </cell>
          <cell r="G148">
            <v>0</v>
          </cell>
          <cell r="H148">
            <v>383</v>
          </cell>
        </row>
        <row r="149">
          <cell r="A149" t="str">
            <v>BSN</v>
          </cell>
          <cell r="B149" t="str">
            <v>TOY</v>
          </cell>
          <cell r="C149" t="str">
            <v>C.FDR</v>
          </cell>
          <cell r="D149">
            <v>5</v>
          </cell>
          <cell r="E149">
            <v>3</v>
          </cell>
          <cell r="F149">
            <v>0</v>
          </cell>
          <cell r="G149">
            <v>0</v>
          </cell>
          <cell r="H149">
            <v>11</v>
          </cell>
        </row>
        <row r="150">
          <cell r="A150" t="str">
            <v>BSN</v>
          </cell>
          <cell r="B150" t="str">
            <v>TYA</v>
          </cell>
          <cell r="C150" t="str">
            <v>C.FDR</v>
          </cell>
          <cell r="D150">
            <v>18</v>
          </cell>
          <cell r="E150">
            <v>2</v>
          </cell>
          <cell r="F150">
            <v>0</v>
          </cell>
          <cell r="G150">
            <v>0</v>
          </cell>
          <cell r="H150">
            <v>22</v>
          </cell>
        </row>
        <row r="151">
          <cell r="A151" t="str">
            <v>BSN</v>
          </cell>
          <cell r="B151" t="str">
            <v>VCR</v>
          </cell>
          <cell r="C151" t="str">
            <v>M.VSL</v>
          </cell>
          <cell r="D151">
            <v>62</v>
          </cell>
          <cell r="E151">
            <v>215</v>
          </cell>
          <cell r="F151">
            <v>0</v>
          </cell>
          <cell r="G151">
            <v>0</v>
          </cell>
          <cell r="H151">
            <v>492</v>
          </cell>
        </row>
        <row r="152">
          <cell r="A152" t="str">
            <v>BSN</v>
          </cell>
          <cell r="B152" t="str">
            <v>VLA</v>
          </cell>
          <cell r="C152" t="str">
            <v>M.VSL</v>
          </cell>
          <cell r="D152">
            <v>14</v>
          </cell>
          <cell r="E152">
            <v>41</v>
          </cell>
          <cell r="F152">
            <v>0</v>
          </cell>
          <cell r="G152">
            <v>0</v>
          </cell>
          <cell r="H152">
            <v>96</v>
          </cell>
        </row>
        <row r="153">
          <cell r="A153" t="str">
            <v>BSN</v>
          </cell>
          <cell r="B153" t="str">
            <v>VOS</v>
          </cell>
          <cell r="C153" t="str">
            <v>M.VSL</v>
          </cell>
          <cell r="D153">
            <v>9</v>
          </cell>
          <cell r="E153">
            <v>171</v>
          </cell>
          <cell r="F153">
            <v>0</v>
          </cell>
          <cell r="G153">
            <v>0</v>
          </cell>
          <cell r="H153">
            <v>351</v>
          </cell>
        </row>
        <row r="154">
          <cell r="A154" t="str">
            <v>BSN</v>
          </cell>
          <cell r="B154" t="str">
            <v>XIA</v>
          </cell>
          <cell r="C154" t="str">
            <v>M.VSL</v>
          </cell>
          <cell r="D154">
            <v>52</v>
          </cell>
          <cell r="E154">
            <v>8</v>
          </cell>
          <cell r="F154">
            <v>0</v>
          </cell>
          <cell r="G154">
            <v>40</v>
          </cell>
          <cell r="H154">
            <v>148</v>
          </cell>
        </row>
        <row r="155">
          <cell r="A155" t="str">
            <v>BSN</v>
          </cell>
          <cell r="B155" t="str">
            <v>XIN</v>
          </cell>
          <cell r="C155" t="str">
            <v>M.VSL</v>
          </cell>
          <cell r="D155">
            <v>145</v>
          </cell>
          <cell r="E155">
            <v>218</v>
          </cell>
          <cell r="F155">
            <v>59</v>
          </cell>
          <cell r="G155">
            <v>233</v>
          </cell>
          <cell r="H155">
            <v>1106</v>
          </cell>
        </row>
        <row r="156">
          <cell r="A156" t="str">
            <v>BSN</v>
          </cell>
          <cell r="B156" t="str">
            <v>XIN</v>
          </cell>
          <cell r="C156" t="str">
            <v>C.FDR</v>
          </cell>
          <cell r="D156">
            <v>0</v>
          </cell>
          <cell r="E156">
            <v>0</v>
          </cell>
          <cell r="F156">
            <v>130</v>
          </cell>
          <cell r="G156">
            <v>63</v>
          </cell>
          <cell r="H156">
            <v>256</v>
          </cell>
        </row>
        <row r="157">
          <cell r="A157" t="str">
            <v>BSN</v>
          </cell>
          <cell r="B157" t="str">
            <v>YOA</v>
          </cell>
          <cell r="C157" t="str">
            <v>C.FDR</v>
          </cell>
          <cell r="D157">
            <v>1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</row>
        <row r="158">
          <cell r="A158" t="str">
            <v>BSN</v>
          </cell>
          <cell r="B158" t="str">
            <v>YOK</v>
          </cell>
          <cell r="C158" t="str">
            <v>M.VSL</v>
          </cell>
          <cell r="D158">
            <v>2</v>
          </cell>
          <cell r="E158">
            <v>3</v>
          </cell>
          <cell r="F158">
            <v>1</v>
          </cell>
          <cell r="G158">
            <v>6</v>
          </cell>
          <cell r="H158">
            <v>21</v>
          </cell>
        </row>
        <row r="159">
          <cell r="A159" t="str">
            <v>BSN</v>
          </cell>
          <cell r="B159" t="str">
            <v>YTI</v>
          </cell>
          <cell r="C159" t="str">
            <v>C.FDR</v>
          </cell>
          <cell r="D159">
            <v>28</v>
          </cell>
          <cell r="E159">
            <v>43</v>
          </cell>
          <cell r="F159">
            <v>0</v>
          </cell>
          <cell r="G159">
            <v>0</v>
          </cell>
          <cell r="H159">
            <v>114</v>
          </cell>
        </row>
        <row r="160">
          <cell r="A160" t="str">
            <v>BSN</v>
          </cell>
          <cell r="B160" t="str">
            <v>YTN</v>
          </cell>
          <cell r="C160" t="str">
            <v>M.VSL</v>
          </cell>
          <cell r="D160">
            <v>21</v>
          </cell>
          <cell r="E160">
            <v>4</v>
          </cell>
          <cell r="F160">
            <v>0</v>
          </cell>
          <cell r="G160">
            <v>0</v>
          </cell>
          <cell r="H160">
            <v>29</v>
          </cell>
        </row>
        <row r="161">
          <cell r="A161" t="str">
            <v>BSN</v>
          </cell>
          <cell r="B161" t="str">
            <v>ZHA</v>
          </cell>
          <cell r="C161" t="str">
            <v>C.FDR</v>
          </cell>
          <cell r="D161">
            <v>0</v>
          </cell>
          <cell r="E161">
            <v>2</v>
          </cell>
          <cell r="F161">
            <v>0</v>
          </cell>
          <cell r="G161">
            <v>0</v>
          </cell>
          <cell r="H161">
            <v>4</v>
          </cell>
        </row>
        <row r="162">
          <cell r="A162" t="str">
            <v>BWN</v>
          </cell>
          <cell r="B162" t="str">
            <v>SIN</v>
          </cell>
          <cell r="C162" t="str">
            <v>M.VSL</v>
          </cell>
          <cell r="D162">
            <v>0</v>
          </cell>
          <cell r="E162">
            <v>0</v>
          </cell>
          <cell r="F162">
            <v>0</v>
          </cell>
          <cell r="G162">
            <v>2</v>
          </cell>
          <cell r="H162">
            <v>4</v>
          </cell>
        </row>
        <row r="163">
          <cell r="A163" t="str">
            <v>BWN</v>
          </cell>
          <cell r="B163" t="str">
            <v>SIN</v>
          </cell>
          <cell r="C163" t="str">
            <v>C.FDR</v>
          </cell>
          <cell r="D163">
            <v>31</v>
          </cell>
          <cell r="E163">
            <v>36</v>
          </cell>
          <cell r="F163">
            <v>0</v>
          </cell>
          <cell r="G163">
            <v>4</v>
          </cell>
          <cell r="H163">
            <v>111</v>
          </cell>
        </row>
        <row r="164">
          <cell r="A164" t="str">
            <v>CBO</v>
          </cell>
          <cell r="B164" t="str">
            <v>ANT</v>
          </cell>
          <cell r="C164" t="str">
            <v>M.VSL</v>
          </cell>
          <cell r="D164">
            <v>16</v>
          </cell>
          <cell r="E164">
            <v>4</v>
          </cell>
          <cell r="F164">
            <v>0</v>
          </cell>
          <cell r="G164">
            <v>0</v>
          </cell>
          <cell r="H164">
            <v>24</v>
          </cell>
        </row>
        <row r="165">
          <cell r="A165" t="str">
            <v>CBO</v>
          </cell>
          <cell r="B165" t="str">
            <v>BOM</v>
          </cell>
          <cell r="C165" t="str">
            <v>C.FDR</v>
          </cell>
          <cell r="D165">
            <v>15</v>
          </cell>
          <cell r="E165">
            <v>9</v>
          </cell>
          <cell r="F165">
            <v>0</v>
          </cell>
          <cell r="G165">
            <v>0</v>
          </cell>
          <cell r="H165">
            <v>33</v>
          </cell>
        </row>
        <row r="166">
          <cell r="A166" t="str">
            <v>CBO</v>
          </cell>
          <cell r="B166" t="str">
            <v>BRV</v>
          </cell>
          <cell r="C166" t="str">
            <v>M.VSL</v>
          </cell>
          <cell r="D166">
            <v>17</v>
          </cell>
          <cell r="E166">
            <v>45</v>
          </cell>
          <cell r="F166">
            <v>0</v>
          </cell>
          <cell r="G166">
            <v>0</v>
          </cell>
          <cell r="H166">
            <v>107</v>
          </cell>
        </row>
        <row r="167">
          <cell r="A167" t="str">
            <v>CBO</v>
          </cell>
          <cell r="B167" t="str">
            <v>BSN</v>
          </cell>
          <cell r="C167" t="str">
            <v>M.VSL</v>
          </cell>
          <cell r="D167">
            <v>5</v>
          </cell>
          <cell r="E167">
            <v>42</v>
          </cell>
          <cell r="F167">
            <v>8</v>
          </cell>
          <cell r="G167">
            <v>3</v>
          </cell>
          <cell r="H167">
            <v>103</v>
          </cell>
        </row>
        <row r="168">
          <cell r="A168" t="str">
            <v>CBO</v>
          </cell>
          <cell r="B168" t="str">
            <v>CCT</v>
          </cell>
          <cell r="C168" t="str">
            <v>C.FDR</v>
          </cell>
          <cell r="D168">
            <v>14</v>
          </cell>
          <cell r="E168">
            <v>4</v>
          </cell>
          <cell r="F168">
            <v>0</v>
          </cell>
          <cell r="G168">
            <v>5</v>
          </cell>
          <cell r="H168">
            <v>32</v>
          </cell>
        </row>
        <row r="169">
          <cell r="A169" t="str">
            <v>CBO</v>
          </cell>
          <cell r="B169" t="str">
            <v>CGG</v>
          </cell>
          <cell r="C169" t="str">
            <v>C.FDR</v>
          </cell>
          <cell r="D169">
            <v>2</v>
          </cell>
          <cell r="E169">
            <v>0</v>
          </cell>
          <cell r="F169">
            <v>0</v>
          </cell>
          <cell r="G169">
            <v>0</v>
          </cell>
          <cell r="H169">
            <v>2</v>
          </cell>
        </row>
        <row r="170">
          <cell r="A170" t="str">
            <v>CBO</v>
          </cell>
          <cell r="B170" t="str">
            <v>COC</v>
          </cell>
          <cell r="C170" t="str">
            <v>C.FDR</v>
          </cell>
          <cell r="D170">
            <v>1</v>
          </cell>
          <cell r="E170">
            <v>15</v>
          </cell>
          <cell r="F170">
            <v>0</v>
          </cell>
          <cell r="G170">
            <v>0</v>
          </cell>
          <cell r="H170">
            <v>31</v>
          </cell>
        </row>
        <row r="171">
          <cell r="A171" t="str">
            <v>CBO</v>
          </cell>
          <cell r="B171" t="str">
            <v>DXB</v>
          </cell>
          <cell r="C171" t="str">
            <v>C.FDR</v>
          </cell>
          <cell r="D171">
            <v>19</v>
          </cell>
          <cell r="E171">
            <v>7</v>
          </cell>
          <cell r="F171">
            <v>0</v>
          </cell>
          <cell r="G171">
            <v>0</v>
          </cell>
          <cell r="H171">
            <v>33</v>
          </cell>
        </row>
        <row r="172">
          <cell r="A172" t="str">
            <v>CBO</v>
          </cell>
          <cell r="B172" t="str">
            <v>HAT</v>
          </cell>
          <cell r="C172" t="str">
            <v>M.VSL</v>
          </cell>
          <cell r="D172">
            <v>4</v>
          </cell>
          <cell r="E172">
            <v>5</v>
          </cell>
          <cell r="F172">
            <v>0</v>
          </cell>
          <cell r="G172">
            <v>0</v>
          </cell>
          <cell r="H172">
            <v>14</v>
          </cell>
        </row>
        <row r="173">
          <cell r="A173" t="str">
            <v>CBO</v>
          </cell>
          <cell r="B173" t="str">
            <v>HKG</v>
          </cell>
          <cell r="C173" t="str">
            <v>M.VSL</v>
          </cell>
          <cell r="D173">
            <v>11</v>
          </cell>
          <cell r="E173">
            <v>27</v>
          </cell>
          <cell r="F173">
            <v>0</v>
          </cell>
          <cell r="G173">
            <v>0</v>
          </cell>
          <cell r="H173">
            <v>65</v>
          </cell>
        </row>
        <row r="174">
          <cell r="A174" t="str">
            <v>CBO</v>
          </cell>
          <cell r="B174" t="str">
            <v>KAH</v>
          </cell>
          <cell r="C174" t="str">
            <v>C.FDR</v>
          </cell>
          <cell r="D174">
            <v>4</v>
          </cell>
          <cell r="E174">
            <v>8</v>
          </cell>
          <cell r="F174">
            <v>0</v>
          </cell>
          <cell r="G174">
            <v>0</v>
          </cell>
          <cell r="H174">
            <v>20</v>
          </cell>
        </row>
        <row r="175">
          <cell r="A175" t="str">
            <v>CBO</v>
          </cell>
          <cell r="B175" t="str">
            <v>KAO</v>
          </cell>
          <cell r="C175" t="str">
            <v>M.VSL</v>
          </cell>
          <cell r="D175">
            <v>9</v>
          </cell>
          <cell r="E175">
            <v>45</v>
          </cell>
          <cell r="F175">
            <v>0</v>
          </cell>
          <cell r="G175">
            <v>0</v>
          </cell>
          <cell r="H175">
            <v>99</v>
          </cell>
        </row>
        <row r="176">
          <cell r="A176" t="str">
            <v>CBO</v>
          </cell>
          <cell r="B176" t="str">
            <v>KYG</v>
          </cell>
          <cell r="C176" t="str">
            <v>M.VSL</v>
          </cell>
          <cell r="D176">
            <v>0</v>
          </cell>
          <cell r="E176">
            <v>3</v>
          </cell>
          <cell r="F176">
            <v>65</v>
          </cell>
          <cell r="G176">
            <v>0</v>
          </cell>
          <cell r="H176">
            <v>71</v>
          </cell>
        </row>
        <row r="177">
          <cell r="A177" t="str">
            <v>CBO</v>
          </cell>
          <cell r="B177" t="str">
            <v>MAD</v>
          </cell>
          <cell r="C177" t="str">
            <v>C.FDR</v>
          </cell>
          <cell r="D177">
            <v>44</v>
          </cell>
          <cell r="E177">
            <v>18</v>
          </cell>
          <cell r="F177">
            <v>0</v>
          </cell>
          <cell r="G177">
            <v>5</v>
          </cell>
          <cell r="H177">
            <v>90</v>
          </cell>
        </row>
        <row r="178">
          <cell r="A178" t="str">
            <v>CBO</v>
          </cell>
          <cell r="B178" t="str">
            <v>NSA</v>
          </cell>
          <cell r="C178" t="str">
            <v>C.FDR</v>
          </cell>
          <cell r="D178">
            <v>27</v>
          </cell>
          <cell r="E178">
            <v>8</v>
          </cell>
          <cell r="F178">
            <v>0</v>
          </cell>
          <cell r="G178">
            <v>0</v>
          </cell>
          <cell r="H178">
            <v>43</v>
          </cell>
        </row>
        <row r="179">
          <cell r="A179" t="str">
            <v>CBO</v>
          </cell>
          <cell r="B179" t="str">
            <v>RTM</v>
          </cell>
          <cell r="C179" t="str">
            <v>M.VSL</v>
          </cell>
          <cell r="D179">
            <v>3</v>
          </cell>
          <cell r="E179">
            <v>3</v>
          </cell>
          <cell r="F179">
            <v>0</v>
          </cell>
          <cell r="G179">
            <v>0</v>
          </cell>
          <cell r="H179">
            <v>9</v>
          </cell>
        </row>
        <row r="180">
          <cell r="A180" t="str">
            <v>CBO</v>
          </cell>
          <cell r="B180" t="str">
            <v>SIN</v>
          </cell>
          <cell r="C180" t="str">
            <v>M.VSL</v>
          </cell>
          <cell r="D180">
            <v>119</v>
          </cell>
          <cell r="E180">
            <v>75</v>
          </cell>
          <cell r="F180">
            <v>19</v>
          </cell>
          <cell r="G180">
            <v>24</v>
          </cell>
          <cell r="H180">
            <v>336</v>
          </cell>
        </row>
        <row r="181">
          <cell r="A181" t="str">
            <v>CBO</v>
          </cell>
          <cell r="B181" t="str">
            <v>SOO</v>
          </cell>
          <cell r="C181" t="str">
            <v>M.VSL</v>
          </cell>
          <cell r="D181">
            <v>142</v>
          </cell>
          <cell r="E181">
            <v>169</v>
          </cell>
          <cell r="F181">
            <v>0</v>
          </cell>
          <cell r="G181">
            <v>0</v>
          </cell>
          <cell r="H181">
            <v>480</v>
          </cell>
        </row>
        <row r="182">
          <cell r="A182" t="str">
            <v>CBO</v>
          </cell>
          <cell r="B182" t="str">
            <v>TUT</v>
          </cell>
          <cell r="C182" t="str">
            <v>C.FDR</v>
          </cell>
          <cell r="D182">
            <v>48</v>
          </cell>
          <cell r="E182">
            <v>155</v>
          </cell>
          <cell r="F182">
            <v>0</v>
          </cell>
          <cell r="G182">
            <v>0</v>
          </cell>
          <cell r="H182">
            <v>358</v>
          </cell>
        </row>
        <row r="183">
          <cell r="A183" t="str">
            <v>CCT</v>
          </cell>
          <cell r="B183" t="str">
            <v>SIN</v>
          </cell>
          <cell r="C183" t="str">
            <v>C.FDR</v>
          </cell>
          <cell r="D183">
            <v>26</v>
          </cell>
          <cell r="E183">
            <v>5</v>
          </cell>
          <cell r="F183">
            <v>0</v>
          </cell>
          <cell r="G183">
            <v>20</v>
          </cell>
          <cell r="H183">
            <v>76</v>
          </cell>
        </row>
        <row r="184">
          <cell r="A184" t="str">
            <v>CEB</v>
          </cell>
          <cell r="B184" t="str">
            <v>KAO</v>
          </cell>
          <cell r="C184" t="str">
            <v>C.FDR</v>
          </cell>
          <cell r="D184">
            <v>0</v>
          </cell>
          <cell r="E184">
            <v>5</v>
          </cell>
          <cell r="F184">
            <v>0</v>
          </cell>
          <cell r="G184">
            <v>0</v>
          </cell>
          <cell r="H184">
            <v>10</v>
          </cell>
        </row>
        <row r="185">
          <cell r="A185" t="str">
            <v>CEB</v>
          </cell>
          <cell r="B185" t="str">
            <v>SIN</v>
          </cell>
          <cell r="C185" t="str">
            <v>C.FDR</v>
          </cell>
          <cell r="D185">
            <v>2</v>
          </cell>
          <cell r="E185">
            <v>0</v>
          </cell>
          <cell r="F185">
            <v>0</v>
          </cell>
          <cell r="G185">
            <v>0</v>
          </cell>
          <cell r="H185">
            <v>2</v>
          </cell>
        </row>
        <row r="186">
          <cell r="A186" t="str">
            <v>CGG</v>
          </cell>
          <cell r="B186" t="str">
            <v>PKE</v>
          </cell>
          <cell r="C186" t="str">
            <v>C.FDR</v>
          </cell>
          <cell r="D186">
            <v>0</v>
          </cell>
          <cell r="E186">
            <v>0</v>
          </cell>
          <cell r="F186">
            <v>0</v>
          </cell>
          <cell r="G186">
            <v>2</v>
          </cell>
          <cell r="H186">
            <v>4</v>
          </cell>
        </row>
        <row r="187">
          <cell r="A187" t="str">
            <v>CGG</v>
          </cell>
          <cell r="B187" t="str">
            <v>SIN</v>
          </cell>
          <cell r="C187" t="str">
            <v>C.FDR</v>
          </cell>
          <cell r="D187">
            <v>167</v>
          </cell>
          <cell r="E187">
            <v>262</v>
          </cell>
          <cell r="F187">
            <v>51</v>
          </cell>
          <cell r="G187">
            <v>0</v>
          </cell>
          <cell r="H187">
            <v>742</v>
          </cell>
        </row>
        <row r="188">
          <cell r="A188" t="str">
            <v>COC</v>
          </cell>
          <cell r="B188" t="str">
            <v>CBO</v>
          </cell>
          <cell r="C188" t="str">
            <v>C.FDR</v>
          </cell>
          <cell r="D188">
            <v>0</v>
          </cell>
          <cell r="E188">
            <v>2</v>
          </cell>
          <cell r="F188">
            <v>0</v>
          </cell>
          <cell r="G188">
            <v>0</v>
          </cell>
          <cell r="H188">
            <v>4</v>
          </cell>
        </row>
        <row r="189">
          <cell r="A189" t="str">
            <v>COC</v>
          </cell>
          <cell r="B189" t="str">
            <v>DXB</v>
          </cell>
          <cell r="C189" t="str">
            <v>C.FDR</v>
          </cell>
          <cell r="D189">
            <v>0</v>
          </cell>
          <cell r="E189">
            <v>1</v>
          </cell>
          <cell r="F189">
            <v>0</v>
          </cell>
          <cell r="G189">
            <v>0</v>
          </cell>
          <cell r="H189">
            <v>2</v>
          </cell>
        </row>
        <row r="190">
          <cell r="A190" t="str">
            <v>COC</v>
          </cell>
          <cell r="B190" t="str">
            <v>PKE</v>
          </cell>
          <cell r="C190" t="str">
            <v>M.VSL</v>
          </cell>
          <cell r="D190">
            <v>0</v>
          </cell>
          <cell r="E190">
            <v>0</v>
          </cell>
          <cell r="F190">
            <v>0</v>
          </cell>
          <cell r="G190">
            <v>25</v>
          </cell>
          <cell r="H190">
            <v>50</v>
          </cell>
        </row>
        <row r="191">
          <cell r="A191" t="str">
            <v>COC</v>
          </cell>
          <cell r="B191" t="str">
            <v>SIN</v>
          </cell>
          <cell r="C191" t="str">
            <v>M.VSL</v>
          </cell>
          <cell r="D191">
            <v>27</v>
          </cell>
          <cell r="E191">
            <v>64</v>
          </cell>
          <cell r="F191">
            <v>1</v>
          </cell>
          <cell r="G191">
            <v>8</v>
          </cell>
          <cell r="H191">
            <v>172</v>
          </cell>
        </row>
        <row r="192">
          <cell r="A192" t="str">
            <v>CST</v>
          </cell>
          <cell r="B192" t="str">
            <v>BRV</v>
          </cell>
          <cell r="C192" t="str">
            <v>M.VSL</v>
          </cell>
          <cell r="D192">
            <v>9</v>
          </cell>
          <cell r="E192">
            <v>15</v>
          </cell>
          <cell r="F192">
            <v>0</v>
          </cell>
          <cell r="G192">
            <v>0</v>
          </cell>
          <cell r="H192">
            <v>39</v>
          </cell>
        </row>
        <row r="193">
          <cell r="A193" t="str">
            <v>CST</v>
          </cell>
          <cell r="B193" t="str">
            <v>BSN</v>
          </cell>
          <cell r="C193" t="str">
            <v>M.VSL</v>
          </cell>
          <cell r="D193">
            <v>12</v>
          </cell>
          <cell r="E193">
            <v>40</v>
          </cell>
          <cell r="F193">
            <v>9</v>
          </cell>
          <cell r="G193">
            <v>55</v>
          </cell>
          <cell r="H193">
            <v>211</v>
          </cell>
        </row>
        <row r="194">
          <cell r="A194" t="str">
            <v>CST</v>
          </cell>
          <cell r="B194" t="str">
            <v>FEL</v>
          </cell>
          <cell r="C194" t="str">
            <v>M.VSL</v>
          </cell>
          <cell r="D194">
            <v>7</v>
          </cell>
          <cell r="E194">
            <v>15</v>
          </cell>
          <cell r="F194">
            <v>0</v>
          </cell>
          <cell r="G194">
            <v>0</v>
          </cell>
          <cell r="H194">
            <v>37</v>
          </cell>
        </row>
        <row r="195">
          <cell r="A195" t="str">
            <v>CST</v>
          </cell>
          <cell r="B195" t="str">
            <v>HKG</v>
          </cell>
          <cell r="C195" t="str">
            <v>M.VSL</v>
          </cell>
          <cell r="D195">
            <v>11</v>
          </cell>
          <cell r="E195">
            <v>89</v>
          </cell>
          <cell r="F195">
            <v>0</v>
          </cell>
          <cell r="G195">
            <v>56</v>
          </cell>
          <cell r="H195">
            <v>301</v>
          </cell>
        </row>
        <row r="196">
          <cell r="A196" t="str">
            <v>CST</v>
          </cell>
          <cell r="B196" t="str">
            <v>KAO</v>
          </cell>
          <cell r="C196" t="str">
            <v>M.VSL</v>
          </cell>
          <cell r="D196">
            <v>9</v>
          </cell>
          <cell r="E196">
            <v>23</v>
          </cell>
          <cell r="F196">
            <v>0</v>
          </cell>
          <cell r="G196">
            <v>0</v>
          </cell>
          <cell r="H196">
            <v>55</v>
          </cell>
        </row>
        <row r="197">
          <cell r="A197" t="str">
            <v>CST</v>
          </cell>
          <cell r="B197" t="str">
            <v>KOB</v>
          </cell>
          <cell r="C197" t="str">
            <v>M.VSL</v>
          </cell>
          <cell r="D197">
            <v>1</v>
          </cell>
          <cell r="E197">
            <v>13</v>
          </cell>
          <cell r="F197">
            <v>14</v>
          </cell>
          <cell r="G197">
            <v>0</v>
          </cell>
          <cell r="H197">
            <v>41</v>
          </cell>
        </row>
        <row r="198">
          <cell r="A198" t="str">
            <v>CST</v>
          </cell>
          <cell r="B198" t="str">
            <v>LEH</v>
          </cell>
          <cell r="C198" t="str">
            <v>M.VSL</v>
          </cell>
          <cell r="D198">
            <v>2</v>
          </cell>
          <cell r="E198">
            <v>18</v>
          </cell>
          <cell r="F198">
            <v>0</v>
          </cell>
          <cell r="G198">
            <v>0</v>
          </cell>
          <cell r="H198">
            <v>38</v>
          </cell>
        </row>
        <row r="199">
          <cell r="A199" t="str">
            <v>CST</v>
          </cell>
          <cell r="B199" t="str">
            <v>NGO</v>
          </cell>
          <cell r="C199" t="str">
            <v>M.VSL</v>
          </cell>
          <cell r="D199">
            <v>0</v>
          </cell>
          <cell r="E199">
            <v>3</v>
          </cell>
          <cell r="F199">
            <v>0</v>
          </cell>
          <cell r="G199">
            <v>0</v>
          </cell>
          <cell r="H199">
            <v>6</v>
          </cell>
        </row>
        <row r="200">
          <cell r="A200" t="str">
            <v>CST</v>
          </cell>
          <cell r="B200" t="str">
            <v>OSK</v>
          </cell>
          <cell r="C200" t="str">
            <v>M.VSL</v>
          </cell>
          <cell r="D200">
            <v>0</v>
          </cell>
          <cell r="E200">
            <v>1</v>
          </cell>
          <cell r="F200">
            <v>0</v>
          </cell>
          <cell r="G200">
            <v>0</v>
          </cell>
          <cell r="H200">
            <v>2</v>
          </cell>
        </row>
        <row r="201">
          <cell r="A201" t="str">
            <v>CST</v>
          </cell>
          <cell r="B201" t="str">
            <v>RTM</v>
          </cell>
          <cell r="C201" t="str">
            <v>M.VSL</v>
          </cell>
          <cell r="D201">
            <v>4</v>
          </cell>
          <cell r="E201">
            <v>26</v>
          </cell>
          <cell r="F201">
            <v>0</v>
          </cell>
          <cell r="G201">
            <v>9</v>
          </cell>
          <cell r="H201">
            <v>74</v>
          </cell>
        </row>
        <row r="202">
          <cell r="A202" t="str">
            <v>CST</v>
          </cell>
          <cell r="B202" t="str">
            <v>TKY</v>
          </cell>
          <cell r="C202" t="str">
            <v>M.VSL</v>
          </cell>
          <cell r="D202">
            <v>9</v>
          </cell>
          <cell r="E202">
            <v>19</v>
          </cell>
          <cell r="F202">
            <v>0</v>
          </cell>
          <cell r="G202">
            <v>0</v>
          </cell>
          <cell r="H202">
            <v>47</v>
          </cell>
        </row>
        <row r="203">
          <cell r="A203" t="str">
            <v>DDX</v>
          </cell>
          <cell r="B203" t="str">
            <v>BSN</v>
          </cell>
          <cell r="C203" t="str">
            <v>C.FDR</v>
          </cell>
          <cell r="D203">
            <v>0</v>
          </cell>
          <cell r="E203">
            <v>105</v>
          </cell>
          <cell r="F203">
            <v>0</v>
          </cell>
          <cell r="G203">
            <v>0</v>
          </cell>
          <cell r="H203">
            <v>210</v>
          </cell>
        </row>
        <row r="204">
          <cell r="A204" t="str">
            <v>DDX</v>
          </cell>
          <cell r="B204" t="str">
            <v>INC</v>
          </cell>
          <cell r="C204" t="str">
            <v>C.FDR</v>
          </cell>
          <cell r="D204">
            <v>0</v>
          </cell>
          <cell r="E204">
            <v>27</v>
          </cell>
          <cell r="F204">
            <v>0</v>
          </cell>
          <cell r="G204">
            <v>0</v>
          </cell>
          <cell r="H204">
            <v>54</v>
          </cell>
        </row>
        <row r="205">
          <cell r="A205" t="str">
            <v>DLI</v>
          </cell>
          <cell r="B205" t="str">
            <v>BSN</v>
          </cell>
          <cell r="C205" t="str">
            <v>M.VSL</v>
          </cell>
          <cell r="D205">
            <v>205</v>
          </cell>
          <cell r="E205">
            <v>167</v>
          </cell>
          <cell r="F205">
            <v>4</v>
          </cell>
          <cell r="G205">
            <v>8</v>
          </cell>
          <cell r="H205">
            <v>559</v>
          </cell>
        </row>
        <row r="206">
          <cell r="A206" t="str">
            <v>DLI</v>
          </cell>
          <cell r="B206" t="str">
            <v>BSN</v>
          </cell>
          <cell r="C206" t="str">
            <v>C.FDR</v>
          </cell>
          <cell r="D206">
            <v>109</v>
          </cell>
          <cell r="E206">
            <v>113</v>
          </cell>
          <cell r="F206">
            <v>0</v>
          </cell>
          <cell r="G206">
            <v>0</v>
          </cell>
          <cell r="H206">
            <v>335</v>
          </cell>
        </row>
        <row r="207">
          <cell r="A207" t="str">
            <v>DLI</v>
          </cell>
          <cell r="B207" t="str">
            <v>HKG</v>
          </cell>
          <cell r="C207" t="str">
            <v>C.FDR</v>
          </cell>
          <cell r="D207">
            <v>0</v>
          </cell>
          <cell r="E207">
            <v>4</v>
          </cell>
          <cell r="F207">
            <v>0</v>
          </cell>
          <cell r="G207">
            <v>0</v>
          </cell>
          <cell r="H207">
            <v>8</v>
          </cell>
        </row>
        <row r="208">
          <cell r="A208" t="str">
            <v>DLI</v>
          </cell>
          <cell r="B208" t="str">
            <v>KYG</v>
          </cell>
          <cell r="C208" t="str">
            <v>M.VSL</v>
          </cell>
          <cell r="D208">
            <v>0</v>
          </cell>
          <cell r="E208">
            <v>1</v>
          </cell>
          <cell r="F208">
            <v>0</v>
          </cell>
          <cell r="G208">
            <v>0</v>
          </cell>
          <cell r="H208">
            <v>2</v>
          </cell>
        </row>
        <row r="209">
          <cell r="A209" t="str">
            <v>DMM</v>
          </cell>
          <cell r="B209" t="str">
            <v>BSN</v>
          </cell>
          <cell r="C209" t="str">
            <v>M.VSL</v>
          </cell>
          <cell r="D209">
            <v>89</v>
          </cell>
          <cell r="E209">
            <v>5</v>
          </cell>
          <cell r="F209">
            <v>119</v>
          </cell>
          <cell r="G209">
            <v>3</v>
          </cell>
          <cell r="H209">
            <v>224</v>
          </cell>
        </row>
        <row r="210">
          <cell r="A210" t="str">
            <v>DMM</v>
          </cell>
          <cell r="B210" t="str">
            <v>HKG</v>
          </cell>
          <cell r="C210" t="str">
            <v>M.VSL</v>
          </cell>
          <cell r="D210">
            <v>5</v>
          </cell>
          <cell r="E210">
            <v>54</v>
          </cell>
          <cell r="F210">
            <v>0</v>
          </cell>
          <cell r="G210">
            <v>6</v>
          </cell>
          <cell r="H210">
            <v>125</v>
          </cell>
        </row>
        <row r="211">
          <cell r="A211" t="str">
            <v>DMM</v>
          </cell>
          <cell r="B211" t="str">
            <v>INC</v>
          </cell>
          <cell r="C211" t="str">
            <v>M.VSL</v>
          </cell>
          <cell r="D211">
            <v>30</v>
          </cell>
          <cell r="E211">
            <v>2</v>
          </cell>
          <cell r="F211">
            <v>120</v>
          </cell>
          <cell r="G211">
            <v>0</v>
          </cell>
          <cell r="H211">
            <v>154</v>
          </cell>
        </row>
        <row r="212">
          <cell r="A212" t="str">
            <v>DMM</v>
          </cell>
          <cell r="B212" t="str">
            <v>KAH</v>
          </cell>
          <cell r="C212" t="str">
            <v>M.VSL</v>
          </cell>
          <cell r="D212">
            <v>9</v>
          </cell>
          <cell r="E212">
            <v>154</v>
          </cell>
          <cell r="F212">
            <v>0</v>
          </cell>
          <cell r="G212">
            <v>77</v>
          </cell>
          <cell r="H212">
            <v>471</v>
          </cell>
        </row>
        <row r="213">
          <cell r="A213" t="str">
            <v>DMM</v>
          </cell>
          <cell r="B213" t="str">
            <v>KYG</v>
          </cell>
          <cell r="C213" t="str">
            <v>M.VSL</v>
          </cell>
          <cell r="D213">
            <v>0</v>
          </cell>
          <cell r="E213">
            <v>0</v>
          </cell>
          <cell r="F213">
            <v>89</v>
          </cell>
          <cell r="G213">
            <v>0</v>
          </cell>
          <cell r="H213">
            <v>89</v>
          </cell>
        </row>
        <row r="214">
          <cell r="A214" t="str">
            <v>DMM</v>
          </cell>
          <cell r="B214" t="str">
            <v>SIN</v>
          </cell>
          <cell r="C214" t="str">
            <v>M.VSL</v>
          </cell>
          <cell r="D214">
            <v>38</v>
          </cell>
          <cell r="E214">
            <v>52</v>
          </cell>
          <cell r="F214">
            <v>0</v>
          </cell>
          <cell r="G214">
            <v>8</v>
          </cell>
          <cell r="H214">
            <v>158</v>
          </cell>
        </row>
        <row r="215">
          <cell r="A215" t="str">
            <v>DNG</v>
          </cell>
          <cell r="B215" t="str">
            <v>HMN</v>
          </cell>
          <cell r="C215" t="str">
            <v>C.FDR</v>
          </cell>
          <cell r="D215">
            <v>2</v>
          </cell>
          <cell r="E215">
            <v>1</v>
          </cell>
          <cell r="F215">
            <v>0</v>
          </cell>
          <cell r="G215">
            <v>0</v>
          </cell>
          <cell r="H215">
            <v>4</v>
          </cell>
        </row>
        <row r="216">
          <cell r="A216" t="str">
            <v>DNG</v>
          </cell>
          <cell r="B216" t="str">
            <v>SIN</v>
          </cell>
          <cell r="C216" t="str">
            <v>C.FDR</v>
          </cell>
          <cell r="D216">
            <v>6</v>
          </cell>
          <cell r="E216">
            <v>4</v>
          </cell>
          <cell r="F216">
            <v>0</v>
          </cell>
          <cell r="G216">
            <v>0</v>
          </cell>
          <cell r="H216">
            <v>14</v>
          </cell>
        </row>
        <row r="217">
          <cell r="A217" t="str">
            <v>DOH</v>
          </cell>
          <cell r="B217" t="str">
            <v>DXB</v>
          </cell>
          <cell r="C217" t="str">
            <v>C.FDR</v>
          </cell>
          <cell r="D217">
            <v>0</v>
          </cell>
          <cell r="E217">
            <v>0</v>
          </cell>
          <cell r="F217">
            <v>3</v>
          </cell>
          <cell r="G217">
            <v>6</v>
          </cell>
          <cell r="H217">
            <v>15</v>
          </cell>
        </row>
        <row r="218">
          <cell r="A218" t="str">
            <v>DUN</v>
          </cell>
          <cell r="B218" t="str">
            <v>NOU</v>
          </cell>
          <cell r="C218" t="str">
            <v>M.VSL</v>
          </cell>
          <cell r="D218">
            <v>3</v>
          </cell>
          <cell r="E218">
            <v>3</v>
          </cell>
          <cell r="F218">
            <v>0</v>
          </cell>
          <cell r="G218">
            <v>0</v>
          </cell>
          <cell r="H218">
            <v>9</v>
          </cell>
        </row>
        <row r="219">
          <cell r="A219" t="str">
            <v>DUN</v>
          </cell>
          <cell r="B219" t="str">
            <v>PPT</v>
          </cell>
          <cell r="C219" t="str">
            <v>M.VSL</v>
          </cell>
          <cell r="D219">
            <v>5</v>
          </cell>
          <cell r="E219">
            <v>2</v>
          </cell>
          <cell r="F219">
            <v>0</v>
          </cell>
          <cell r="G219">
            <v>0</v>
          </cell>
          <cell r="H219">
            <v>9</v>
          </cell>
        </row>
        <row r="220">
          <cell r="A220" t="str">
            <v>DVO</v>
          </cell>
          <cell r="B220" t="str">
            <v>SIN</v>
          </cell>
          <cell r="C220" t="str">
            <v>C.FDR</v>
          </cell>
          <cell r="D220">
            <v>8</v>
          </cell>
          <cell r="E220">
            <v>7</v>
          </cell>
          <cell r="F220">
            <v>0</v>
          </cell>
          <cell r="G220">
            <v>0</v>
          </cell>
          <cell r="H220">
            <v>22</v>
          </cell>
        </row>
        <row r="221">
          <cell r="A221" t="str">
            <v>DXB</v>
          </cell>
          <cell r="B221" t="str">
            <v>ABU</v>
          </cell>
          <cell r="C221" t="str">
            <v>C.FDR</v>
          </cell>
          <cell r="D221">
            <v>3</v>
          </cell>
          <cell r="E221">
            <v>8</v>
          </cell>
          <cell r="F221">
            <v>0</v>
          </cell>
          <cell r="G221">
            <v>0</v>
          </cell>
          <cell r="H221">
            <v>19</v>
          </cell>
        </row>
        <row r="222">
          <cell r="A222" t="str">
            <v>DXB</v>
          </cell>
          <cell r="B222" t="str">
            <v>BHA</v>
          </cell>
          <cell r="C222" t="str">
            <v>M.VSL</v>
          </cell>
          <cell r="D222">
            <v>25</v>
          </cell>
          <cell r="E222">
            <v>23</v>
          </cell>
          <cell r="F222">
            <v>0</v>
          </cell>
          <cell r="G222">
            <v>0</v>
          </cell>
          <cell r="H222">
            <v>71</v>
          </cell>
        </row>
        <row r="223">
          <cell r="A223" t="str">
            <v>DXB</v>
          </cell>
          <cell r="B223" t="str">
            <v>BNA</v>
          </cell>
          <cell r="C223" t="str">
            <v>M.VSL</v>
          </cell>
          <cell r="D223">
            <v>269</v>
          </cell>
          <cell r="E223">
            <v>88</v>
          </cell>
          <cell r="F223">
            <v>1</v>
          </cell>
          <cell r="G223">
            <v>69</v>
          </cell>
          <cell r="H223">
            <v>584</v>
          </cell>
        </row>
        <row r="224">
          <cell r="A224" t="str">
            <v>DXB</v>
          </cell>
          <cell r="B224" t="str">
            <v>BSN</v>
          </cell>
          <cell r="C224" t="str">
            <v>M.VSL</v>
          </cell>
          <cell r="D224">
            <v>4</v>
          </cell>
          <cell r="E224">
            <v>9</v>
          </cell>
          <cell r="F224">
            <v>204</v>
          </cell>
          <cell r="G224">
            <v>448</v>
          </cell>
          <cell r="H224">
            <v>1122</v>
          </cell>
        </row>
        <row r="225">
          <cell r="A225" t="str">
            <v>DXB</v>
          </cell>
          <cell r="B225" t="str">
            <v>COC</v>
          </cell>
          <cell r="C225" t="str">
            <v>C.FDR</v>
          </cell>
          <cell r="D225">
            <v>0</v>
          </cell>
          <cell r="E225">
            <v>0</v>
          </cell>
          <cell r="F225">
            <v>14</v>
          </cell>
          <cell r="G225">
            <v>0</v>
          </cell>
          <cell r="H225">
            <v>14</v>
          </cell>
        </row>
        <row r="226">
          <cell r="A226" t="str">
            <v>DXB</v>
          </cell>
          <cell r="B226" t="str">
            <v>DMM</v>
          </cell>
          <cell r="C226" t="str">
            <v>M.VSL</v>
          </cell>
          <cell r="D226">
            <v>106</v>
          </cell>
          <cell r="E226">
            <v>56</v>
          </cell>
          <cell r="F226">
            <v>0</v>
          </cell>
          <cell r="G226">
            <v>0</v>
          </cell>
          <cell r="H226">
            <v>218</v>
          </cell>
        </row>
        <row r="227">
          <cell r="A227" t="str">
            <v>DXB</v>
          </cell>
          <cell r="B227" t="str">
            <v>DOH</v>
          </cell>
          <cell r="C227" t="str">
            <v>C.FDR</v>
          </cell>
          <cell r="D227">
            <v>7</v>
          </cell>
          <cell r="E227">
            <v>4</v>
          </cell>
          <cell r="F227">
            <v>0</v>
          </cell>
          <cell r="G227">
            <v>0</v>
          </cell>
          <cell r="H227">
            <v>15</v>
          </cell>
        </row>
        <row r="228">
          <cell r="A228" t="str">
            <v>DXB</v>
          </cell>
          <cell r="B228" t="str">
            <v>HKG</v>
          </cell>
          <cell r="C228" t="str">
            <v>M.VSL</v>
          </cell>
          <cell r="D228">
            <v>2</v>
          </cell>
          <cell r="E228">
            <v>1</v>
          </cell>
          <cell r="F228">
            <v>0</v>
          </cell>
          <cell r="G228">
            <v>158</v>
          </cell>
          <cell r="H228">
            <v>320</v>
          </cell>
        </row>
        <row r="229">
          <cell r="A229" t="str">
            <v>DXB</v>
          </cell>
          <cell r="B229" t="str">
            <v>INC</v>
          </cell>
          <cell r="C229" t="str">
            <v>M.VSL</v>
          </cell>
          <cell r="D229">
            <v>53</v>
          </cell>
          <cell r="E229">
            <v>5</v>
          </cell>
          <cell r="F229">
            <v>142</v>
          </cell>
          <cell r="G229">
            <v>0</v>
          </cell>
          <cell r="H229">
            <v>205</v>
          </cell>
        </row>
        <row r="230">
          <cell r="A230" t="str">
            <v>DXB</v>
          </cell>
          <cell r="B230" t="str">
            <v>JED</v>
          </cell>
          <cell r="C230" t="str">
            <v>C.FDR</v>
          </cell>
          <cell r="D230">
            <v>1</v>
          </cell>
          <cell r="E230">
            <v>0</v>
          </cell>
          <cell r="F230">
            <v>0</v>
          </cell>
          <cell r="G230">
            <v>0</v>
          </cell>
          <cell r="H230">
            <v>1</v>
          </cell>
        </row>
        <row r="231">
          <cell r="A231" t="str">
            <v>DXB</v>
          </cell>
          <cell r="B231" t="str">
            <v>KAH</v>
          </cell>
          <cell r="C231" t="str">
            <v>M.VSL</v>
          </cell>
          <cell r="D231">
            <v>36</v>
          </cell>
          <cell r="E231">
            <v>18</v>
          </cell>
          <cell r="F231">
            <v>0</v>
          </cell>
          <cell r="G231">
            <v>15</v>
          </cell>
          <cell r="H231">
            <v>102</v>
          </cell>
        </row>
        <row r="232">
          <cell r="A232" t="str">
            <v>DXB</v>
          </cell>
          <cell r="B232" t="str">
            <v>KDL</v>
          </cell>
          <cell r="C232" t="str">
            <v>C.FDR</v>
          </cell>
          <cell r="D232">
            <v>4</v>
          </cell>
          <cell r="E232">
            <v>0</v>
          </cell>
          <cell r="F232">
            <v>0</v>
          </cell>
          <cell r="G232">
            <v>0</v>
          </cell>
          <cell r="H232">
            <v>4</v>
          </cell>
        </row>
        <row r="233">
          <cell r="A233" t="str">
            <v>DXB</v>
          </cell>
          <cell r="B233" t="str">
            <v>KWT</v>
          </cell>
          <cell r="C233" t="str">
            <v>M.VSL</v>
          </cell>
          <cell r="D233">
            <v>106</v>
          </cell>
          <cell r="E233">
            <v>44</v>
          </cell>
          <cell r="F233">
            <v>0</v>
          </cell>
          <cell r="G233">
            <v>0</v>
          </cell>
          <cell r="H233">
            <v>194</v>
          </cell>
        </row>
        <row r="234">
          <cell r="A234" t="str">
            <v>DXB</v>
          </cell>
          <cell r="B234" t="str">
            <v>KWT</v>
          </cell>
          <cell r="C234" t="str">
            <v>C.FDR</v>
          </cell>
          <cell r="D234">
            <v>1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</row>
        <row r="235">
          <cell r="A235" t="str">
            <v>DXB</v>
          </cell>
          <cell r="B235" t="str">
            <v>KYG</v>
          </cell>
          <cell r="C235" t="str">
            <v>M.VSL</v>
          </cell>
          <cell r="D235">
            <v>27</v>
          </cell>
          <cell r="E235">
            <v>0</v>
          </cell>
          <cell r="F235">
            <v>155</v>
          </cell>
          <cell r="G235">
            <v>0</v>
          </cell>
          <cell r="H235">
            <v>182</v>
          </cell>
        </row>
        <row r="236">
          <cell r="A236" t="str">
            <v>DXB</v>
          </cell>
          <cell r="B236" t="str">
            <v>MST</v>
          </cell>
          <cell r="C236" t="str">
            <v>C.FDR</v>
          </cell>
          <cell r="D236">
            <v>25</v>
          </cell>
          <cell r="E236">
            <v>22</v>
          </cell>
          <cell r="F236">
            <v>0</v>
          </cell>
          <cell r="G236">
            <v>0</v>
          </cell>
          <cell r="H236">
            <v>69</v>
          </cell>
        </row>
        <row r="237">
          <cell r="A237" t="str">
            <v>DXB</v>
          </cell>
          <cell r="B237" t="str">
            <v>NGB</v>
          </cell>
          <cell r="C237" t="str">
            <v>M.VSL</v>
          </cell>
          <cell r="D237">
            <v>0</v>
          </cell>
          <cell r="E237">
            <v>1</v>
          </cell>
          <cell r="F237">
            <v>0</v>
          </cell>
          <cell r="G237">
            <v>22</v>
          </cell>
          <cell r="H237">
            <v>46</v>
          </cell>
        </row>
        <row r="238">
          <cell r="A238" t="str">
            <v>DXB</v>
          </cell>
          <cell r="B238" t="str">
            <v>SHA</v>
          </cell>
          <cell r="C238" t="str">
            <v>M.VSL</v>
          </cell>
          <cell r="D238">
            <v>1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</row>
        <row r="239">
          <cell r="A239" t="str">
            <v>DXB</v>
          </cell>
          <cell r="B239" t="str">
            <v>SHJ</v>
          </cell>
          <cell r="C239" t="str">
            <v>M.VSL</v>
          </cell>
          <cell r="D239">
            <v>53</v>
          </cell>
          <cell r="E239">
            <v>84</v>
          </cell>
          <cell r="F239">
            <v>0</v>
          </cell>
          <cell r="G239">
            <v>0</v>
          </cell>
          <cell r="H239">
            <v>221</v>
          </cell>
        </row>
        <row r="240">
          <cell r="A240" t="str">
            <v>DXB</v>
          </cell>
          <cell r="B240" t="str">
            <v>SIN</v>
          </cell>
          <cell r="C240" t="str">
            <v>M.VSL</v>
          </cell>
          <cell r="D240">
            <v>17</v>
          </cell>
          <cell r="E240">
            <v>3</v>
          </cell>
          <cell r="F240">
            <v>3</v>
          </cell>
          <cell r="G240">
            <v>61</v>
          </cell>
          <cell r="H240">
            <v>148</v>
          </cell>
        </row>
        <row r="241">
          <cell r="A241" t="str">
            <v>FEL</v>
          </cell>
          <cell r="B241" t="str">
            <v>CST</v>
          </cell>
          <cell r="C241" t="str">
            <v>M.VSL</v>
          </cell>
          <cell r="D241">
            <v>11</v>
          </cell>
          <cell r="E241">
            <v>19</v>
          </cell>
          <cell r="F241">
            <v>0</v>
          </cell>
          <cell r="G241">
            <v>0</v>
          </cell>
          <cell r="H241">
            <v>49</v>
          </cell>
        </row>
        <row r="242">
          <cell r="A242" t="str">
            <v>FEL</v>
          </cell>
          <cell r="B242" t="str">
            <v>HOU</v>
          </cell>
          <cell r="C242" t="str">
            <v>M.VSL</v>
          </cell>
          <cell r="D242">
            <v>4</v>
          </cell>
          <cell r="E242">
            <v>14</v>
          </cell>
          <cell r="F242">
            <v>0</v>
          </cell>
          <cell r="G242">
            <v>0</v>
          </cell>
          <cell r="H242">
            <v>32</v>
          </cell>
        </row>
        <row r="243">
          <cell r="A243" t="str">
            <v>FEL</v>
          </cell>
          <cell r="B243" t="str">
            <v>LEH</v>
          </cell>
          <cell r="C243" t="str">
            <v>M.VSL</v>
          </cell>
          <cell r="D243">
            <v>2</v>
          </cell>
          <cell r="E243">
            <v>3</v>
          </cell>
          <cell r="F243">
            <v>0</v>
          </cell>
          <cell r="G243">
            <v>0</v>
          </cell>
          <cell r="H243">
            <v>8</v>
          </cell>
        </row>
        <row r="244">
          <cell r="A244" t="str">
            <v>FEL</v>
          </cell>
          <cell r="B244" t="str">
            <v>NRF</v>
          </cell>
          <cell r="C244" t="str">
            <v>M.VSL</v>
          </cell>
          <cell r="D244">
            <v>2</v>
          </cell>
          <cell r="E244">
            <v>2</v>
          </cell>
          <cell r="F244">
            <v>0</v>
          </cell>
          <cell r="G244">
            <v>0</v>
          </cell>
          <cell r="H244">
            <v>6</v>
          </cell>
        </row>
        <row r="245">
          <cell r="A245" t="str">
            <v>FEL</v>
          </cell>
          <cell r="B245" t="str">
            <v>NYC</v>
          </cell>
          <cell r="C245" t="str">
            <v>M.VSL</v>
          </cell>
          <cell r="D245">
            <v>20</v>
          </cell>
          <cell r="E245">
            <v>83</v>
          </cell>
          <cell r="F245">
            <v>0</v>
          </cell>
          <cell r="G245">
            <v>0</v>
          </cell>
          <cell r="H245">
            <v>186</v>
          </cell>
        </row>
        <row r="246">
          <cell r="A246" t="str">
            <v>FEL</v>
          </cell>
          <cell r="B246" t="str">
            <v>OAK</v>
          </cell>
          <cell r="C246" t="str">
            <v>M.VSL</v>
          </cell>
          <cell r="D246">
            <v>5</v>
          </cell>
          <cell r="E246">
            <v>23</v>
          </cell>
          <cell r="F246">
            <v>0</v>
          </cell>
          <cell r="G246">
            <v>0</v>
          </cell>
          <cell r="H246">
            <v>51</v>
          </cell>
        </row>
        <row r="247">
          <cell r="A247" t="str">
            <v>FEL</v>
          </cell>
          <cell r="B247" t="str">
            <v>PEF</v>
          </cell>
          <cell r="C247" t="str">
            <v>M.VSL</v>
          </cell>
          <cell r="D247">
            <v>1</v>
          </cell>
          <cell r="E247">
            <v>1</v>
          </cell>
          <cell r="F247">
            <v>0</v>
          </cell>
          <cell r="G247">
            <v>0</v>
          </cell>
          <cell r="H247">
            <v>3</v>
          </cell>
        </row>
        <row r="248">
          <cell r="A248" t="str">
            <v>FEL</v>
          </cell>
          <cell r="B248" t="str">
            <v>RTM</v>
          </cell>
          <cell r="C248" t="str">
            <v>M.VSL</v>
          </cell>
          <cell r="D248">
            <v>0</v>
          </cell>
          <cell r="E248">
            <v>0</v>
          </cell>
          <cell r="F248">
            <v>0</v>
          </cell>
          <cell r="G248">
            <v>30</v>
          </cell>
          <cell r="H248">
            <v>60</v>
          </cell>
        </row>
        <row r="249">
          <cell r="A249" t="str">
            <v>FMT</v>
          </cell>
          <cell r="B249" t="str">
            <v>PKE</v>
          </cell>
          <cell r="C249" t="str">
            <v>M.VSL</v>
          </cell>
          <cell r="D249">
            <v>9</v>
          </cell>
          <cell r="E249">
            <v>0</v>
          </cell>
          <cell r="F249">
            <v>0</v>
          </cell>
          <cell r="G249">
            <v>0</v>
          </cell>
          <cell r="H249">
            <v>9</v>
          </cell>
        </row>
        <row r="250">
          <cell r="A250" t="str">
            <v>FMT</v>
          </cell>
          <cell r="B250" t="str">
            <v>SIN</v>
          </cell>
          <cell r="C250" t="str">
            <v>M.VSL</v>
          </cell>
          <cell r="D250">
            <v>39</v>
          </cell>
          <cell r="E250">
            <v>9</v>
          </cell>
          <cell r="F250">
            <v>1</v>
          </cell>
          <cell r="G250">
            <v>10</v>
          </cell>
          <cell r="H250">
            <v>78</v>
          </cell>
        </row>
        <row r="251">
          <cell r="A251" t="str">
            <v>FOS</v>
          </cell>
          <cell r="B251" t="str">
            <v>BSN</v>
          </cell>
          <cell r="C251" t="str">
            <v>M.VSL</v>
          </cell>
          <cell r="D251">
            <v>15</v>
          </cell>
          <cell r="E251">
            <v>25</v>
          </cell>
          <cell r="F251">
            <v>0</v>
          </cell>
          <cell r="G251">
            <v>15</v>
          </cell>
          <cell r="H251">
            <v>95</v>
          </cell>
        </row>
        <row r="252">
          <cell r="A252" t="str">
            <v>FOS</v>
          </cell>
          <cell r="B252" t="str">
            <v>HKG</v>
          </cell>
          <cell r="C252" t="str">
            <v>M.VSL</v>
          </cell>
          <cell r="D252">
            <v>10</v>
          </cell>
          <cell r="E252">
            <v>0</v>
          </cell>
          <cell r="F252">
            <v>0</v>
          </cell>
          <cell r="G252">
            <v>2</v>
          </cell>
          <cell r="H252">
            <v>14</v>
          </cell>
        </row>
        <row r="253">
          <cell r="A253" t="str">
            <v>FOS</v>
          </cell>
          <cell r="B253" t="str">
            <v>JED</v>
          </cell>
          <cell r="C253" t="str">
            <v>M.VSL</v>
          </cell>
          <cell r="D253">
            <v>8</v>
          </cell>
          <cell r="E253">
            <v>9</v>
          </cell>
          <cell r="F253">
            <v>0</v>
          </cell>
          <cell r="G253">
            <v>0</v>
          </cell>
          <cell r="H253">
            <v>26</v>
          </cell>
        </row>
        <row r="254">
          <cell r="A254" t="str">
            <v>FOS</v>
          </cell>
          <cell r="B254" t="str">
            <v>KEE</v>
          </cell>
          <cell r="C254" t="str">
            <v>M.VSL</v>
          </cell>
          <cell r="D254">
            <v>19</v>
          </cell>
          <cell r="E254">
            <v>6</v>
          </cell>
          <cell r="F254">
            <v>0</v>
          </cell>
          <cell r="G254">
            <v>5</v>
          </cell>
          <cell r="H254">
            <v>41</v>
          </cell>
        </row>
        <row r="255">
          <cell r="A255" t="str">
            <v>FOS</v>
          </cell>
          <cell r="B255" t="str">
            <v>KOB</v>
          </cell>
          <cell r="C255" t="str">
            <v>M.VSL</v>
          </cell>
          <cell r="D255">
            <v>12</v>
          </cell>
          <cell r="E255">
            <v>3</v>
          </cell>
          <cell r="F255">
            <v>0</v>
          </cell>
          <cell r="G255">
            <v>0</v>
          </cell>
          <cell r="H255">
            <v>18</v>
          </cell>
        </row>
        <row r="256">
          <cell r="A256" t="str">
            <v>FOS</v>
          </cell>
          <cell r="B256" t="str">
            <v>NGO</v>
          </cell>
          <cell r="C256" t="str">
            <v>M.VSL</v>
          </cell>
          <cell r="D256">
            <v>1</v>
          </cell>
          <cell r="E256">
            <v>1</v>
          </cell>
          <cell r="F256">
            <v>0</v>
          </cell>
          <cell r="G256">
            <v>0</v>
          </cell>
          <cell r="H256">
            <v>3</v>
          </cell>
        </row>
        <row r="257">
          <cell r="A257" t="str">
            <v>FOS</v>
          </cell>
          <cell r="B257" t="str">
            <v>PSA</v>
          </cell>
          <cell r="C257" t="str">
            <v>M.VSL</v>
          </cell>
          <cell r="D257">
            <v>0</v>
          </cell>
          <cell r="E257">
            <v>3</v>
          </cell>
          <cell r="F257">
            <v>1</v>
          </cell>
          <cell r="G257">
            <v>1</v>
          </cell>
          <cell r="H257">
            <v>9</v>
          </cell>
        </row>
        <row r="258">
          <cell r="A258" t="str">
            <v>FOS</v>
          </cell>
          <cell r="B258" t="str">
            <v>SIN</v>
          </cell>
          <cell r="C258" t="str">
            <v>M.VSL</v>
          </cell>
          <cell r="D258">
            <v>20</v>
          </cell>
          <cell r="E258">
            <v>8</v>
          </cell>
          <cell r="F258">
            <v>0</v>
          </cell>
          <cell r="G258">
            <v>0</v>
          </cell>
          <cell r="H258">
            <v>36</v>
          </cell>
        </row>
        <row r="259">
          <cell r="A259" t="str">
            <v>FOS</v>
          </cell>
          <cell r="B259" t="str">
            <v>YOK</v>
          </cell>
          <cell r="C259" t="str">
            <v>M.VSL</v>
          </cell>
          <cell r="D259">
            <v>11</v>
          </cell>
          <cell r="E259">
            <v>21</v>
          </cell>
          <cell r="F259">
            <v>0</v>
          </cell>
          <cell r="G259">
            <v>0</v>
          </cell>
          <cell r="H259">
            <v>53</v>
          </cell>
        </row>
        <row r="260">
          <cell r="A260" t="str">
            <v>FUK</v>
          </cell>
          <cell r="B260" t="str">
            <v>BSN</v>
          </cell>
          <cell r="C260" t="str">
            <v>C.FDR</v>
          </cell>
          <cell r="D260">
            <v>0</v>
          </cell>
          <cell r="E260">
            <v>0</v>
          </cell>
          <cell r="F260">
            <v>1</v>
          </cell>
          <cell r="G260">
            <v>0</v>
          </cell>
          <cell r="H260">
            <v>1</v>
          </cell>
        </row>
        <row r="261">
          <cell r="A261" t="str">
            <v>FUZ</v>
          </cell>
          <cell r="B261" t="str">
            <v>KAO</v>
          </cell>
          <cell r="C261" t="str">
            <v>C.FDR</v>
          </cell>
          <cell r="D261">
            <v>67</v>
          </cell>
          <cell r="E261">
            <v>224</v>
          </cell>
          <cell r="F261">
            <v>4</v>
          </cell>
          <cell r="G261">
            <v>0</v>
          </cell>
          <cell r="H261">
            <v>519</v>
          </cell>
        </row>
        <row r="262">
          <cell r="A262" t="str">
            <v>GEN</v>
          </cell>
          <cell r="B262" t="str">
            <v>BSN</v>
          </cell>
          <cell r="C262" t="str">
            <v>M.VSL</v>
          </cell>
          <cell r="D262">
            <v>90</v>
          </cell>
          <cell r="E262">
            <v>51</v>
          </cell>
          <cell r="F262">
            <v>0</v>
          </cell>
          <cell r="G262">
            <v>0</v>
          </cell>
          <cell r="H262">
            <v>192</v>
          </cell>
        </row>
        <row r="263">
          <cell r="A263" t="str">
            <v>GEN</v>
          </cell>
          <cell r="B263" t="str">
            <v>FOS</v>
          </cell>
          <cell r="C263" t="str">
            <v>M.VSL</v>
          </cell>
          <cell r="D263">
            <v>0</v>
          </cell>
          <cell r="E263">
            <v>0</v>
          </cell>
          <cell r="F263">
            <v>2</v>
          </cell>
          <cell r="G263">
            <v>0</v>
          </cell>
          <cell r="H263">
            <v>2</v>
          </cell>
        </row>
        <row r="264">
          <cell r="A264" t="str">
            <v>GEN</v>
          </cell>
          <cell r="B264" t="str">
            <v>HKG</v>
          </cell>
          <cell r="C264" t="str">
            <v>M.VSL</v>
          </cell>
          <cell r="D264">
            <v>26</v>
          </cell>
          <cell r="E264">
            <v>31</v>
          </cell>
          <cell r="F264">
            <v>0</v>
          </cell>
          <cell r="G264">
            <v>0</v>
          </cell>
          <cell r="H264">
            <v>88</v>
          </cell>
        </row>
        <row r="265">
          <cell r="A265" t="str">
            <v>GEN</v>
          </cell>
          <cell r="B265" t="str">
            <v>JED</v>
          </cell>
          <cell r="C265" t="str">
            <v>M.VSL</v>
          </cell>
          <cell r="D265">
            <v>21</v>
          </cell>
          <cell r="E265">
            <v>20</v>
          </cell>
          <cell r="F265">
            <v>0</v>
          </cell>
          <cell r="G265">
            <v>0</v>
          </cell>
          <cell r="H265">
            <v>61</v>
          </cell>
        </row>
        <row r="266">
          <cell r="A266" t="str">
            <v>GEN</v>
          </cell>
          <cell r="B266" t="str">
            <v>KEE</v>
          </cell>
          <cell r="C266" t="str">
            <v>M.VSL</v>
          </cell>
          <cell r="D266">
            <v>9</v>
          </cell>
          <cell r="E266">
            <v>11</v>
          </cell>
          <cell r="F266">
            <v>0</v>
          </cell>
          <cell r="G266">
            <v>0</v>
          </cell>
          <cell r="H266">
            <v>31</v>
          </cell>
        </row>
        <row r="267">
          <cell r="A267" t="str">
            <v>GEN</v>
          </cell>
          <cell r="B267" t="str">
            <v>KOB</v>
          </cell>
          <cell r="C267" t="str">
            <v>M.VSL</v>
          </cell>
          <cell r="D267">
            <v>27</v>
          </cell>
          <cell r="E267">
            <v>8</v>
          </cell>
          <cell r="F267">
            <v>0</v>
          </cell>
          <cell r="G267">
            <v>0</v>
          </cell>
          <cell r="H267">
            <v>43</v>
          </cell>
        </row>
        <row r="268">
          <cell r="A268" t="str">
            <v>GEN</v>
          </cell>
          <cell r="B268" t="str">
            <v>NGO</v>
          </cell>
          <cell r="C268" t="str">
            <v>M.VSL</v>
          </cell>
          <cell r="D268">
            <v>15</v>
          </cell>
          <cell r="E268">
            <v>4</v>
          </cell>
          <cell r="F268">
            <v>0</v>
          </cell>
          <cell r="G268">
            <v>0</v>
          </cell>
          <cell r="H268">
            <v>23</v>
          </cell>
        </row>
        <row r="269">
          <cell r="A269" t="str">
            <v>GEN</v>
          </cell>
          <cell r="B269" t="str">
            <v>PSA</v>
          </cell>
          <cell r="C269" t="str">
            <v>M.VSL</v>
          </cell>
          <cell r="D269">
            <v>10</v>
          </cell>
          <cell r="E269">
            <v>5</v>
          </cell>
          <cell r="F269">
            <v>0</v>
          </cell>
          <cell r="G269">
            <v>59</v>
          </cell>
          <cell r="H269">
            <v>138</v>
          </cell>
        </row>
        <row r="270">
          <cell r="A270" t="str">
            <v>GEN</v>
          </cell>
          <cell r="B270" t="str">
            <v>SIN</v>
          </cell>
          <cell r="C270" t="str">
            <v>M.VSL</v>
          </cell>
          <cell r="D270">
            <v>94</v>
          </cell>
          <cell r="E270">
            <v>90</v>
          </cell>
          <cell r="F270">
            <v>10</v>
          </cell>
          <cell r="G270">
            <v>0</v>
          </cell>
          <cell r="H270">
            <v>284</v>
          </cell>
        </row>
        <row r="271">
          <cell r="A271" t="str">
            <v>GEN</v>
          </cell>
          <cell r="B271" t="str">
            <v>YOK</v>
          </cell>
          <cell r="C271" t="str">
            <v>M.VSL</v>
          </cell>
          <cell r="D271">
            <v>70</v>
          </cell>
          <cell r="E271">
            <v>44</v>
          </cell>
          <cell r="F271">
            <v>0</v>
          </cell>
          <cell r="G271">
            <v>0</v>
          </cell>
          <cell r="H271">
            <v>158</v>
          </cell>
        </row>
        <row r="272">
          <cell r="A272" t="str">
            <v>HAC</v>
          </cell>
          <cell r="B272" t="str">
            <v>BSN</v>
          </cell>
          <cell r="C272" t="str">
            <v>C.FDR</v>
          </cell>
          <cell r="D272">
            <v>0</v>
          </cell>
          <cell r="E272">
            <v>0</v>
          </cell>
          <cell r="F272">
            <v>5</v>
          </cell>
          <cell r="G272">
            <v>6</v>
          </cell>
          <cell r="H272">
            <v>17</v>
          </cell>
        </row>
        <row r="273">
          <cell r="A273" t="str">
            <v>HAM</v>
          </cell>
          <cell r="B273" t="str">
            <v>BSN</v>
          </cell>
          <cell r="C273" t="str">
            <v>M.VSL</v>
          </cell>
          <cell r="D273">
            <v>291</v>
          </cell>
          <cell r="E273">
            <v>512</v>
          </cell>
          <cell r="F273">
            <v>155</v>
          </cell>
          <cell r="G273">
            <v>84</v>
          </cell>
          <cell r="H273">
            <v>1638</v>
          </cell>
        </row>
        <row r="274">
          <cell r="A274" t="str">
            <v>HAM</v>
          </cell>
          <cell r="B274" t="str">
            <v>CBO</v>
          </cell>
          <cell r="C274" t="str">
            <v>M.VSL</v>
          </cell>
          <cell r="D274">
            <v>102</v>
          </cell>
          <cell r="E274">
            <v>12</v>
          </cell>
          <cell r="F274">
            <v>0</v>
          </cell>
          <cell r="G274">
            <v>0</v>
          </cell>
          <cell r="H274">
            <v>126</v>
          </cell>
        </row>
        <row r="275">
          <cell r="A275" t="str">
            <v>HAM</v>
          </cell>
          <cell r="B275" t="str">
            <v>HAT</v>
          </cell>
          <cell r="C275" t="str">
            <v>M.VSL</v>
          </cell>
          <cell r="D275">
            <v>22</v>
          </cell>
          <cell r="E275">
            <v>130</v>
          </cell>
          <cell r="F275">
            <v>0</v>
          </cell>
          <cell r="G275">
            <v>0</v>
          </cell>
          <cell r="H275">
            <v>282</v>
          </cell>
        </row>
        <row r="276">
          <cell r="A276" t="str">
            <v>HAM</v>
          </cell>
          <cell r="B276" t="str">
            <v>HKG</v>
          </cell>
          <cell r="C276" t="str">
            <v>M.VSL</v>
          </cell>
          <cell r="D276">
            <v>52</v>
          </cell>
          <cell r="E276">
            <v>100</v>
          </cell>
          <cell r="F276">
            <v>0</v>
          </cell>
          <cell r="G276">
            <v>31</v>
          </cell>
          <cell r="H276">
            <v>314</v>
          </cell>
        </row>
        <row r="277">
          <cell r="A277" t="str">
            <v>HAM</v>
          </cell>
          <cell r="B277" t="str">
            <v>KAO</v>
          </cell>
          <cell r="C277" t="str">
            <v>M.VSL</v>
          </cell>
          <cell r="D277">
            <v>104</v>
          </cell>
          <cell r="E277">
            <v>206</v>
          </cell>
          <cell r="F277">
            <v>0</v>
          </cell>
          <cell r="G277">
            <v>0</v>
          </cell>
          <cell r="H277">
            <v>516</v>
          </cell>
        </row>
        <row r="278">
          <cell r="A278" t="str">
            <v>HAM</v>
          </cell>
          <cell r="B278" t="str">
            <v>KOB</v>
          </cell>
          <cell r="C278" t="str">
            <v>M.VSL</v>
          </cell>
          <cell r="D278">
            <v>77</v>
          </cell>
          <cell r="E278">
            <v>170</v>
          </cell>
          <cell r="F278">
            <v>0</v>
          </cell>
          <cell r="G278">
            <v>0</v>
          </cell>
          <cell r="H278">
            <v>417</v>
          </cell>
        </row>
        <row r="279">
          <cell r="A279" t="str">
            <v>HAM</v>
          </cell>
          <cell r="B279" t="str">
            <v>KYG</v>
          </cell>
          <cell r="C279" t="str">
            <v>M.VSL</v>
          </cell>
          <cell r="D279">
            <v>8</v>
          </cell>
          <cell r="E279">
            <v>24</v>
          </cell>
          <cell r="F279">
            <v>155</v>
          </cell>
          <cell r="G279">
            <v>0</v>
          </cell>
          <cell r="H279">
            <v>211</v>
          </cell>
        </row>
        <row r="280">
          <cell r="A280" t="str">
            <v>HAM</v>
          </cell>
          <cell r="B280" t="str">
            <v>NGB</v>
          </cell>
          <cell r="C280" t="str">
            <v>M.VSL</v>
          </cell>
          <cell r="D280">
            <v>1</v>
          </cell>
          <cell r="E280">
            <v>2</v>
          </cell>
          <cell r="F280">
            <v>0</v>
          </cell>
          <cell r="G280">
            <v>0</v>
          </cell>
          <cell r="H280">
            <v>5</v>
          </cell>
        </row>
        <row r="281">
          <cell r="A281" t="str">
            <v>HAM</v>
          </cell>
          <cell r="B281" t="str">
            <v>NGO</v>
          </cell>
          <cell r="C281" t="str">
            <v>M.VSL</v>
          </cell>
          <cell r="D281">
            <v>59</v>
          </cell>
          <cell r="E281">
            <v>48</v>
          </cell>
          <cell r="F281">
            <v>0</v>
          </cell>
          <cell r="G281">
            <v>0</v>
          </cell>
          <cell r="H281">
            <v>155</v>
          </cell>
        </row>
        <row r="282">
          <cell r="A282" t="str">
            <v>HAM</v>
          </cell>
          <cell r="B282" t="str">
            <v>QDO</v>
          </cell>
          <cell r="C282" t="str">
            <v>M.VSL</v>
          </cell>
          <cell r="D282">
            <v>0</v>
          </cell>
          <cell r="E282">
            <v>3</v>
          </cell>
          <cell r="F282">
            <v>0</v>
          </cell>
          <cell r="G282">
            <v>0</v>
          </cell>
          <cell r="H282">
            <v>6</v>
          </cell>
        </row>
        <row r="283">
          <cell r="A283" t="str">
            <v>HAM</v>
          </cell>
          <cell r="B283" t="str">
            <v>SHA</v>
          </cell>
          <cell r="C283" t="str">
            <v>M.VSL</v>
          </cell>
          <cell r="D283">
            <v>17</v>
          </cell>
          <cell r="E283">
            <v>94</v>
          </cell>
          <cell r="F283">
            <v>0</v>
          </cell>
          <cell r="G283">
            <v>0</v>
          </cell>
          <cell r="H283">
            <v>205</v>
          </cell>
        </row>
        <row r="284">
          <cell r="A284" t="str">
            <v>HAM</v>
          </cell>
          <cell r="B284" t="str">
            <v>SIN</v>
          </cell>
          <cell r="C284" t="str">
            <v>M.VSL</v>
          </cell>
          <cell r="D284">
            <v>153</v>
          </cell>
          <cell r="E284">
            <v>363</v>
          </cell>
          <cell r="F284">
            <v>173</v>
          </cell>
          <cell r="G284">
            <v>0</v>
          </cell>
          <cell r="H284">
            <v>1052</v>
          </cell>
        </row>
        <row r="285">
          <cell r="A285" t="str">
            <v>HAM</v>
          </cell>
          <cell r="B285" t="str">
            <v>SOO</v>
          </cell>
          <cell r="C285" t="str">
            <v>M.VSL</v>
          </cell>
          <cell r="D285">
            <v>0</v>
          </cell>
          <cell r="E285">
            <v>0</v>
          </cell>
          <cell r="F285">
            <v>3</v>
          </cell>
          <cell r="G285">
            <v>0</v>
          </cell>
          <cell r="H285">
            <v>3</v>
          </cell>
        </row>
        <row r="286">
          <cell r="A286" t="str">
            <v>HAM</v>
          </cell>
          <cell r="B286" t="str">
            <v>TKY</v>
          </cell>
          <cell r="C286" t="str">
            <v>M.VSL</v>
          </cell>
          <cell r="D286">
            <v>133</v>
          </cell>
          <cell r="E286">
            <v>271</v>
          </cell>
          <cell r="F286">
            <v>0</v>
          </cell>
          <cell r="G286">
            <v>0</v>
          </cell>
          <cell r="H286">
            <v>675</v>
          </cell>
        </row>
        <row r="287">
          <cell r="A287" t="str">
            <v>HAT</v>
          </cell>
          <cell r="B287" t="str">
            <v>BKK</v>
          </cell>
          <cell r="C287" t="str">
            <v>M.VSL</v>
          </cell>
          <cell r="D287">
            <v>6</v>
          </cell>
          <cell r="E287">
            <v>8</v>
          </cell>
          <cell r="F287">
            <v>0</v>
          </cell>
          <cell r="G287">
            <v>0</v>
          </cell>
          <cell r="H287">
            <v>22</v>
          </cell>
        </row>
        <row r="288">
          <cell r="A288" t="str">
            <v>HAT</v>
          </cell>
          <cell r="B288" t="str">
            <v>BSN</v>
          </cell>
          <cell r="C288" t="str">
            <v>M.VSL</v>
          </cell>
          <cell r="D288">
            <v>1</v>
          </cell>
          <cell r="E288">
            <v>7</v>
          </cell>
          <cell r="F288">
            <v>0</v>
          </cell>
          <cell r="G288">
            <v>80</v>
          </cell>
          <cell r="H288">
            <v>175</v>
          </cell>
        </row>
        <row r="289">
          <cell r="A289" t="str">
            <v>HAT</v>
          </cell>
          <cell r="B289" t="str">
            <v>BSN</v>
          </cell>
          <cell r="C289" t="str">
            <v>C.FDR</v>
          </cell>
          <cell r="D289">
            <v>2</v>
          </cell>
          <cell r="E289">
            <v>0</v>
          </cell>
          <cell r="F289">
            <v>0</v>
          </cell>
          <cell r="G289">
            <v>50</v>
          </cell>
          <cell r="H289">
            <v>102</v>
          </cell>
        </row>
        <row r="290">
          <cell r="A290" t="str">
            <v>HAT</v>
          </cell>
          <cell r="B290" t="str">
            <v>HAM</v>
          </cell>
          <cell r="C290" t="str">
            <v>M.VSL</v>
          </cell>
          <cell r="D290">
            <v>13</v>
          </cell>
          <cell r="E290">
            <v>17</v>
          </cell>
          <cell r="F290">
            <v>0</v>
          </cell>
          <cell r="G290">
            <v>0</v>
          </cell>
          <cell r="H290">
            <v>47</v>
          </cell>
        </row>
        <row r="291">
          <cell r="A291" t="str">
            <v>HAT</v>
          </cell>
          <cell r="B291" t="str">
            <v>HKG</v>
          </cell>
          <cell r="C291" t="str">
            <v>M.VSL</v>
          </cell>
          <cell r="D291">
            <v>7</v>
          </cell>
          <cell r="E291">
            <v>11</v>
          </cell>
          <cell r="F291">
            <v>0</v>
          </cell>
          <cell r="G291">
            <v>50</v>
          </cell>
          <cell r="H291">
            <v>129</v>
          </cell>
        </row>
        <row r="292">
          <cell r="A292" t="str">
            <v>HAT</v>
          </cell>
          <cell r="B292" t="str">
            <v>HMN</v>
          </cell>
          <cell r="C292" t="str">
            <v>M.VSL</v>
          </cell>
          <cell r="D292">
            <v>4</v>
          </cell>
          <cell r="E292">
            <v>9</v>
          </cell>
          <cell r="F292">
            <v>0</v>
          </cell>
          <cell r="G292">
            <v>0</v>
          </cell>
          <cell r="H292">
            <v>22</v>
          </cell>
        </row>
        <row r="293">
          <cell r="A293" t="str">
            <v>HAT</v>
          </cell>
          <cell r="B293" t="str">
            <v>KAO</v>
          </cell>
          <cell r="C293" t="str">
            <v>M.VSL</v>
          </cell>
          <cell r="D293">
            <v>0</v>
          </cell>
          <cell r="E293">
            <v>0</v>
          </cell>
          <cell r="F293">
            <v>9</v>
          </cell>
          <cell r="G293">
            <v>0</v>
          </cell>
          <cell r="H293">
            <v>9</v>
          </cell>
        </row>
        <row r="294">
          <cell r="A294" t="str">
            <v>HAT</v>
          </cell>
          <cell r="B294" t="str">
            <v>LCB</v>
          </cell>
          <cell r="C294" t="str">
            <v>M.VSL</v>
          </cell>
          <cell r="D294">
            <v>5</v>
          </cell>
          <cell r="E294">
            <v>1</v>
          </cell>
          <cell r="F294">
            <v>0</v>
          </cell>
          <cell r="G294">
            <v>0</v>
          </cell>
          <cell r="H294">
            <v>7</v>
          </cell>
        </row>
        <row r="295">
          <cell r="A295" t="str">
            <v>HAT</v>
          </cell>
          <cell r="B295" t="str">
            <v>LEH</v>
          </cell>
          <cell r="C295" t="str">
            <v>M.VSL</v>
          </cell>
          <cell r="D295">
            <v>2</v>
          </cell>
          <cell r="E295">
            <v>3</v>
          </cell>
          <cell r="F295">
            <v>0</v>
          </cell>
          <cell r="G295">
            <v>0</v>
          </cell>
          <cell r="H295">
            <v>8</v>
          </cell>
        </row>
        <row r="296">
          <cell r="A296" t="str">
            <v>HAT</v>
          </cell>
          <cell r="B296" t="str">
            <v>OAK</v>
          </cell>
          <cell r="C296" t="str">
            <v>M.VSL</v>
          </cell>
          <cell r="D296">
            <v>24</v>
          </cell>
          <cell r="E296">
            <v>42</v>
          </cell>
          <cell r="F296">
            <v>0</v>
          </cell>
          <cell r="G296">
            <v>25</v>
          </cell>
          <cell r="H296">
            <v>158</v>
          </cell>
        </row>
        <row r="297">
          <cell r="A297" t="str">
            <v>HAT</v>
          </cell>
          <cell r="B297" t="str">
            <v>PKE</v>
          </cell>
          <cell r="C297" t="str">
            <v>M.VSL</v>
          </cell>
          <cell r="D297">
            <v>5</v>
          </cell>
          <cell r="E297">
            <v>38</v>
          </cell>
          <cell r="F297">
            <v>0</v>
          </cell>
          <cell r="G297">
            <v>0</v>
          </cell>
          <cell r="H297">
            <v>81</v>
          </cell>
        </row>
        <row r="298">
          <cell r="A298" t="str">
            <v>HAT</v>
          </cell>
          <cell r="B298" t="str">
            <v>RTM</v>
          </cell>
          <cell r="C298" t="str">
            <v>M.VSL</v>
          </cell>
          <cell r="D298">
            <v>25</v>
          </cell>
          <cell r="E298">
            <v>49</v>
          </cell>
          <cell r="F298">
            <v>0</v>
          </cell>
          <cell r="G298">
            <v>0</v>
          </cell>
          <cell r="H298">
            <v>123</v>
          </cell>
        </row>
        <row r="299">
          <cell r="A299" t="str">
            <v>HAT</v>
          </cell>
          <cell r="B299" t="str">
            <v>SIN</v>
          </cell>
          <cell r="C299" t="str">
            <v>M.VSL</v>
          </cell>
          <cell r="D299">
            <v>42</v>
          </cell>
          <cell r="E299">
            <v>83</v>
          </cell>
          <cell r="F299">
            <v>0</v>
          </cell>
          <cell r="G299">
            <v>0</v>
          </cell>
          <cell r="H299">
            <v>208</v>
          </cell>
        </row>
        <row r="300">
          <cell r="A300" t="str">
            <v>HAT</v>
          </cell>
          <cell r="B300" t="str">
            <v>SOO</v>
          </cell>
          <cell r="C300" t="str">
            <v>M.VSL</v>
          </cell>
          <cell r="D300">
            <v>3</v>
          </cell>
          <cell r="E300">
            <v>9</v>
          </cell>
          <cell r="F300">
            <v>0</v>
          </cell>
          <cell r="G300">
            <v>0</v>
          </cell>
          <cell r="H300">
            <v>21</v>
          </cell>
        </row>
        <row r="301">
          <cell r="A301" t="str">
            <v>HAT</v>
          </cell>
          <cell r="B301" t="str">
            <v>SPO</v>
          </cell>
          <cell r="C301" t="str">
            <v>M.VSL</v>
          </cell>
          <cell r="D301">
            <v>29</v>
          </cell>
          <cell r="E301">
            <v>46</v>
          </cell>
          <cell r="F301">
            <v>0</v>
          </cell>
          <cell r="G301">
            <v>0</v>
          </cell>
          <cell r="H301">
            <v>121</v>
          </cell>
        </row>
        <row r="302">
          <cell r="A302" t="str">
            <v>HKG</v>
          </cell>
          <cell r="B302" t="str">
            <v>ANT</v>
          </cell>
          <cell r="C302" t="str">
            <v>M.VSL</v>
          </cell>
          <cell r="D302">
            <v>42</v>
          </cell>
          <cell r="E302">
            <v>83</v>
          </cell>
          <cell r="F302">
            <v>0</v>
          </cell>
          <cell r="G302">
            <v>0</v>
          </cell>
          <cell r="H302">
            <v>208</v>
          </cell>
        </row>
        <row r="303">
          <cell r="A303" t="str">
            <v>HKG</v>
          </cell>
          <cell r="B303" t="str">
            <v>BCN</v>
          </cell>
          <cell r="C303" t="str">
            <v>M.VSL</v>
          </cell>
          <cell r="D303">
            <v>84</v>
          </cell>
          <cell r="E303">
            <v>113</v>
          </cell>
          <cell r="F303">
            <v>0</v>
          </cell>
          <cell r="G303">
            <v>0</v>
          </cell>
          <cell r="H303">
            <v>310</v>
          </cell>
        </row>
        <row r="304">
          <cell r="A304" t="str">
            <v>HKG</v>
          </cell>
          <cell r="B304" t="str">
            <v>BKK</v>
          </cell>
          <cell r="C304" t="str">
            <v>C.FDR</v>
          </cell>
          <cell r="D304">
            <v>5</v>
          </cell>
          <cell r="E304">
            <v>17</v>
          </cell>
          <cell r="F304">
            <v>0</v>
          </cell>
          <cell r="G304">
            <v>0</v>
          </cell>
          <cell r="H304">
            <v>39</v>
          </cell>
        </row>
        <row r="305">
          <cell r="A305" t="str">
            <v>HKG</v>
          </cell>
          <cell r="B305" t="str">
            <v>BRS</v>
          </cell>
          <cell r="C305" t="str">
            <v>M.VSL</v>
          </cell>
          <cell r="D305">
            <v>3</v>
          </cell>
          <cell r="E305">
            <v>0</v>
          </cell>
          <cell r="F305">
            <v>0</v>
          </cell>
          <cell r="G305">
            <v>0</v>
          </cell>
          <cell r="H305">
            <v>3</v>
          </cell>
        </row>
        <row r="306">
          <cell r="A306" t="str">
            <v>HKG</v>
          </cell>
          <cell r="B306" t="str">
            <v>BRV</v>
          </cell>
          <cell r="C306" t="str">
            <v>M.VSL</v>
          </cell>
          <cell r="D306">
            <v>7</v>
          </cell>
          <cell r="E306">
            <v>15</v>
          </cell>
          <cell r="F306">
            <v>0</v>
          </cell>
          <cell r="G306">
            <v>0</v>
          </cell>
          <cell r="H306">
            <v>37</v>
          </cell>
        </row>
        <row r="307">
          <cell r="A307" t="str">
            <v>HKG</v>
          </cell>
          <cell r="B307" t="str">
            <v>BSN</v>
          </cell>
          <cell r="C307" t="str">
            <v>M.VSL</v>
          </cell>
          <cell r="D307">
            <v>88</v>
          </cell>
          <cell r="E307">
            <v>146</v>
          </cell>
          <cell r="F307">
            <v>0</v>
          </cell>
          <cell r="G307">
            <v>0</v>
          </cell>
          <cell r="H307">
            <v>380</v>
          </cell>
        </row>
        <row r="308">
          <cell r="A308" t="str">
            <v>HKG</v>
          </cell>
          <cell r="B308" t="str">
            <v>CBO</v>
          </cell>
          <cell r="C308" t="str">
            <v>M.VSL</v>
          </cell>
          <cell r="D308">
            <v>16</v>
          </cell>
          <cell r="E308">
            <v>27</v>
          </cell>
          <cell r="F308">
            <v>0</v>
          </cell>
          <cell r="G308">
            <v>0</v>
          </cell>
          <cell r="H308">
            <v>70</v>
          </cell>
        </row>
        <row r="309">
          <cell r="A309" t="str">
            <v>HKG</v>
          </cell>
          <cell r="B309" t="str">
            <v>CST</v>
          </cell>
          <cell r="C309" t="str">
            <v>M.VSL</v>
          </cell>
          <cell r="D309">
            <v>19</v>
          </cell>
          <cell r="E309">
            <v>107</v>
          </cell>
          <cell r="F309">
            <v>0</v>
          </cell>
          <cell r="G309">
            <v>0</v>
          </cell>
          <cell r="H309">
            <v>233</v>
          </cell>
        </row>
        <row r="310">
          <cell r="A310" t="str">
            <v>HKG</v>
          </cell>
          <cell r="B310" t="str">
            <v>DMM</v>
          </cell>
          <cell r="C310" t="str">
            <v>M.VSL</v>
          </cell>
          <cell r="D310">
            <v>9</v>
          </cell>
          <cell r="E310">
            <v>7</v>
          </cell>
          <cell r="F310">
            <v>0</v>
          </cell>
          <cell r="G310">
            <v>0</v>
          </cell>
          <cell r="H310">
            <v>23</v>
          </cell>
        </row>
        <row r="311">
          <cell r="A311" t="str">
            <v>HKG</v>
          </cell>
          <cell r="B311" t="str">
            <v>DXB</v>
          </cell>
          <cell r="C311" t="str">
            <v>M.VSL</v>
          </cell>
          <cell r="D311">
            <v>68</v>
          </cell>
          <cell r="E311">
            <v>120</v>
          </cell>
          <cell r="F311">
            <v>0</v>
          </cell>
          <cell r="G311">
            <v>0</v>
          </cell>
          <cell r="H311">
            <v>308</v>
          </cell>
        </row>
        <row r="312">
          <cell r="A312" t="str">
            <v>HKG</v>
          </cell>
          <cell r="B312" t="str">
            <v>FOS</v>
          </cell>
          <cell r="C312" t="str">
            <v>M.VSL</v>
          </cell>
          <cell r="D312">
            <v>13</v>
          </cell>
          <cell r="E312">
            <v>48</v>
          </cell>
          <cell r="F312">
            <v>0</v>
          </cell>
          <cell r="G312">
            <v>0</v>
          </cell>
          <cell r="H312">
            <v>109</v>
          </cell>
        </row>
        <row r="313">
          <cell r="A313" t="str">
            <v>HKG</v>
          </cell>
          <cell r="B313" t="str">
            <v>GEN</v>
          </cell>
          <cell r="C313" t="str">
            <v>M.VSL</v>
          </cell>
          <cell r="D313">
            <v>76</v>
          </cell>
          <cell r="E313">
            <v>91</v>
          </cell>
          <cell r="F313">
            <v>0</v>
          </cell>
          <cell r="G313">
            <v>0</v>
          </cell>
          <cell r="H313">
            <v>258</v>
          </cell>
        </row>
        <row r="314">
          <cell r="A314" t="str">
            <v>HKG</v>
          </cell>
          <cell r="B314" t="str">
            <v>HAM</v>
          </cell>
          <cell r="C314" t="str">
            <v>M.VSL</v>
          </cell>
          <cell r="D314">
            <v>184</v>
          </cell>
          <cell r="E314">
            <v>291</v>
          </cell>
          <cell r="F314">
            <v>6</v>
          </cell>
          <cell r="G314">
            <v>22</v>
          </cell>
          <cell r="H314">
            <v>816</v>
          </cell>
        </row>
        <row r="315">
          <cell r="A315" t="str">
            <v>HKG</v>
          </cell>
          <cell r="B315" t="str">
            <v>HAT</v>
          </cell>
          <cell r="C315" t="str">
            <v>M.VSL</v>
          </cell>
          <cell r="D315">
            <v>3</v>
          </cell>
          <cell r="E315">
            <v>6</v>
          </cell>
          <cell r="F315">
            <v>0</v>
          </cell>
          <cell r="G315">
            <v>0</v>
          </cell>
          <cell r="H315">
            <v>15</v>
          </cell>
        </row>
        <row r="316">
          <cell r="A316" t="str">
            <v>HKG</v>
          </cell>
          <cell r="B316" t="str">
            <v>INC</v>
          </cell>
          <cell r="C316" t="str">
            <v>M.VSL</v>
          </cell>
          <cell r="D316">
            <v>60</v>
          </cell>
          <cell r="E316">
            <v>75</v>
          </cell>
          <cell r="F316">
            <v>0</v>
          </cell>
          <cell r="G316">
            <v>0</v>
          </cell>
          <cell r="H316">
            <v>210</v>
          </cell>
        </row>
        <row r="317">
          <cell r="A317" t="str">
            <v>HKG</v>
          </cell>
          <cell r="B317" t="str">
            <v>JAK</v>
          </cell>
          <cell r="C317" t="str">
            <v>M.VSL</v>
          </cell>
          <cell r="D317">
            <v>103</v>
          </cell>
          <cell r="E317">
            <v>92</v>
          </cell>
          <cell r="F317">
            <v>0</v>
          </cell>
          <cell r="G317">
            <v>0</v>
          </cell>
          <cell r="H317">
            <v>287</v>
          </cell>
        </row>
        <row r="318">
          <cell r="A318" t="str">
            <v>HKG</v>
          </cell>
          <cell r="B318" t="str">
            <v>KAH</v>
          </cell>
          <cell r="C318" t="str">
            <v>M.VSL</v>
          </cell>
          <cell r="D318">
            <v>9</v>
          </cell>
          <cell r="E318">
            <v>8</v>
          </cell>
          <cell r="F318">
            <v>0</v>
          </cell>
          <cell r="G318">
            <v>0</v>
          </cell>
          <cell r="H318">
            <v>25</v>
          </cell>
        </row>
        <row r="319">
          <cell r="A319" t="str">
            <v>HKG</v>
          </cell>
          <cell r="B319" t="str">
            <v>KAO</v>
          </cell>
          <cell r="C319" t="str">
            <v>M.VSL</v>
          </cell>
          <cell r="D319">
            <v>7</v>
          </cell>
          <cell r="E319">
            <v>14</v>
          </cell>
          <cell r="F319">
            <v>5</v>
          </cell>
          <cell r="G319">
            <v>3</v>
          </cell>
          <cell r="H319">
            <v>46</v>
          </cell>
        </row>
        <row r="320">
          <cell r="A320" t="str">
            <v>HKG</v>
          </cell>
          <cell r="B320" t="str">
            <v>KEE</v>
          </cell>
          <cell r="C320" t="str">
            <v>M.VSL</v>
          </cell>
          <cell r="D320">
            <v>10</v>
          </cell>
          <cell r="E320">
            <v>27</v>
          </cell>
          <cell r="F320">
            <v>0</v>
          </cell>
          <cell r="G320">
            <v>0</v>
          </cell>
          <cell r="H320">
            <v>64</v>
          </cell>
        </row>
        <row r="321">
          <cell r="A321" t="str">
            <v>HKG</v>
          </cell>
          <cell r="B321" t="str">
            <v>KOB</v>
          </cell>
          <cell r="C321" t="str">
            <v>M.VSL</v>
          </cell>
          <cell r="D321">
            <v>4</v>
          </cell>
          <cell r="E321">
            <v>5</v>
          </cell>
          <cell r="F321">
            <v>0</v>
          </cell>
          <cell r="G321">
            <v>0</v>
          </cell>
          <cell r="H321">
            <v>14</v>
          </cell>
        </row>
        <row r="322">
          <cell r="A322" t="str">
            <v>HKG</v>
          </cell>
          <cell r="B322" t="str">
            <v>KYG</v>
          </cell>
          <cell r="C322" t="str">
            <v>M.VSL</v>
          </cell>
          <cell r="D322">
            <v>0</v>
          </cell>
          <cell r="E322">
            <v>2</v>
          </cell>
          <cell r="F322">
            <v>5</v>
          </cell>
          <cell r="G322">
            <v>0</v>
          </cell>
          <cell r="H322">
            <v>9</v>
          </cell>
        </row>
        <row r="323">
          <cell r="A323" t="str">
            <v>HKG</v>
          </cell>
          <cell r="B323" t="str">
            <v>LBH</v>
          </cell>
          <cell r="C323" t="str">
            <v>M.VSL</v>
          </cell>
          <cell r="D323">
            <v>131</v>
          </cell>
          <cell r="E323">
            <v>1386</v>
          </cell>
          <cell r="F323">
            <v>0</v>
          </cell>
          <cell r="G323">
            <v>0</v>
          </cell>
          <cell r="H323">
            <v>2903</v>
          </cell>
        </row>
        <row r="324">
          <cell r="A324" t="str">
            <v>HKG</v>
          </cell>
          <cell r="B324" t="str">
            <v>LCB</v>
          </cell>
          <cell r="C324" t="str">
            <v>M.VSL</v>
          </cell>
          <cell r="D324">
            <v>8</v>
          </cell>
          <cell r="E324">
            <v>39</v>
          </cell>
          <cell r="F324">
            <v>27</v>
          </cell>
          <cell r="G324">
            <v>0</v>
          </cell>
          <cell r="H324">
            <v>113</v>
          </cell>
        </row>
        <row r="325">
          <cell r="A325" t="str">
            <v>HKG</v>
          </cell>
          <cell r="B325" t="str">
            <v>LCB</v>
          </cell>
          <cell r="C325" t="str">
            <v>C.FDR</v>
          </cell>
          <cell r="D325">
            <v>0</v>
          </cell>
          <cell r="E325">
            <v>7</v>
          </cell>
          <cell r="F325">
            <v>0</v>
          </cell>
          <cell r="G325">
            <v>0</v>
          </cell>
          <cell r="H325">
            <v>14</v>
          </cell>
        </row>
        <row r="326">
          <cell r="A326" t="str">
            <v>HKG</v>
          </cell>
          <cell r="B326" t="str">
            <v>LEH</v>
          </cell>
          <cell r="C326" t="str">
            <v>M.VSL</v>
          </cell>
          <cell r="D326">
            <v>57</v>
          </cell>
          <cell r="E326">
            <v>70</v>
          </cell>
          <cell r="F326">
            <v>0</v>
          </cell>
          <cell r="G326">
            <v>0</v>
          </cell>
          <cell r="H326">
            <v>197</v>
          </cell>
        </row>
        <row r="327">
          <cell r="A327" t="str">
            <v>HKG</v>
          </cell>
          <cell r="B327" t="str">
            <v>MAI</v>
          </cell>
          <cell r="C327" t="str">
            <v>M.VSL</v>
          </cell>
          <cell r="D327">
            <v>9</v>
          </cell>
          <cell r="E327">
            <v>11</v>
          </cell>
          <cell r="F327">
            <v>0</v>
          </cell>
          <cell r="G327">
            <v>0</v>
          </cell>
          <cell r="H327">
            <v>31</v>
          </cell>
        </row>
        <row r="328">
          <cell r="A328" t="str">
            <v>HKG</v>
          </cell>
          <cell r="B328" t="str">
            <v>MAN</v>
          </cell>
          <cell r="C328" t="str">
            <v>C.FDR</v>
          </cell>
          <cell r="D328">
            <v>7</v>
          </cell>
          <cell r="E328">
            <v>12</v>
          </cell>
          <cell r="F328">
            <v>0</v>
          </cell>
          <cell r="G328">
            <v>0</v>
          </cell>
          <cell r="H328">
            <v>31</v>
          </cell>
        </row>
        <row r="329">
          <cell r="A329" t="str">
            <v>HKG</v>
          </cell>
          <cell r="B329" t="str">
            <v>MEL</v>
          </cell>
          <cell r="C329" t="str">
            <v>M.VSL</v>
          </cell>
          <cell r="D329">
            <v>21</v>
          </cell>
          <cell r="E329">
            <v>19</v>
          </cell>
          <cell r="F329">
            <v>0</v>
          </cell>
          <cell r="G329">
            <v>0</v>
          </cell>
          <cell r="H329">
            <v>59</v>
          </cell>
        </row>
        <row r="330">
          <cell r="A330" t="str">
            <v>HKG</v>
          </cell>
          <cell r="B330" t="str">
            <v>NGB</v>
          </cell>
          <cell r="C330" t="str">
            <v>M.VSL</v>
          </cell>
          <cell r="D330">
            <v>1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</row>
        <row r="331">
          <cell r="A331" t="str">
            <v>HKG</v>
          </cell>
          <cell r="B331" t="str">
            <v>NGO</v>
          </cell>
          <cell r="C331" t="str">
            <v>M.VSL</v>
          </cell>
          <cell r="D331">
            <v>9</v>
          </cell>
          <cell r="E331">
            <v>5</v>
          </cell>
          <cell r="F331">
            <v>0</v>
          </cell>
          <cell r="G331">
            <v>0</v>
          </cell>
          <cell r="H331">
            <v>19</v>
          </cell>
        </row>
        <row r="332">
          <cell r="A332" t="str">
            <v>HKG</v>
          </cell>
          <cell r="B332" t="str">
            <v>NRF</v>
          </cell>
          <cell r="C332" t="str">
            <v>M.VSL</v>
          </cell>
          <cell r="D332">
            <v>11</v>
          </cell>
          <cell r="E332">
            <v>37</v>
          </cell>
          <cell r="F332">
            <v>0</v>
          </cell>
          <cell r="G332">
            <v>0</v>
          </cell>
          <cell r="H332">
            <v>85</v>
          </cell>
        </row>
        <row r="333">
          <cell r="A333" t="str">
            <v>HKG</v>
          </cell>
          <cell r="B333" t="str">
            <v>NYC</v>
          </cell>
          <cell r="C333" t="str">
            <v>M.VSL</v>
          </cell>
          <cell r="D333">
            <v>27</v>
          </cell>
          <cell r="E333">
            <v>210</v>
          </cell>
          <cell r="F333">
            <v>0</v>
          </cell>
          <cell r="G333">
            <v>0</v>
          </cell>
          <cell r="H333">
            <v>447</v>
          </cell>
        </row>
        <row r="334">
          <cell r="A334" t="str">
            <v>HKG</v>
          </cell>
          <cell r="B334" t="str">
            <v>OAK</v>
          </cell>
          <cell r="C334" t="str">
            <v>M.VSL</v>
          </cell>
          <cell r="D334">
            <v>24</v>
          </cell>
          <cell r="E334">
            <v>82</v>
          </cell>
          <cell r="F334">
            <v>0</v>
          </cell>
          <cell r="G334">
            <v>0</v>
          </cell>
          <cell r="H334">
            <v>188</v>
          </cell>
        </row>
        <row r="335">
          <cell r="A335" t="str">
            <v>HKG</v>
          </cell>
          <cell r="B335" t="str">
            <v>OSK</v>
          </cell>
          <cell r="C335" t="str">
            <v>M.VSL</v>
          </cell>
          <cell r="D335">
            <v>11</v>
          </cell>
          <cell r="E335">
            <v>45</v>
          </cell>
          <cell r="F335">
            <v>0</v>
          </cell>
          <cell r="G335">
            <v>0</v>
          </cell>
          <cell r="H335">
            <v>101</v>
          </cell>
        </row>
        <row r="336">
          <cell r="A336" t="str">
            <v>HKG</v>
          </cell>
          <cell r="B336" t="str">
            <v>PKE</v>
          </cell>
          <cell r="C336" t="str">
            <v>M.VSL</v>
          </cell>
          <cell r="D336">
            <v>59</v>
          </cell>
          <cell r="E336">
            <v>53</v>
          </cell>
          <cell r="F336">
            <v>0</v>
          </cell>
          <cell r="G336">
            <v>21</v>
          </cell>
          <cell r="H336">
            <v>207</v>
          </cell>
        </row>
        <row r="337">
          <cell r="A337" t="str">
            <v>HKG</v>
          </cell>
          <cell r="B337" t="str">
            <v>PSA</v>
          </cell>
          <cell r="C337" t="str">
            <v>M.VSL</v>
          </cell>
          <cell r="D337">
            <v>51</v>
          </cell>
          <cell r="E337">
            <v>25</v>
          </cell>
          <cell r="F337">
            <v>0</v>
          </cell>
          <cell r="G337">
            <v>0</v>
          </cell>
          <cell r="H337">
            <v>101</v>
          </cell>
        </row>
        <row r="338">
          <cell r="A338" t="str">
            <v>HKG</v>
          </cell>
          <cell r="B338" t="str">
            <v>PTL</v>
          </cell>
          <cell r="C338" t="str">
            <v>M.VSL</v>
          </cell>
          <cell r="D338">
            <v>43</v>
          </cell>
          <cell r="E338">
            <v>45</v>
          </cell>
          <cell r="F338">
            <v>0</v>
          </cell>
          <cell r="G338">
            <v>0</v>
          </cell>
          <cell r="H338">
            <v>133</v>
          </cell>
        </row>
        <row r="339">
          <cell r="A339" t="str">
            <v>HKG</v>
          </cell>
          <cell r="B339" t="str">
            <v>RHX</v>
          </cell>
          <cell r="C339" t="str">
            <v>M.VSL</v>
          </cell>
          <cell r="D339">
            <v>19</v>
          </cell>
          <cell r="E339">
            <v>4</v>
          </cell>
          <cell r="F339">
            <v>0</v>
          </cell>
          <cell r="G339">
            <v>0</v>
          </cell>
          <cell r="H339">
            <v>27</v>
          </cell>
        </row>
        <row r="340">
          <cell r="A340" t="str">
            <v>HKG</v>
          </cell>
          <cell r="B340" t="str">
            <v>RTM</v>
          </cell>
          <cell r="C340" t="str">
            <v>M.VSL</v>
          </cell>
          <cell r="D340">
            <v>146</v>
          </cell>
          <cell r="E340">
            <v>285</v>
          </cell>
          <cell r="F340">
            <v>0</v>
          </cell>
          <cell r="G340">
            <v>0</v>
          </cell>
          <cell r="H340">
            <v>716</v>
          </cell>
        </row>
        <row r="341">
          <cell r="A341" t="str">
            <v>HKG</v>
          </cell>
          <cell r="B341" t="str">
            <v>SHA</v>
          </cell>
          <cell r="C341" t="str">
            <v>M.VSL</v>
          </cell>
          <cell r="D341">
            <v>20</v>
          </cell>
          <cell r="E341">
            <v>22</v>
          </cell>
          <cell r="F341">
            <v>0</v>
          </cell>
          <cell r="G341">
            <v>0</v>
          </cell>
          <cell r="H341">
            <v>64</v>
          </cell>
        </row>
        <row r="342">
          <cell r="A342" t="str">
            <v>HKG</v>
          </cell>
          <cell r="B342" t="str">
            <v>SIN</v>
          </cell>
          <cell r="C342" t="str">
            <v>M.VSL</v>
          </cell>
          <cell r="D342">
            <v>222</v>
          </cell>
          <cell r="E342">
            <v>241</v>
          </cell>
          <cell r="F342">
            <v>19</v>
          </cell>
          <cell r="G342">
            <v>0</v>
          </cell>
          <cell r="H342">
            <v>723</v>
          </cell>
        </row>
        <row r="343">
          <cell r="A343" t="str">
            <v>HKG</v>
          </cell>
          <cell r="B343" t="str">
            <v>SOO</v>
          </cell>
          <cell r="C343" t="str">
            <v>M.VSL</v>
          </cell>
          <cell r="D343">
            <v>150</v>
          </cell>
          <cell r="E343">
            <v>188</v>
          </cell>
          <cell r="F343">
            <v>0</v>
          </cell>
          <cell r="G343">
            <v>0</v>
          </cell>
          <cell r="H343">
            <v>526</v>
          </cell>
        </row>
        <row r="344">
          <cell r="A344" t="str">
            <v>HKG</v>
          </cell>
          <cell r="B344" t="str">
            <v>SPO</v>
          </cell>
          <cell r="C344" t="str">
            <v>M.VSL</v>
          </cell>
          <cell r="D344">
            <v>117</v>
          </cell>
          <cell r="E344">
            <v>644</v>
          </cell>
          <cell r="F344">
            <v>0</v>
          </cell>
          <cell r="G344">
            <v>0</v>
          </cell>
          <cell r="H344">
            <v>1405</v>
          </cell>
        </row>
        <row r="345">
          <cell r="A345" t="str">
            <v>HKG</v>
          </cell>
          <cell r="B345" t="str">
            <v>STL</v>
          </cell>
          <cell r="C345" t="str">
            <v>M.VSL</v>
          </cell>
          <cell r="D345">
            <v>25</v>
          </cell>
          <cell r="E345">
            <v>235</v>
          </cell>
          <cell r="F345">
            <v>0</v>
          </cell>
          <cell r="G345">
            <v>0</v>
          </cell>
          <cell r="H345">
            <v>495</v>
          </cell>
        </row>
        <row r="346">
          <cell r="A346" t="str">
            <v>HKG</v>
          </cell>
          <cell r="B346" t="str">
            <v>SUR</v>
          </cell>
          <cell r="C346" t="str">
            <v>M.VSL</v>
          </cell>
          <cell r="D346">
            <v>17</v>
          </cell>
          <cell r="E346">
            <v>19</v>
          </cell>
          <cell r="F346">
            <v>0</v>
          </cell>
          <cell r="G346">
            <v>0</v>
          </cell>
          <cell r="H346">
            <v>55</v>
          </cell>
        </row>
        <row r="347">
          <cell r="A347" t="str">
            <v>HKG</v>
          </cell>
          <cell r="B347" t="str">
            <v>SVN</v>
          </cell>
          <cell r="C347" t="str">
            <v>M.VSL</v>
          </cell>
          <cell r="D347">
            <v>15</v>
          </cell>
          <cell r="E347">
            <v>11</v>
          </cell>
          <cell r="F347">
            <v>0</v>
          </cell>
          <cell r="G347">
            <v>0</v>
          </cell>
          <cell r="H347">
            <v>37</v>
          </cell>
        </row>
        <row r="348">
          <cell r="A348" t="str">
            <v>HKG</v>
          </cell>
          <cell r="B348" t="str">
            <v>SYD</v>
          </cell>
          <cell r="C348" t="str">
            <v>M.VSL</v>
          </cell>
          <cell r="D348">
            <v>21</v>
          </cell>
          <cell r="E348">
            <v>18</v>
          </cell>
          <cell r="F348">
            <v>0</v>
          </cell>
          <cell r="G348">
            <v>0</v>
          </cell>
          <cell r="H348">
            <v>57</v>
          </cell>
        </row>
        <row r="349">
          <cell r="A349" t="str">
            <v>HKG</v>
          </cell>
          <cell r="B349" t="str">
            <v>TCM</v>
          </cell>
          <cell r="C349" t="str">
            <v>M.VSL</v>
          </cell>
          <cell r="D349">
            <v>70</v>
          </cell>
          <cell r="E349">
            <v>748</v>
          </cell>
          <cell r="F349">
            <v>0</v>
          </cell>
          <cell r="G349">
            <v>50</v>
          </cell>
          <cell r="H349">
            <v>1666</v>
          </cell>
        </row>
        <row r="350">
          <cell r="A350" t="str">
            <v>HKG</v>
          </cell>
          <cell r="B350" t="str">
            <v>TKY</v>
          </cell>
          <cell r="C350" t="str">
            <v>M.VSL</v>
          </cell>
          <cell r="D350">
            <v>145</v>
          </cell>
          <cell r="E350">
            <v>233</v>
          </cell>
          <cell r="F350">
            <v>0</v>
          </cell>
          <cell r="G350">
            <v>0</v>
          </cell>
          <cell r="H350">
            <v>611</v>
          </cell>
        </row>
        <row r="351">
          <cell r="A351" t="str">
            <v>HKG</v>
          </cell>
          <cell r="B351" t="str">
            <v>VCR</v>
          </cell>
          <cell r="C351" t="str">
            <v>M.VSL</v>
          </cell>
          <cell r="D351">
            <v>66</v>
          </cell>
          <cell r="E351">
            <v>363</v>
          </cell>
          <cell r="F351">
            <v>0</v>
          </cell>
          <cell r="G351">
            <v>0</v>
          </cell>
          <cell r="H351">
            <v>792</v>
          </cell>
        </row>
        <row r="352">
          <cell r="A352" t="str">
            <v>HKG</v>
          </cell>
          <cell r="B352" t="str">
            <v>YOK</v>
          </cell>
          <cell r="C352" t="str">
            <v>M.VSL</v>
          </cell>
          <cell r="D352">
            <v>19</v>
          </cell>
          <cell r="E352">
            <v>20</v>
          </cell>
          <cell r="F352">
            <v>0</v>
          </cell>
          <cell r="G352">
            <v>0</v>
          </cell>
          <cell r="H352">
            <v>59</v>
          </cell>
        </row>
        <row r="353">
          <cell r="A353" t="str">
            <v>HKG</v>
          </cell>
          <cell r="B353" t="str">
            <v>YTN</v>
          </cell>
          <cell r="C353" t="str">
            <v>M.VSL</v>
          </cell>
          <cell r="D353">
            <v>53</v>
          </cell>
          <cell r="E353">
            <v>83</v>
          </cell>
          <cell r="F353">
            <v>0</v>
          </cell>
          <cell r="G353">
            <v>30</v>
          </cell>
          <cell r="H353">
            <v>279</v>
          </cell>
        </row>
        <row r="354">
          <cell r="A354" t="str">
            <v>HMN</v>
          </cell>
          <cell r="B354" t="str">
            <v>BKK</v>
          </cell>
          <cell r="C354" t="str">
            <v>M.VSL</v>
          </cell>
          <cell r="D354">
            <v>17</v>
          </cell>
          <cell r="E354">
            <v>0</v>
          </cell>
          <cell r="F354">
            <v>145</v>
          </cell>
          <cell r="G354">
            <v>0</v>
          </cell>
          <cell r="H354">
            <v>162</v>
          </cell>
        </row>
        <row r="355">
          <cell r="A355" t="str">
            <v>HMN</v>
          </cell>
          <cell r="B355" t="str">
            <v>BSN</v>
          </cell>
          <cell r="C355" t="str">
            <v>M.VSL</v>
          </cell>
          <cell r="D355">
            <v>4</v>
          </cell>
          <cell r="E355">
            <v>2</v>
          </cell>
          <cell r="F355">
            <v>0</v>
          </cell>
          <cell r="G355">
            <v>0</v>
          </cell>
          <cell r="H355">
            <v>8</v>
          </cell>
        </row>
        <row r="356">
          <cell r="A356" t="str">
            <v>HMN</v>
          </cell>
          <cell r="B356" t="str">
            <v>HAT</v>
          </cell>
          <cell r="C356" t="str">
            <v>M.VSL</v>
          </cell>
          <cell r="D356">
            <v>8</v>
          </cell>
          <cell r="E356">
            <v>12</v>
          </cell>
          <cell r="F356">
            <v>0</v>
          </cell>
          <cell r="G356">
            <v>0</v>
          </cell>
          <cell r="H356">
            <v>32</v>
          </cell>
        </row>
        <row r="357">
          <cell r="A357" t="str">
            <v>HMN</v>
          </cell>
          <cell r="B357" t="str">
            <v>HKG</v>
          </cell>
          <cell r="C357" t="str">
            <v>M.VSL</v>
          </cell>
          <cell r="D357">
            <v>3</v>
          </cell>
          <cell r="E357">
            <v>1</v>
          </cell>
          <cell r="F357">
            <v>0</v>
          </cell>
          <cell r="G357">
            <v>0</v>
          </cell>
          <cell r="H357">
            <v>5</v>
          </cell>
        </row>
        <row r="358">
          <cell r="A358" t="str">
            <v>HMN</v>
          </cell>
          <cell r="B358" t="str">
            <v>HPO</v>
          </cell>
          <cell r="C358" t="str">
            <v>C.FDR</v>
          </cell>
          <cell r="D358">
            <v>0</v>
          </cell>
          <cell r="E358">
            <v>0</v>
          </cell>
          <cell r="F358">
            <v>20</v>
          </cell>
          <cell r="G358">
            <v>0</v>
          </cell>
          <cell r="H358">
            <v>20</v>
          </cell>
        </row>
        <row r="359">
          <cell r="A359" t="str">
            <v>HMN</v>
          </cell>
          <cell r="B359" t="str">
            <v>KAO</v>
          </cell>
          <cell r="C359" t="str">
            <v>C.FDR</v>
          </cell>
          <cell r="D359">
            <v>4</v>
          </cell>
          <cell r="E359">
            <v>9</v>
          </cell>
          <cell r="F359">
            <v>0</v>
          </cell>
          <cell r="G359">
            <v>0</v>
          </cell>
          <cell r="H359">
            <v>22</v>
          </cell>
        </row>
        <row r="360">
          <cell r="A360" t="str">
            <v>HMN</v>
          </cell>
          <cell r="B360" t="str">
            <v>KOB</v>
          </cell>
          <cell r="C360" t="str">
            <v>M.VSL</v>
          </cell>
          <cell r="D360">
            <v>8</v>
          </cell>
          <cell r="E360">
            <v>4</v>
          </cell>
          <cell r="F360">
            <v>0</v>
          </cell>
          <cell r="G360">
            <v>0</v>
          </cell>
          <cell r="H360">
            <v>16</v>
          </cell>
        </row>
        <row r="361">
          <cell r="A361" t="str">
            <v>HMN</v>
          </cell>
          <cell r="B361" t="str">
            <v>LCB</v>
          </cell>
          <cell r="C361" t="str">
            <v>M.VSL</v>
          </cell>
          <cell r="D361">
            <v>3</v>
          </cell>
          <cell r="E361">
            <v>0</v>
          </cell>
          <cell r="F361">
            <v>0</v>
          </cell>
          <cell r="G361">
            <v>0</v>
          </cell>
          <cell r="H361">
            <v>3</v>
          </cell>
        </row>
        <row r="362">
          <cell r="A362" t="str">
            <v>HMN</v>
          </cell>
          <cell r="B362" t="str">
            <v>NGO</v>
          </cell>
          <cell r="C362" t="str">
            <v>M.VSL</v>
          </cell>
          <cell r="D362">
            <v>30</v>
          </cell>
          <cell r="E362">
            <v>18</v>
          </cell>
          <cell r="F362">
            <v>0</v>
          </cell>
          <cell r="G362">
            <v>0</v>
          </cell>
          <cell r="H362">
            <v>66</v>
          </cell>
        </row>
        <row r="363">
          <cell r="A363" t="str">
            <v>HMN</v>
          </cell>
          <cell r="B363" t="str">
            <v>OSK</v>
          </cell>
          <cell r="C363" t="str">
            <v>M.VSL</v>
          </cell>
          <cell r="D363">
            <v>7</v>
          </cell>
          <cell r="E363">
            <v>7</v>
          </cell>
          <cell r="F363">
            <v>0</v>
          </cell>
          <cell r="G363">
            <v>0</v>
          </cell>
          <cell r="H363">
            <v>21</v>
          </cell>
        </row>
        <row r="364">
          <cell r="A364" t="str">
            <v>HMN</v>
          </cell>
          <cell r="B364" t="str">
            <v>SIN</v>
          </cell>
          <cell r="C364" t="str">
            <v>C.FDR</v>
          </cell>
          <cell r="D364">
            <v>127</v>
          </cell>
          <cell r="E364">
            <v>105</v>
          </cell>
          <cell r="F364">
            <v>4</v>
          </cell>
          <cell r="G364">
            <v>6</v>
          </cell>
          <cell r="H364">
            <v>353</v>
          </cell>
        </row>
        <row r="365">
          <cell r="A365" t="str">
            <v>HMN</v>
          </cell>
          <cell r="B365" t="str">
            <v>TKY</v>
          </cell>
          <cell r="C365" t="str">
            <v>M.VSL</v>
          </cell>
          <cell r="D365">
            <v>57</v>
          </cell>
          <cell r="E365">
            <v>56</v>
          </cell>
          <cell r="F365">
            <v>0</v>
          </cell>
          <cell r="G365">
            <v>0</v>
          </cell>
          <cell r="H365">
            <v>169</v>
          </cell>
        </row>
        <row r="366">
          <cell r="A366" t="str">
            <v>HMN</v>
          </cell>
          <cell r="B366" t="str">
            <v>YOK</v>
          </cell>
          <cell r="C366" t="str">
            <v>M.VSL</v>
          </cell>
          <cell r="D366">
            <v>26</v>
          </cell>
          <cell r="E366">
            <v>16</v>
          </cell>
          <cell r="F366">
            <v>0</v>
          </cell>
          <cell r="G366">
            <v>0</v>
          </cell>
          <cell r="H366">
            <v>58</v>
          </cell>
        </row>
        <row r="367">
          <cell r="A367" t="str">
            <v>HOS</v>
          </cell>
          <cell r="B367" t="str">
            <v>BSN</v>
          </cell>
          <cell r="C367" t="str">
            <v>C.FDR</v>
          </cell>
          <cell r="D367">
            <v>0</v>
          </cell>
          <cell r="E367">
            <v>0</v>
          </cell>
          <cell r="F367">
            <v>7</v>
          </cell>
          <cell r="G367">
            <v>16</v>
          </cell>
          <cell r="H367">
            <v>39</v>
          </cell>
        </row>
        <row r="368">
          <cell r="A368" t="str">
            <v>HOU</v>
          </cell>
          <cell r="B368" t="str">
            <v>BRV</v>
          </cell>
          <cell r="C368" t="str">
            <v>M.VSL</v>
          </cell>
          <cell r="D368">
            <v>13</v>
          </cell>
          <cell r="E368">
            <v>22</v>
          </cell>
          <cell r="F368">
            <v>0</v>
          </cell>
          <cell r="G368">
            <v>0</v>
          </cell>
          <cell r="H368">
            <v>57</v>
          </cell>
        </row>
        <row r="369">
          <cell r="A369" t="str">
            <v>HOU</v>
          </cell>
          <cell r="B369" t="str">
            <v>FEL</v>
          </cell>
          <cell r="C369" t="str">
            <v>M.VSL</v>
          </cell>
          <cell r="D369">
            <v>6</v>
          </cell>
          <cell r="E369">
            <v>34</v>
          </cell>
          <cell r="F369">
            <v>0</v>
          </cell>
          <cell r="G369">
            <v>0</v>
          </cell>
          <cell r="H369">
            <v>74</v>
          </cell>
        </row>
        <row r="370">
          <cell r="A370" t="str">
            <v>HOU</v>
          </cell>
          <cell r="B370" t="str">
            <v>RTM</v>
          </cell>
          <cell r="C370" t="str">
            <v>M.VSL</v>
          </cell>
          <cell r="D370">
            <v>17</v>
          </cell>
          <cell r="E370">
            <v>31</v>
          </cell>
          <cell r="F370">
            <v>0</v>
          </cell>
          <cell r="G370">
            <v>0</v>
          </cell>
          <cell r="H370">
            <v>79</v>
          </cell>
        </row>
        <row r="371">
          <cell r="A371" t="str">
            <v>HPO</v>
          </cell>
          <cell r="B371" t="str">
            <v>HKG</v>
          </cell>
          <cell r="C371" t="str">
            <v>C.FDR</v>
          </cell>
          <cell r="D371">
            <v>0</v>
          </cell>
          <cell r="E371">
            <v>2</v>
          </cell>
          <cell r="F371">
            <v>0</v>
          </cell>
          <cell r="G371">
            <v>0</v>
          </cell>
          <cell r="H371">
            <v>4</v>
          </cell>
        </row>
        <row r="372">
          <cell r="A372" t="str">
            <v>HPO</v>
          </cell>
          <cell r="B372" t="str">
            <v>SIN</v>
          </cell>
          <cell r="C372" t="str">
            <v>C.FDR</v>
          </cell>
          <cell r="D372">
            <v>26</v>
          </cell>
          <cell r="E372">
            <v>41</v>
          </cell>
          <cell r="F372">
            <v>1</v>
          </cell>
          <cell r="G372">
            <v>0</v>
          </cell>
          <cell r="H372">
            <v>109</v>
          </cell>
        </row>
        <row r="373">
          <cell r="A373" t="str">
            <v>HZB</v>
          </cell>
          <cell r="B373" t="str">
            <v>SIN</v>
          </cell>
          <cell r="C373" t="str">
            <v>C.FDR</v>
          </cell>
          <cell r="D373">
            <v>23</v>
          </cell>
          <cell r="E373">
            <v>2</v>
          </cell>
          <cell r="F373">
            <v>0</v>
          </cell>
          <cell r="G373">
            <v>0</v>
          </cell>
          <cell r="H373">
            <v>27</v>
          </cell>
        </row>
        <row r="374">
          <cell r="A374" t="str">
            <v>IMA</v>
          </cell>
          <cell r="B374" t="str">
            <v>BSN</v>
          </cell>
          <cell r="C374" t="str">
            <v>C.FDR</v>
          </cell>
          <cell r="D374">
            <v>0</v>
          </cell>
          <cell r="E374">
            <v>0</v>
          </cell>
          <cell r="F374">
            <v>12</v>
          </cell>
          <cell r="G374">
            <v>0</v>
          </cell>
          <cell r="H374">
            <v>12</v>
          </cell>
        </row>
        <row r="375">
          <cell r="A375" t="str">
            <v>INC</v>
          </cell>
          <cell r="B375" t="str">
            <v>DMM</v>
          </cell>
          <cell r="C375" t="str">
            <v>M.VSL</v>
          </cell>
          <cell r="D375">
            <v>15</v>
          </cell>
          <cell r="E375">
            <v>0</v>
          </cell>
          <cell r="F375">
            <v>0</v>
          </cell>
          <cell r="G375">
            <v>0</v>
          </cell>
          <cell r="H375">
            <v>15</v>
          </cell>
        </row>
        <row r="376">
          <cell r="A376" t="str">
            <v>INC</v>
          </cell>
          <cell r="B376" t="str">
            <v>DXB</v>
          </cell>
          <cell r="C376" t="str">
            <v>M.VSL</v>
          </cell>
          <cell r="D376">
            <v>273</v>
          </cell>
          <cell r="E376">
            <v>13</v>
          </cell>
          <cell r="F376">
            <v>0</v>
          </cell>
          <cell r="G376">
            <v>0</v>
          </cell>
          <cell r="H376">
            <v>299</v>
          </cell>
        </row>
        <row r="377">
          <cell r="A377" t="str">
            <v>INC</v>
          </cell>
          <cell r="B377" t="str">
            <v>HKG</v>
          </cell>
          <cell r="C377" t="str">
            <v>M.VSL</v>
          </cell>
          <cell r="D377">
            <v>141</v>
          </cell>
          <cell r="E377">
            <v>19</v>
          </cell>
          <cell r="F377">
            <v>0</v>
          </cell>
          <cell r="G377">
            <v>0</v>
          </cell>
          <cell r="H377">
            <v>179</v>
          </cell>
        </row>
        <row r="378">
          <cell r="A378" t="str">
            <v>INC</v>
          </cell>
          <cell r="B378" t="str">
            <v>KAH</v>
          </cell>
          <cell r="C378" t="str">
            <v>M.VSL</v>
          </cell>
          <cell r="D378">
            <v>19</v>
          </cell>
          <cell r="E378">
            <v>52</v>
          </cell>
          <cell r="F378">
            <v>0</v>
          </cell>
          <cell r="G378">
            <v>0</v>
          </cell>
          <cell r="H378">
            <v>123</v>
          </cell>
        </row>
        <row r="379">
          <cell r="A379" t="str">
            <v>INC</v>
          </cell>
          <cell r="B379" t="str">
            <v>KEE</v>
          </cell>
          <cell r="C379" t="str">
            <v>M.VSL</v>
          </cell>
          <cell r="D379">
            <v>3</v>
          </cell>
          <cell r="E379">
            <v>0</v>
          </cell>
          <cell r="F379">
            <v>0</v>
          </cell>
          <cell r="G379">
            <v>171</v>
          </cell>
          <cell r="H379">
            <v>345</v>
          </cell>
        </row>
        <row r="380">
          <cell r="A380" t="str">
            <v>INC</v>
          </cell>
          <cell r="B380" t="str">
            <v>PKE</v>
          </cell>
          <cell r="C380" t="str">
            <v>M.VSL</v>
          </cell>
          <cell r="D380">
            <v>63</v>
          </cell>
          <cell r="E380">
            <v>21</v>
          </cell>
          <cell r="F380">
            <v>0</v>
          </cell>
          <cell r="G380">
            <v>1</v>
          </cell>
          <cell r="H380">
            <v>107</v>
          </cell>
        </row>
        <row r="381">
          <cell r="A381" t="str">
            <v>INC</v>
          </cell>
          <cell r="B381" t="str">
            <v>RHX</v>
          </cell>
          <cell r="C381" t="str">
            <v>M.VSL</v>
          </cell>
          <cell r="D381">
            <v>4</v>
          </cell>
          <cell r="E381">
            <v>7</v>
          </cell>
          <cell r="F381">
            <v>0</v>
          </cell>
          <cell r="G381">
            <v>0</v>
          </cell>
          <cell r="H381">
            <v>18</v>
          </cell>
        </row>
        <row r="382">
          <cell r="A382" t="str">
            <v>INC</v>
          </cell>
          <cell r="B382" t="str">
            <v>SIN</v>
          </cell>
          <cell r="C382" t="str">
            <v>M.VSL</v>
          </cell>
          <cell r="D382">
            <v>124</v>
          </cell>
          <cell r="E382">
            <v>159</v>
          </cell>
          <cell r="F382">
            <v>6</v>
          </cell>
          <cell r="G382">
            <v>0</v>
          </cell>
          <cell r="H382">
            <v>448</v>
          </cell>
        </row>
        <row r="383">
          <cell r="A383" t="str">
            <v>INC</v>
          </cell>
          <cell r="B383" t="str">
            <v>YTN</v>
          </cell>
          <cell r="C383" t="str">
            <v>M.VSL</v>
          </cell>
          <cell r="D383">
            <v>9</v>
          </cell>
          <cell r="E383">
            <v>54</v>
          </cell>
          <cell r="F383">
            <v>0</v>
          </cell>
          <cell r="G383">
            <v>149</v>
          </cell>
          <cell r="H383">
            <v>415</v>
          </cell>
        </row>
        <row r="384">
          <cell r="A384" t="str">
            <v>ISJ</v>
          </cell>
          <cell r="B384" t="str">
            <v>BSN</v>
          </cell>
          <cell r="C384" t="str">
            <v>C.FDR</v>
          </cell>
          <cell r="D384">
            <v>0</v>
          </cell>
          <cell r="E384">
            <v>1</v>
          </cell>
          <cell r="F384">
            <v>0</v>
          </cell>
          <cell r="G384">
            <v>0</v>
          </cell>
          <cell r="H384">
            <v>2</v>
          </cell>
        </row>
        <row r="385">
          <cell r="A385" t="str">
            <v>IST</v>
          </cell>
          <cell r="B385" t="str">
            <v>PSA</v>
          </cell>
          <cell r="C385" t="str">
            <v>C.FDR</v>
          </cell>
          <cell r="D385">
            <v>0</v>
          </cell>
          <cell r="E385">
            <v>2</v>
          </cell>
          <cell r="F385">
            <v>0</v>
          </cell>
          <cell r="G385">
            <v>0</v>
          </cell>
          <cell r="H385">
            <v>4</v>
          </cell>
        </row>
        <row r="386">
          <cell r="A386" t="str">
            <v>JAB</v>
          </cell>
          <cell r="B386" t="str">
            <v>SIN</v>
          </cell>
          <cell r="C386" t="str">
            <v>C.FDR</v>
          </cell>
          <cell r="D386">
            <v>0</v>
          </cell>
          <cell r="E386">
            <v>1</v>
          </cell>
          <cell r="F386">
            <v>0</v>
          </cell>
          <cell r="G386">
            <v>0</v>
          </cell>
          <cell r="H386">
            <v>2</v>
          </cell>
        </row>
        <row r="387">
          <cell r="A387" t="str">
            <v>JAK</v>
          </cell>
          <cell r="B387" t="str">
            <v>BMS</v>
          </cell>
          <cell r="C387" t="str">
            <v>C.FDR</v>
          </cell>
          <cell r="D387">
            <v>0</v>
          </cell>
          <cell r="E387">
            <v>0</v>
          </cell>
          <cell r="F387">
            <v>6</v>
          </cell>
          <cell r="G387">
            <v>0</v>
          </cell>
          <cell r="H387">
            <v>6</v>
          </cell>
        </row>
        <row r="388">
          <cell r="A388" t="str">
            <v>JAK</v>
          </cell>
          <cell r="B388" t="str">
            <v>BSN</v>
          </cell>
          <cell r="C388" t="str">
            <v>M.VSL</v>
          </cell>
          <cell r="D388">
            <v>267</v>
          </cell>
          <cell r="E388">
            <v>389</v>
          </cell>
          <cell r="F388">
            <v>0</v>
          </cell>
          <cell r="G388">
            <v>50</v>
          </cell>
          <cell r="H388">
            <v>1145</v>
          </cell>
        </row>
        <row r="389">
          <cell r="A389" t="str">
            <v>JAK</v>
          </cell>
          <cell r="B389" t="str">
            <v>HKG</v>
          </cell>
          <cell r="C389" t="str">
            <v>M.VSL</v>
          </cell>
          <cell r="D389">
            <v>589</v>
          </cell>
          <cell r="E389">
            <v>322</v>
          </cell>
          <cell r="F389">
            <v>0</v>
          </cell>
          <cell r="G389">
            <v>90</v>
          </cell>
          <cell r="H389">
            <v>1413</v>
          </cell>
        </row>
        <row r="390">
          <cell r="A390" t="str">
            <v>JAK</v>
          </cell>
          <cell r="B390" t="str">
            <v>KEE</v>
          </cell>
          <cell r="C390" t="str">
            <v>M.VSL</v>
          </cell>
          <cell r="D390">
            <v>65</v>
          </cell>
          <cell r="E390">
            <v>41</v>
          </cell>
          <cell r="F390">
            <v>0</v>
          </cell>
          <cell r="G390">
            <v>0</v>
          </cell>
          <cell r="H390">
            <v>147</v>
          </cell>
        </row>
        <row r="391">
          <cell r="A391" t="str">
            <v>JAK</v>
          </cell>
          <cell r="B391" t="str">
            <v>PAB</v>
          </cell>
          <cell r="C391" t="str">
            <v>C.FDR</v>
          </cell>
          <cell r="D391">
            <v>0</v>
          </cell>
          <cell r="E391">
            <v>0</v>
          </cell>
          <cell r="F391">
            <v>0</v>
          </cell>
          <cell r="G391">
            <v>4</v>
          </cell>
          <cell r="H391">
            <v>8</v>
          </cell>
        </row>
        <row r="392">
          <cell r="A392" t="str">
            <v>JAK</v>
          </cell>
          <cell r="B392" t="str">
            <v>PKE</v>
          </cell>
          <cell r="C392" t="str">
            <v>C.FDR</v>
          </cell>
          <cell r="D392">
            <v>0</v>
          </cell>
          <cell r="E392">
            <v>0</v>
          </cell>
          <cell r="F392">
            <v>0</v>
          </cell>
          <cell r="G392">
            <v>7</v>
          </cell>
          <cell r="H392">
            <v>14</v>
          </cell>
        </row>
        <row r="393">
          <cell r="A393" t="str">
            <v>JAK</v>
          </cell>
          <cell r="B393" t="str">
            <v>SIN</v>
          </cell>
          <cell r="C393" t="str">
            <v>C.FDR</v>
          </cell>
          <cell r="D393">
            <v>179</v>
          </cell>
          <cell r="E393">
            <v>584</v>
          </cell>
          <cell r="F393">
            <v>0</v>
          </cell>
          <cell r="G393">
            <v>50</v>
          </cell>
          <cell r="H393">
            <v>1447</v>
          </cell>
        </row>
        <row r="394">
          <cell r="A394" t="str">
            <v>JAK</v>
          </cell>
          <cell r="B394" t="str">
            <v>SMD</v>
          </cell>
          <cell r="C394" t="str">
            <v>C.FDR</v>
          </cell>
          <cell r="D394">
            <v>0</v>
          </cell>
          <cell r="E394">
            <v>0</v>
          </cell>
          <cell r="F394">
            <v>16</v>
          </cell>
          <cell r="G394">
            <v>25</v>
          </cell>
          <cell r="H394">
            <v>66</v>
          </cell>
        </row>
        <row r="395">
          <cell r="A395" t="str">
            <v>JAK</v>
          </cell>
          <cell r="B395" t="str">
            <v>ULS</v>
          </cell>
          <cell r="C395" t="str">
            <v>M.VSL</v>
          </cell>
          <cell r="D395">
            <v>20</v>
          </cell>
          <cell r="E395">
            <v>11</v>
          </cell>
          <cell r="F395">
            <v>0</v>
          </cell>
          <cell r="G395">
            <v>0</v>
          </cell>
          <cell r="H395">
            <v>42</v>
          </cell>
        </row>
        <row r="396">
          <cell r="A396" t="str">
            <v>JED</v>
          </cell>
          <cell r="B396" t="str">
            <v>BSN</v>
          </cell>
          <cell r="C396" t="str">
            <v>M.VSL</v>
          </cell>
          <cell r="D396">
            <v>0</v>
          </cell>
          <cell r="E396">
            <v>12</v>
          </cell>
          <cell r="F396">
            <v>0</v>
          </cell>
          <cell r="G396">
            <v>7</v>
          </cell>
          <cell r="H396">
            <v>38</v>
          </cell>
        </row>
        <row r="397">
          <cell r="A397" t="str">
            <v>JED</v>
          </cell>
          <cell r="B397" t="str">
            <v>HKG</v>
          </cell>
          <cell r="C397" t="str">
            <v>M.VSL</v>
          </cell>
          <cell r="D397">
            <v>1</v>
          </cell>
          <cell r="E397">
            <v>5</v>
          </cell>
          <cell r="F397">
            <v>0</v>
          </cell>
          <cell r="G397">
            <v>0</v>
          </cell>
          <cell r="H397">
            <v>11</v>
          </cell>
        </row>
        <row r="398">
          <cell r="A398" t="str">
            <v>JED</v>
          </cell>
          <cell r="B398" t="str">
            <v>KEE</v>
          </cell>
          <cell r="C398" t="str">
            <v>M.VSL</v>
          </cell>
          <cell r="D398">
            <v>0</v>
          </cell>
          <cell r="E398">
            <v>35</v>
          </cell>
          <cell r="F398">
            <v>58</v>
          </cell>
          <cell r="G398">
            <v>0</v>
          </cell>
          <cell r="H398">
            <v>128</v>
          </cell>
        </row>
        <row r="399">
          <cell r="A399" t="str">
            <v>JED</v>
          </cell>
          <cell r="B399" t="str">
            <v>SIN</v>
          </cell>
          <cell r="C399" t="str">
            <v>M.VSL</v>
          </cell>
          <cell r="D399">
            <v>5</v>
          </cell>
          <cell r="E399">
            <v>7</v>
          </cell>
          <cell r="F399">
            <v>0</v>
          </cell>
          <cell r="G399">
            <v>1</v>
          </cell>
          <cell r="H399">
            <v>21</v>
          </cell>
        </row>
        <row r="400">
          <cell r="A400" t="str">
            <v>JED</v>
          </cell>
          <cell r="B400" t="str">
            <v>YOK</v>
          </cell>
          <cell r="C400" t="str">
            <v>M.VSL</v>
          </cell>
          <cell r="D400">
            <v>1</v>
          </cell>
          <cell r="E400">
            <v>0</v>
          </cell>
          <cell r="F400">
            <v>0</v>
          </cell>
          <cell r="G400">
            <v>0</v>
          </cell>
          <cell r="H400">
            <v>1</v>
          </cell>
        </row>
        <row r="401">
          <cell r="A401" t="str">
            <v>JMY</v>
          </cell>
          <cell r="B401" t="str">
            <v>BSN</v>
          </cell>
          <cell r="C401" t="str">
            <v>C.FDR</v>
          </cell>
          <cell r="D401">
            <v>0</v>
          </cell>
          <cell r="E401">
            <v>0</v>
          </cell>
          <cell r="F401">
            <v>3</v>
          </cell>
          <cell r="G401">
            <v>5</v>
          </cell>
          <cell r="H401">
            <v>13</v>
          </cell>
        </row>
        <row r="402">
          <cell r="A402" t="str">
            <v>KAF</v>
          </cell>
          <cell r="B402" t="str">
            <v>BSN</v>
          </cell>
          <cell r="C402" t="str">
            <v>C.FDR</v>
          </cell>
          <cell r="D402">
            <v>0</v>
          </cell>
          <cell r="E402">
            <v>0</v>
          </cell>
          <cell r="F402">
            <v>0</v>
          </cell>
          <cell r="G402">
            <v>1</v>
          </cell>
          <cell r="H402">
            <v>2</v>
          </cell>
        </row>
        <row r="403">
          <cell r="A403" t="str">
            <v>KAH</v>
          </cell>
          <cell r="B403" t="str">
            <v>BSN</v>
          </cell>
          <cell r="C403" t="str">
            <v>M.VSL</v>
          </cell>
          <cell r="D403">
            <v>46</v>
          </cell>
          <cell r="E403">
            <v>88</v>
          </cell>
          <cell r="F403">
            <v>0</v>
          </cell>
          <cell r="G403">
            <v>85</v>
          </cell>
          <cell r="H403">
            <v>392</v>
          </cell>
        </row>
        <row r="404">
          <cell r="A404" t="str">
            <v>KAH</v>
          </cell>
          <cell r="B404" t="str">
            <v>HKG</v>
          </cell>
          <cell r="C404" t="str">
            <v>M.VSL</v>
          </cell>
          <cell r="D404">
            <v>81</v>
          </cell>
          <cell r="E404">
            <v>93</v>
          </cell>
          <cell r="F404">
            <v>0</v>
          </cell>
          <cell r="G404">
            <v>13</v>
          </cell>
          <cell r="H404">
            <v>293</v>
          </cell>
        </row>
        <row r="405">
          <cell r="A405" t="str">
            <v>KAH</v>
          </cell>
          <cell r="B405" t="str">
            <v>INC</v>
          </cell>
          <cell r="C405" t="str">
            <v>M.VSL</v>
          </cell>
          <cell r="D405">
            <v>40</v>
          </cell>
          <cell r="E405">
            <v>5</v>
          </cell>
          <cell r="F405">
            <v>9</v>
          </cell>
          <cell r="G405">
            <v>0</v>
          </cell>
          <cell r="H405">
            <v>59</v>
          </cell>
        </row>
        <row r="406">
          <cell r="A406" t="str">
            <v>KAH</v>
          </cell>
          <cell r="B406" t="str">
            <v>KYG</v>
          </cell>
          <cell r="C406" t="str">
            <v>M.VSL</v>
          </cell>
          <cell r="D406">
            <v>0</v>
          </cell>
          <cell r="E406">
            <v>4</v>
          </cell>
          <cell r="F406">
            <v>16</v>
          </cell>
          <cell r="G406">
            <v>0</v>
          </cell>
          <cell r="H406">
            <v>24</v>
          </cell>
        </row>
        <row r="407">
          <cell r="A407" t="str">
            <v>KAH</v>
          </cell>
          <cell r="B407" t="str">
            <v>SIN</v>
          </cell>
          <cell r="C407" t="str">
            <v>M.VSL</v>
          </cell>
          <cell r="D407">
            <v>37</v>
          </cell>
          <cell r="E407">
            <v>162</v>
          </cell>
          <cell r="F407">
            <v>9</v>
          </cell>
          <cell r="G407">
            <v>36</v>
          </cell>
          <cell r="H407">
            <v>442</v>
          </cell>
        </row>
        <row r="408">
          <cell r="A408" t="str">
            <v>KAO</v>
          </cell>
          <cell r="B408" t="str">
            <v>BCN</v>
          </cell>
          <cell r="C408" t="str">
            <v>M.VSL</v>
          </cell>
          <cell r="D408">
            <v>34</v>
          </cell>
          <cell r="E408">
            <v>29</v>
          </cell>
          <cell r="F408">
            <v>0</v>
          </cell>
          <cell r="G408">
            <v>0</v>
          </cell>
          <cell r="H408">
            <v>92</v>
          </cell>
        </row>
        <row r="409">
          <cell r="A409" t="str">
            <v>KAO</v>
          </cell>
          <cell r="B409" t="str">
            <v>BSN</v>
          </cell>
          <cell r="C409" t="str">
            <v>M.VSL</v>
          </cell>
          <cell r="D409">
            <v>26</v>
          </cell>
          <cell r="E409">
            <v>16</v>
          </cell>
          <cell r="F409">
            <v>0</v>
          </cell>
          <cell r="G409">
            <v>0</v>
          </cell>
          <cell r="H409">
            <v>58</v>
          </cell>
        </row>
        <row r="410">
          <cell r="A410" t="str">
            <v>KAO</v>
          </cell>
          <cell r="B410" t="str">
            <v>CEB</v>
          </cell>
          <cell r="C410" t="str">
            <v>C.FDR</v>
          </cell>
          <cell r="D410">
            <v>1</v>
          </cell>
          <cell r="E410">
            <v>0</v>
          </cell>
          <cell r="F410">
            <v>0</v>
          </cell>
          <cell r="G410">
            <v>0</v>
          </cell>
          <cell r="H410">
            <v>1</v>
          </cell>
        </row>
        <row r="411">
          <cell r="A411" t="str">
            <v>KAO</v>
          </cell>
          <cell r="B411" t="str">
            <v>CST</v>
          </cell>
          <cell r="C411" t="str">
            <v>M.VSL</v>
          </cell>
          <cell r="D411">
            <v>1</v>
          </cell>
          <cell r="E411">
            <v>65</v>
          </cell>
          <cell r="F411">
            <v>0</v>
          </cell>
          <cell r="G411">
            <v>0</v>
          </cell>
          <cell r="H411">
            <v>131</v>
          </cell>
        </row>
        <row r="412">
          <cell r="A412" t="str">
            <v>KAO</v>
          </cell>
          <cell r="B412" t="str">
            <v>FOS</v>
          </cell>
          <cell r="C412" t="str">
            <v>M.VSL</v>
          </cell>
          <cell r="D412">
            <v>12</v>
          </cell>
          <cell r="E412">
            <v>6</v>
          </cell>
          <cell r="F412">
            <v>0</v>
          </cell>
          <cell r="G412">
            <v>0</v>
          </cell>
          <cell r="H412">
            <v>24</v>
          </cell>
        </row>
        <row r="413">
          <cell r="A413" t="str">
            <v>KAO</v>
          </cell>
          <cell r="B413" t="str">
            <v>FUZ</v>
          </cell>
          <cell r="C413" t="str">
            <v>C.FDR</v>
          </cell>
          <cell r="D413">
            <v>15</v>
          </cell>
          <cell r="E413">
            <v>20</v>
          </cell>
          <cell r="F413">
            <v>0</v>
          </cell>
          <cell r="G413">
            <v>80</v>
          </cell>
          <cell r="H413">
            <v>215</v>
          </cell>
        </row>
        <row r="414">
          <cell r="A414" t="str">
            <v>KAO</v>
          </cell>
          <cell r="B414" t="str">
            <v>GEN</v>
          </cell>
          <cell r="C414" t="str">
            <v>M.VSL</v>
          </cell>
          <cell r="D414">
            <v>51</v>
          </cell>
          <cell r="E414">
            <v>31</v>
          </cell>
          <cell r="F414">
            <v>0</v>
          </cell>
          <cell r="G414">
            <v>0</v>
          </cell>
          <cell r="H414">
            <v>113</v>
          </cell>
        </row>
        <row r="415">
          <cell r="A415" t="str">
            <v>KAO</v>
          </cell>
          <cell r="B415" t="str">
            <v>HAM</v>
          </cell>
          <cell r="C415" t="str">
            <v>M.VSL</v>
          </cell>
          <cell r="D415">
            <v>227</v>
          </cell>
          <cell r="E415">
            <v>151</v>
          </cell>
          <cell r="F415">
            <v>0</v>
          </cell>
          <cell r="G415">
            <v>0</v>
          </cell>
          <cell r="H415">
            <v>529</v>
          </cell>
        </row>
        <row r="416">
          <cell r="A416" t="str">
            <v>KAO</v>
          </cell>
          <cell r="B416" t="str">
            <v>HKG</v>
          </cell>
          <cell r="C416" t="str">
            <v>M.VSL</v>
          </cell>
          <cell r="D416">
            <v>3</v>
          </cell>
          <cell r="E416">
            <v>31</v>
          </cell>
          <cell r="F416">
            <v>0</v>
          </cell>
          <cell r="G416">
            <v>20</v>
          </cell>
          <cell r="H416">
            <v>105</v>
          </cell>
        </row>
        <row r="417">
          <cell r="A417" t="str">
            <v>KAO</v>
          </cell>
          <cell r="B417" t="str">
            <v>HPO</v>
          </cell>
          <cell r="C417" t="str">
            <v>C.FDR</v>
          </cell>
          <cell r="D417">
            <v>2</v>
          </cell>
          <cell r="E417">
            <v>9</v>
          </cell>
          <cell r="F417">
            <v>0</v>
          </cell>
          <cell r="G417">
            <v>0</v>
          </cell>
          <cell r="H417">
            <v>20</v>
          </cell>
        </row>
        <row r="418">
          <cell r="A418" t="str">
            <v>KAO</v>
          </cell>
          <cell r="B418" t="str">
            <v>KOB</v>
          </cell>
          <cell r="C418" t="str">
            <v>M.VSL</v>
          </cell>
          <cell r="D418">
            <v>0</v>
          </cell>
          <cell r="E418">
            <v>15</v>
          </cell>
          <cell r="F418">
            <v>0</v>
          </cell>
          <cell r="G418">
            <v>0</v>
          </cell>
          <cell r="H418">
            <v>30</v>
          </cell>
        </row>
        <row r="419">
          <cell r="A419" t="str">
            <v>KAO</v>
          </cell>
          <cell r="B419" t="str">
            <v>LBH</v>
          </cell>
          <cell r="C419" t="str">
            <v>M.VSL</v>
          </cell>
          <cell r="D419">
            <v>124</v>
          </cell>
          <cell r="E419">
            <v>562</v>
          </cell>
          <cell r="F419">
            <v>0</v>
          </cell>
          <cell r="G419">
            <v>11</v>
          </cell>
          <cell r="H419">
            <v>1270</v>
          </cell>
        </row>
        <row r="420">
          <cell r="A420" t="str">
            <v>KAO</v>
          </cell>
          <cell r="B420" t="str">
            <v>LEH</v>
          </cell>
          <cell r="C420" t="str">
            <v>M.VSL</v>
          </cell>
          <cell r="D420">
            <v>58</v>
          </cell>
          <cell r="E420">
            <v>43</v>
          </cell>
          <cell r="F420">
            <v>0</v>
          </cell>
          <cell r="G420">
            <v>0</v>
          </cell>
          <cell r="H420">
            <v>144</v>
          </cell>
        </row>
        <row r="421">
          <cell r="A421" t="str">
            <v>KAO</v>
          </cell>
          <cell r="B421" t="str">
            <v>MAI</v>
          </cell>
          <cell r="C421" t="str">
            <v>M.VSL</v>
          </cell>
          <cell r="D421">
            <v>3</v>
          </cell>
          <cell r="E421">
            <v>4</v>
          </cell>
          <cell r="F421">
            <v>0</v>
          </cell>
          <cell r="G421">
            <v>0</v>
          </cell>
          <cell r="H421">
            <v>11</v>
          </cell>
        </row>
        <row r="422">
          <cell r="A422" t="str">
            <v>KAO</v>
          </cell>
          <cell r="B422" t="str">
            <v>MAN</v>
          </cell>
          <cell r="C422" t="str">
            <v>M.VSL</v>
          </cell>
          <cell r="D422">
            <v>55</v>
          </cell>
          <cell r="E422">
            <v>135</v>
          </cell>
          <cell r="F422">
            <v>0</v>
          </cell>
          <cell r="G422">
            <v>15</v>
          </cell>
          <cell r="H422">
            <v>355</v>
          </cell>
        </row>
        <row r="423">
          <cell r="A423" t="str">
            <v>KAO</v>
          </cell>
          <cell r="B423" t="str">
            <v>NGO</v>
          </cell>
          <cell r="C423" t="str">
            <v>M.VSL</v>
          </cell>
          <cell r="D423">
            <v>0</v>
          </cell>
          <cell r="E423">
            <v>3</v>
          </cell>
          <cell r="F423">
            <v>0</v>
          </cell>
          <cell r="G423">
            <v>0</v>
          </cell>
          <cell r="H423">
            <v>6</v>
          </cell>
        </row>
        <row r="424">
          <cell r="A424" t="str">
            <v>KAO</v>
          </cell>
          <cell r="B424" t="str">
            <v>NHA</v>
          </cell>
          <cell r="C424" t="str">
            <v>C.FDR</v>
          </cell>
          <cell r="D424">
            <v>8</v>
          </cell>
          <cell r="E424">
            <v>17</v>
          </cell>
          <cell r="F424">
            <v>0</v>
          </cell>
          <cell r="G424">
            <v>0</v>
          </cell>
          <cell r="H424">
            <v>42</v>
          </cell>
        </row>
        <row r="425">
          <cell r="A425" t="str">
            <v>KAO</v>
          </cell>
          <cell r="B425" t="str">
            <v>NRF</v>
          </cell>
          <cell r="C425" t="str">
            <v>M.VSL</v>
          </cell>
          <cell r="D425">
            <v>4</v>
          </cell>
          <cell r="E425">
            <v>43</v>
          </cell>
          <cell r="F425">
            <v>0</v>
          </cell>
          <cell r="G425">
            <v>0</v>
          </cell>
          <cell r="H425">
            <v>90</v>
          </cell>
        </row>
        <row r="426">
          <cell r="A426" t="str">
            <v>KAO</v>
          </cell>
          <cell r="B426" t="str">
            <v>NYC</v>
          </cell>
          <cell r="C426" t="str">
            <v>M.VSL</v>
          </cell>
          <cell r="D426">
            <v>30</v>
          </cell>
          <cell r="E426">
            <v>170</v>
          </cell>
          <cell r="F426">
            <v>0</v>
          </cell>
          <cell r="G426">
            <v>0</v>
          </cell>
          <cell r="H426">
            <v>370</v>
          </cell>
        </row>
        <row r="427">
          <cell r="A427" t="str">
            <v>KAO</v>
          </cell>
          <cell r="B427" t="str">
            <v>OAK</v>
          </cell>
          <cell r="C427" t="str">
            <v>M.VSL</v>
          </cell>
          <cell r="D427">
            <v>13</v>
          </cell>
          <cell r="E427">
            <v>52</v>
          </cell>
          <cell r="F427">
            <v>0</v>
          </cell>
          <cell r="G427">
            <v>0</v>
          </cell>
          <cell r="H427">
            <v>117</v>
          </cell>
        </row>
        <row r="428">
          <cell r="A428" t="str">
            <v>KAO</v>
          </cell>
          <cell r="B428" t="str">
            <v>PKE</v>
          </cell>
          <cell r="C428" t="str">
            <v>M.VSL</v>
          </cell>
          <cell r="D428">
            <v>1</v>
          </cell>
          <cell r="E428">
            <v>4</v>
          </cell>
          <cell r="F428">
            <v>0</v>
          </cell>
          <cell r="G428">
            <v>0</v>
          </cell>
          <cell r="H428">
            <v>9</v>
          </cell>
        </row>
        <row r="429">
          <cell r="A429" t="str">
            <v>KAO</v>
          </cell>
          <cell r="B429" t="str">
            <v>PSA</v>
          </cell>
          <cell r="C429" t="str">
            <v>M.VSL</v>
          </cell>
          <cell r="D429">
            <v>32</v>
          </cell>
          <cell r="E429">
            <v>14</v>
          </cell>
          <cell r="F429">
            <v>0</v>
          </cell>
          <cell r="G429">
            <v>0</v>
          </cell>
          <cell r="H429">
            <v>60</v>
          </cell>
        </row>
        <row r="430">
          <cell r="A430" t="str">
            <v>KAO</v>
          </cell>
          <cell r="B430" t="str">
            <v>PTL</v>
          </cell>
          <cell r="C430" t="str">
            <v>M.VSL</v>
          </cell>
          <cell r="D430">
            <v>23</v>
          </cell>
          <cell r="E430">
            <v>23</v>
          </cell>
          <cell r="F430">
            <v>0</v>
          </cell>
          <cell r="G430">
            <v>0</v>
          </cell>
          <cell r="H430">
            <v>69</v>
          </cell>
        </row>
        <row r="431">
          <cell r="A431" t="str">
            <v>KAO</v>
          </cell>
          <cell r="B431" t="str">
            <v>RTM</v>
          </cell>
          <cell r="C431" t="str">
            <v>M.VSL</v>
          </cell>
          <cell r="D431">
            <v>111</v>
          </cell>
          <cell r="E431">
            <v>117</v>
          </cell>
          <cell r="F431">
            <v>0</v>
          </cell>
          <cell r="G431">
            <v>0</v>
          </cell>
          <cell r="H431">
            <v>345</v>
          </cell>
        </row>
        <row r="432">
          <cell r="A432" t="str">
            <v>KAO</v>
          </cell>
          <cell r="B432" t="str">
            <v>SIN</v>
          </cell>
          <cell r="C432" t="str">
            <v>M.VSL</v>
          </cell>
          <cell r="D432">
            <v>77</v>
          </cell>
          <cell r="E432">
            <v>76</v>
          </cell>
          <cell r="F432">
            <v>0</v>
          </cell>
          <cell r="G432">
            <v>0</v>
          </cell>
          <cell r="H432">
            <v>229</v>
          </cell>
        </row>
        <row r="433">
          <cell r="A433" t="str">
            <v>KAO</v>
          </cell>
          <cell r="B433" t="str">
            <v>SOO</v>
          </cell>
          <cell r="C433" t="str">
            <v>M.VSL</v>
          </cell>
          <cell r="D433">
            <v>72</v>
          </cell>
          <cell r="E433">
            <v>65</v>
          </cell>
          <cell r="F433">
            <v>0</v>
          </cell>
          <cell r="G433">
            <v>0</v>
          </cell>
          <cell r="H433">
            <v>202</v>
          </cell>
        </row>
        <row r="434">
          <cell r="A434" t="str">
            <v>KAO</v>
          </cell>
          <cell r="B434" t="str">
            <v>SPO</v>
          </cell>
          <cell r="C434" t="str">
            <v>M.VSL</v>
          </cell>
          <cell r="D434">
            <v>22</v>
          </cell>
          <cell r="E434">
            <v>47</v>
          </cell>
          <cell r="F434">
            <v>0</v>
          </cell>
          <cell r="G434">
            <v>0</v>
          </cell>
          <cell r="H434">
            <v>116</v>
          </cell>
        </row>
        <row r="435">
          <cell r="A435" t="str">
            <v>KAO</v>
          </cell>
          <cell r="B435" t="str">
            <v>STL</v>
          </cell>
          <cell r="C435" t="str">
            <v>M.VSL</v>
          </cell>
          <cell r="D435">
            <v>34</v>
          </cell>
          <cell r="E435">
            <v>138</v>
          </cell>
          <cell r="F435">
            <v>0</v>
          </cell>
          <cell r="G435">
            <v>0</v>
          </cell>
          <cell r="H435">
            <v>310</v>
          </cell>
        </row>
        <row r="436">
          <cell r="A436" t="str">
            <v>KAO</v>
          </cell>
          <cell r="B436" t="str">
            <v>SVN</v>
          </cell>
          <cell r="C436" t="str">
            <v>M.VSL</v>
          </cell>
          <cell r="D436">
            <v>5</v>
          </cell>
          <cell r="E436">
            <v>30</v>
          </cell>
          <cell r="F436">
            <v>0</v>
          </cell>
          <cell r="G436">
            <v>0</v>
          </cell>
          <cell r="H436">
            <v>65</v>
          </cell>
        </row>
        <row r="437">
          <cell r="A437" t="str">
            <v>KAO</v>
          </cell>
          <cell r="B437" t="str">
            <v>TCM</v>
          </cell>
          <cell r="C437" t="str">
            <v>M.VSL</v>
          </cell>
          <cell r="D437">
            <v>162</v>
          </cell>
          <cell r="E437">
            <v>484</v>
          </cell>
          <cell r="F437">
            <v>0</v>
          </cell>
          <cell r="G437">
            <v>0</v>
          </cell>
          <cell r="H437">
            <v>1130</v>
          </cell>
        </row>
        <row r="438">
          <cell r="A438" t="str">
            <v>KAO</v>
          </cell>
          <cell r="B438" t="str">
            <v>VCR</v>
          </cell>
          <cell r="C438" t="str">
            <v>M.VSL</v>
          </cell>
          <cell r="D438">
            <v>58</v>
          </cell>
          <cell r="E438">
            <v>75</v>
          </cell>
          <cell r="F438">
            <v>0</v>
          </cell>
          <cell r="G438">
            <v>0</v>
          </cell>
          <cell r="H438">
            <v>208</v>
          </cell>
        </row>
        <row r="439">
          <cell r="A439" t="str">
            <v>KAO</v>
          </cell>
          <cell r="B439" t="str">
            <v>XIA</v>
          </cell>
          <cell r="C439" t="str">
            <v>C.FDR</v>
          </cell>
          <cell r="D439">
            <v>1</v>
          </cell>
          <cell r="E439">
            <v>5</v>
          </cell>
          <cell r="F439">
            <v>90</v>
          </cell>
          <cell r="G439">
            <v>129</v>
          </cell>
          <cell r="H439">
            <v>359</v>
          </cell>
        </row>
        <row r="440">
          <cell r="A440" t="str">
            <v>KAZ</v>
          </cell>
          <cell r="B440" t="str">
            <v>BSN</v>
          </cell>
          <cell r="C440" t="str">
            <v>C.FDR</v>
          </cell>
          <cell r="D440">
            <v>0</v>
          </cell>
          <cell r="E440">
            <v>0</v>
          </cell>
          <cell r="F440">
            <v>3</v>
          </cell>
          <cell r="G440">
            <v>1</v>
          </cell>
          <cell r="H440">
            <v>5</v>
          </cell>
        </row>
        <row r="441">
          <cell r="A441" t="str">
            <v>KCX</v>
          </cell>
          <cell r="B441" t="str">
            <v>BSN</v>
          </cell>
          <cell r="C441" t="str">
            <v>C.FDR</v>
          </cell>
          <cell r="D441">
            <v>0</v>
          </cell>
          <cell r="E441">
            <v>0</v>
          </cell>
          <cell r="F441">
            <v>0</v>
          </cell>
          <cell r="G441">
            <v>1</v>
          </cell>
          <cell r="H441">
            <v>2</v>
          </cell>
        </row>
        <row r="442">
          <cell r="A442" t="str">
            <v>KDL</v>
          </cell>
          <cell r="B442" t="str">
            <v>CBO</v>
          </cell>
          <cell r="C442" t="str">
            <v>C.FDR</v>
          </cell>
          <cell r="D442">
            <v>0</v>
          </cell>
          <cell r="E442">
            <v>5</v>
          </cell>
          <cell r="F442">
            <v>0</v>
          </cell>
          <cell r="G442">
            <v>0</v>
          </cell>
          <cell r="H442">
            <v>10</v>
          </cell>
        </row>
        <row r="443">
          <cell r="A443" t="str">
            <v>KDL</v>
          </cell>
          <cell r="B443" t="str">
            <v>NSA</v>
          </cell>
          <cell r="C443" t="str">
            <v>C.FDR</v>
          </cell>
          <cell r="D443">
            <v>3</v>
          </cell>
          <cell r="E443">
            <v>9</v>
          </cell>
          <cell r="F443">
            <v>0</v>
          </cell>
          <cell r="G443">
            <v>0</v>
          </cell>
          <cell r="H443">
            <v>21</v>
          </cell>
        </row>
        <row r="444">
          <cell r="A444" t="str">
            <v>KDL</v>
          </cell>
          <cell r="B444" t="str">
            <v>RHX</v>
          </cell>
          <cell r="C444" t="str">
            <v>C.FDR</v>
          </cell>
          <cell r="D444">
            <v>4</v>
          </cell>
          <cell r="E444">
            <v>1</v>
          </cell>
          <cell r="F444">
            <v>0</v>
          </cell>
          <cell r="G444">
            <v>0</v>
          </cell>
          <cell r="H444">
            <v>6</v>
          </cell>
        </row>
        <row r="445">
          <cell r="A445" t="str">
            <v>KEE</v>
          </cell>
          <cell r="B445" t="str">
            <v>BKK</v>
          </cell>
          <cell r="C445" t="str">
            <v>M.VSL</v>
          </cell>
          <cell r="D445">
            <v>10</v>
          </cell>
          <cell r="E445">
            <v>2</v>
          </cell>
          <cell r="F445">
            <v>0</v>
          </cell>
          <cell r="G445">
            <v>0</v>
          </cell>
          <cell r="H445">
            <v>14</v>
          </cell>
        </row>
        <row r="446">
          <cell r="A446" t="str">
            <v>KEE</v>
          </cell>
          <cell r="B446" t="str">
            <v>BSN</v>
          </cell>
          <cell r="C446" t="str">
            <v>M.VSL</v>
          </cell>
          <cell r="D446">
            <v>12</v>
          </cell>
          <cell r="E446">
            <v>28</v>
          </cell>
          <cell r="F446">
            <v>1</v>
          </cell>
          <cell r="G446">
            <v>1</v>
          </cell>
          <cell r="H446">
            <v>71</v>
          </cell>
        </row>
        <row r="447">
          <cell r="A447" t="str">
            <v>KEE</v>
          </cell>
          <cell r="B447" t="str">
            <v>DMM</v>
          </cell>
          <cell r="C447" t="str">
            <v>M.VSL</v>
          </cell>
          <cell r="D447">
            <v>18</v>
          </cell>
          <cell r="E447">
            <v>20</v>
          </cell>
          <cell r="F447">
            <v>0</v>
          </cell>
          <cell r="G447">
            <v>0</v>
          </cell>
          <cell r="H447">
            <v>58</v>
          </cell>
        </row>
        <row r="448">
          <cell r="A448" t="str">
            <v>KEE</v>
          </cell>
          <cell r="B448" t="str">
            <v>DXB</v>
          </cell>
          <cell r="C448" t="str">
            <v>M.VSL</v>
          </cell>
          <cell r="D448">
            <v>22</v>
          </cell>
          <cell r="E448">
            <v>31</v>
          </cell>
          <cell r="F448">
            <v>0</v>
          </cell>
          <cell r="G448">
            <v>0</v>
          </cell>
          <cell r="H448">
            <v>84</v>
          </cell>
        </row>
        <row r="449">
          <cell r="A449" t="str">
            <v>KEE</v>
          </cell>
          <cell r="B449" t="str">
            <v>HKG</v>
          </cell>
          <cell r="C449" t="str">
            <v>M.VSL</v>
          </cell>
          <cell r="D449">
            <v>50</v>
          </cell>
          <cell r="E449">
            <v>41</v>
          </cell>
          <cell r="F449">
            <v>0</v>
          </cell>
          <cell r="G449">
            <v>0</v>
          </cell>
          <cell r="H449">
            <v>132</v>
          </cell>
        </row>
        <row r="450">
          <cell r="A450" t="str">
            <v>KEE</v>
          </cell>
          <cell r="B450" t="str">
            <v>HMN</v>
          </cell>
          <cell r="C450" t="str">
            <v>M.VSL</v>
          </cell>
          <cell r="D450">
            <v>15</v>
          </cell>
          <cell r="E450">
            <v>6</v>
          </cell>
          <cell r="F450">
            <v>0</v>
          </cell>
          <cell r="G450">
            <v>0</v>
          </cell>
          <cell r="H450">
            <v>27</v>
          </cell>
        </row>
        <row r="451">
          <cell r="A451" t="str">
            <v>KEE</v>
          </cell>
          <cell r="B451" t="str">
            <v>KAH</v>
          </cell>
          <cell r="C451" t="str">
            <v>M.VSL</v>
          </cell>
          <cell r="D451">
            <v>8</v>
          </cell>
          <cell r="E451">
            <v>3</v>
          </cell>
          <cell r="F451">
            <v>0</v>
          </cell>
          <cell r="G451">
            <v>0</v>
          </cell>
          <cell r="H451">
            <v>14</v>
          </cell>
        </row>
        <row r="452">
          <cell r="A452" t="str">
            <v>KEE</v>
          </cell>
          <cell r="B452" t="str">
            <v>LCB</v>
          </cell>
          <cell r="C452" t="str">
            <v>M.VSL</v>
          </cell>
          <cell r="D452">
            <v>2</v>
          </cell>
          <cell r="E452">
            <v>0</v>
          </cell>
          <cell r="F452">
            <v>0</v>
          </cell>
          <cell r="G452">
            <v>0</v>
          </cell>
          <cell r="H452">
            <v>2</v>
          </cell>
        </row>
        <row r="453">
          <cell r="A453" t="str">
            <v>KEE</v>
          </cell>
          <cell r="B453" t="str">
            <v>PKE</v>
          </cell>
          <cell r="C453" t="str">
            <v>M.VSL</v>
          </cell>
          <cell r="D453">
            <v>10</v>
          </cell>
          <cell r="E453">
            <v>3</v>
          </cell>
          <cell r="F453">
            <v>0</v>
          </cell>
          <cell r="G453">
            <v>0</v>
          </cell>
          <cell r="H453">
            <v>16</v>
          </cell>
        </row>
        <row r="454">
          <cell r="A454" t="str">
            <v>KEE</v>
          </cell>
          <cell r="B454" t="str">
            <v>QOA</v>
          </cell>
          <cell r="C454" t="str">
            <v>M.VSL</v>
          </cell>
          <cell r="D454">
            <v>3</v>
          </cell>
          <cell r="E454">
            <v>0</v>
          </cell>
          <cell r="F454">
            <v>0</v>
          </cell>
          <cell r="G454">
            <v>0</v>
          </cell>
          <cell r="H454">
            <v>3</v>
          </cell>
        </row>
        <row r="455">
          <cell r="A455" t="str">
            <v>KEE</v>
          </cell>
          <cell r="B455" t="str">
            <v>QQC</v>
          </cell>
          <cell r="C455" t="str">
            <v>M.VSL</v>
          </cell>
          <cell r="D455">
            <v>89</v>
          </cell>
          <cell r="E455">
            <v>55</v>
          </cell>
          <cell r="F455">
            <v>0</v>
          </cell>
          <cell r="G455">
            <v>0</v>
          </cell>
          <cell r="H455">
            <v>199</v>
          </cell>
        </row>
        <row r="456">
          <cell r="A456" t="str">
            <v>KEE</v>
          </cell>
          <cell r="B456" t="str">
            <v>RHX</v>
          </cell>
          <cell r="C456" t="str">
            <v>M.VSL</v>
          </cell>
          <cell r="D456">
            <v>5</v>
          </cell>
          <cell r="E456">
            <v>8</v>
          </cell>
          <cell r="F456">
            <v>0</v>
          </cell>
          <cell r="G456">
            <v>0</v>
          </cell>
          <cell r="H456">
            <v>21</v>
          </cell>
        </row>
        <row r="457">
          <cell r="A457" t="str">
            <v>KEE</v>
          </cell>
          <cell r="B457" t="str">
            <v>SIN</v>
          </cell>
          <cell r="C457" t="str">
            <v>M.VSL</v>
          </cell>
          <cell r="D457">
            <v>98</v>
          </cell>
          <cell r="E457">
            <v>106</v>
          </cell>
          <cell r="F457">
            <v>0</v>
          </cell>
          <cell r="G457">
            <v>0</v>
          </cell>
          <cell r="H457">
            <v>310</v>
          </cell>
        </row>
        <row r="458">
          <cell r="A458" t="str">
            <v>KOB</v>
          </cell>
          <cell r="B458" t="str">
            <v>BCN</v>
          </cell>
          <cell r="C458" t="str">
            <v>M.VSL</v>
          </cell>
          <cell r="D458">
            <v>7</v>
          </cell>
          <cell r="E458">
            <v>22</v>
          </cell>
          <cell r="F458">
            <v>0</v>
          </cell>
          <cell r="G458">
            <v>0</v>
          </cell>
          <cell r="H458">
            <v>51</v>
          </cell>
        </row>
        <row r="459">
          <cell r="A459" t="str">
            <v>KOB</v>
          </cell>
          <cell r="B459" t="str">
            <v>BKK</v>
          </cell>
          <cell r="C459" t="str">
            <v>M.VSL</v>
          </cell>
          <cell r="D459">
            <v>37</v>
          </cell>
          <cell r="E459">
            <v>15</v>
          </cell>
          <cell r="F459">
            <v>5</v>
          </cell>
          <cell r="G459">
            <v>0</v>
          </cell>
          <cell r="H459">
            <v>72</v>
          </cell>
        </row>
        <row r="460">
          <cell r="A460" t="str">
            <v>KOB</v>
          </cell>
          <cell r="B460" t="str">
            <v>BSN</v>
          </cell>
          <cell r="C460" t="str">
            <v>C.FDR</v>
          </cell>
          <cell r="D460">
            <v>0</v>
          </cell>
          <cell r="E460">
            <v>0</v>
          </cell>
          <cell r="F460">
            <v>11</v>
          </cell>
          <cell r="G460">
            <v>4</v>
          </cell>
          <cell r="H460">
            <v>19</v>
          </cell>
        </row>
        <row r="461">
          <cell r="A461" t="str">
            <v>KOB</v>
          </cell>
          <cell r="B461" t="str">
            <v>CST</v>
          </cell>
          <cell r="C461" t="str">
            <v>M.VSL</v>
          </cell>
          <cell r="D461">
            <v>1</v>
          </cell>
          <cell r="E461">
            <v>31</v>
          </cell>
          <cell r="F461">
            <v>0</v>
          </cell>
          <cell r="G461">
            <v>0</v>
          </cell>
          <cell r="H461">
            <v>63</v>
          </cell>
        </row>
        <row r="462">
          <cell r="A462" t="str">
            <v>KOB</v>
          </cell>
          <cell r="B462" t="str">
            <v>FOS</v>
          </cell>
          <cell r="C462" t="str">
            <v>M.VSL</v>
          </cell>
          <cell r="D462">
            <v>7</v>
          </cell>
          <cell r="E462">
            <v>2</v>
          </cell>
          <cell r="F462">
            <v>0</v>
          </cell>
          <cell r="G462">
            <v>0</v>
          </cell>
          <cell r="H462">
            <v>11</v>
          </cell>
        </row>
        <row r="463">
          <cell r="A463" t="str">
            <v>KOB</v>
          </cell>
          <cell r="B463" t="str">
            <v>GEN</v>
          </cell>
          <cell r="C463" t="str">
            <v>M.VSL</v>
          </cell>
          <cell r="D463">
            <v>19</v>
          </cell>
          <cell r="E463">
            <v>8</v>
          </cell>
          <cell r="F463">
            <v>0</v>
          </cell>
          <cell r="G463">
            <v>0</v>
          </cell>
          <cell r="H463">
            <v>35</v>
          </cell>
        </row>
        <row r="464">
          <cell r="A464" t="str">
            <v>KOB</v>
          </cell>
          <cell r="B464" t="str">
            <v>HAM</v>
          </cell>
          <cell r="C464" t="str">
            <v>M.VSL</v>
          </cell>
          <cell r="D464">
            <v>44</v>
          </cell>
          <cell r="E464">
            <v>33</v>
          </cell>
          <cell r="F464">
            <v>0</v>
          </cell>
          <cell r="G464">
            <v>0</v>
          </cell>
          <cell r="H464">
            <v>110</v>
          </cell>
        </row>
        <row r="465">
          <cell r="A465" t="str">
            <v>KOB</v>
          </cell>
          <cell r="B465" t="str">
            <v>HKG</v>
          </cell>
          <cell r="C465" t="str">
            <v>M.VSL</v>
          </cell>
          <cell r="D465">
            <v>83</v>
          </cell>
          <cell r="E465">
            <v>65</v>
          </cell>
          <cell r="F465">
            <v>0</v>
          </cell>
          <cell r="G465">
            <v>60</v>
          </cell>
          <cell r="H465">
            <v>333</v>
          </cell>
        </row>
        <row r="466">
          <cell r="A466" t="str">
            <v>KOB</v>
          </cell>
          <cell r="B466" t="str">
            <v>HMN</v>
          </cell>
          <cell r="C466" t="str">
            <v>M.VSL</v>
          </cell>
          <cell r="D466">
            <v>15</v>
          </cell>
          <cell r="E466">
            <v>9</v>
          </cell>
          <cell r="F466">
            <v>0</v>
          </cell>
          <cell r="G466">
            <v>0</v>
          </cell>
          <cell r="H466">
            <v>33</v>
          </cell>
        </row>
        <row r="467">
          <cell r="A467" t="str">
            <v>KOB</v>
          </cell>
          <cell r="B467" t="str">
            <v>KAO</v>
          </cell>
          <cell r="C467" t="str">
            <v>M.VSL</v>
          </cell>
          <cell r="D467">
            <v>2</v>
          </cell>
          <cell r="E467">
            <v>2</v>
          </cell>
          <cell r="F467">
            <v>0</v>
          </cell>
          <cell r="G467">
            <v>0</v>
          </cell>
          <cell r="H467">
            <v>6</v>
          </cell>
        </row>
        <row r="468">
          <cell r="A468" t="str">
            <v>KOB</v>
          </cell>
          <cell r="B468" t="str">
            <v>LCB</v>
          </cell>
          <cell r="C468" t="str">
            <v>M.VSL</v>
          </cell>
          <cell r="D468">
            <v>24</v>
          </cell>
          <cell r="E468">
            <v>21</v>
          </cell>
          <cell r="F468">
            <v>0</v>
          </cell>
          <cell r="G468">
            <v>0</v>
          </cell>
          <cell r="H468">
            <v>66</v>
          </cell>
        </row>
        <row r="469">
          <cell r="A469" t="str">
            <v>KOB</v>
          </cell>
          <cell r="B469" t="str">
            <v>LEH</v>
          </cell>
          <cell r="C469" t="str">
            <v>M.VSL</v>
          </cell>
          <cell r="D469">
            <v>6</v>
          </cell>
          <cell r="E469">
            <v>4</v>
          </cell>
          <cell r="F469">
            <v>0</v>
          </cell>
          <cell r="G469">
            <v>0</v>
          </cell>
          <cell r="H469">
            <v>14</v>
          </cell>
        </row>
        <row r="470">
          <cell r="A470" t="str">
            <v>KOB</v>
          </cell>
          <cell r="B470" t="str">
            <v>LOS</v>
          </cell>
          <cell r="C470" t="str">
            <v>M.VSL</v>
          </cell>
          <cell r="D470">
            <v>153</v>
          </cell>
          <cell r="E470">
            <v>214</v>
          </cell>
          <cell r="F470">
            <v>0</v>
          </cell>
          <cell r="G470">
            <v>0</v>
          </cell>
          <cell r="H470">
            <v>581</v>
          </cell>
        </row>
        <row r="471">
          <cell r="A471" t="str">
            <v>KOB</v>
          </cell>
          <cell r="B471" t="str">
            <v>MAI</v>
          </cell>
          <cell r="C471" t="str">
            <v>M.VSL</v>
          </cell>
          <cell r="D471">
            <v>3</v>
          </cell>
          <cell r="E471">
            <v>0</v>
          </cell>
          <cell r="F471">
            <v>0</v>
          </cell>
          <cell r="G471">
            <v>0</v>
          </cell>
          <cell r="H471">
            <v>3</v>
          </cell>
        </row>
        <row r="472">
          <cell r="A472" t="str">
            <v>KOB</v>
          </cell>
          <cell r="B472" t="str">
            <v>NRF</v>
          </cell>
          <cell r="C472" t="str">
            <v>M.VSL</v>
          </cell>
          <cell r="D472">
            <v>6</v>
          </cell>
          <cell r="E472">
            <v>0</v>
          </cell>
          <cell r="F472">
            <v>0</v>
          </cell>
          <cell r="G472">
            <v>0</v>
          </cell>
          <cell r="H472">
            <v>6</v>
          </cell>
        </row>
        <row r="473">
          <cell r="A473" t="str">
            <v>KOB</v>
          </cell>
          <cell r="B473" t="str">
            <v>NYC</v>
          </cell>
          <cell r="C473" t="str">
            <v>M.VSL</v>
          </cell>
          <cell r="D473">
            <v>33</v>
          </cell>
          <cell r="E473">
            <v>12</v>
          </cell>
          <cell r="F473">
            <v>0</v>
          </cell>
          <cell r="G473">
            <v>0</v>
          </cell>
          <cell r="H473">
            <v>57</v>
          </cell>
        </row>
        <row r="474">
          <cell r="A474" t="str">
            <v>KOB</v>
          </cell>
          <cell r="B474" t="str">
            <v>PKE</v>
          </cell>
          <cell r="C474" t="str">
            <v>M.VSL</v>
          </cell>
          <cell r="D474">
            <v>12</v>
          </cell>
          <cell r="E474">
            <v>13</v>
          </cell>
          <cell r="F474">
            <v>0</v>
          </cell>
          <cell r="G474">
            <v>0</v>
          </cell>
          <cell r="H474">
            <v>38</v>
          </cell>
        </row>
        <row r="475">
          <cell r="A475" t="str">
            <v>KOB</v>
          </cell>
          <cell r="B475" t="str">
            <v>PSA</v>
          </cell>
          <cell r="C475" t="str">
            <v>M.VSL</v>
          </cell>
          <cell r="D475">
            <v>5</v>
          </cell>
          <cell r="E475">
            <v>1</v>
          </cell>
          <cell r="F475">
            <v>0</v>
          </cell>
          <cell r="G475">
            <v>0</v>
          </cell>
          <cell r="H475">
            <v>7</v>
          </cell>
        </row>
        <row r="476">
          <cell r="A476" t="str">
            <v>KOB</v>
          </cell>
          <cell r="B476" t="str">
            <v>QDO</v>
          </cell>
          <cell r="C476" t="str">
            <v>C.FDR</v>
          </cell>
          <cell r="D476">
            <v>0</v>
          </cell>
          <cell r="E476">
            <v>0</v>
          </cell>
          <cell r="F476">
            <v>0</v>
          </cell>
          <cell r="G476">
            <v>40</v>
          </cell>
          <cell r="H476">
            <v>80</v>
          </cell>
        </row>
        <row r="477">
          <cell r="A477" t="str">
            <v>KOB</v>
          </cell>
          <cell r="B477" t="str">
            <v>RTM</v>
          </cell>
          <cell r="C477" t="str">
            <v>M.VSL</v>
          </cell>
          <cell r="D477">
            <v>82</v>
          </cell>
          <cell r="E477">
            <v>19</v>
          </cell>
          <cell r="F477">
            <v>0</v>
          </cell>
          <cell r="G477">
            <v>0</v>
          </cell>
          <cell r="H477">
            <v>120</v>
          </cell>
        </row>
        <row r="478">
          <cell r="A478" t="str">
            <v>KOB</v>
          </cell>
          <cell r="B478" t="str">
            <v>SIN</v>
          </cell>
          <cell r="C478" t="str">
            <v>M.VSL</v>
          </cell>
          <cell r="D478">
            <v>136</v>
          </cell>
          <cell r="E478">
            <v>63</v>
          </cell>
          <cell r="F478">
            <v>0</v>
          </cell>
          <cell r="G478">
            <v>0</v>
          </cell>
          <cell r="H478">
            <v>262</v>
          </cell>
        </row>
        <row r="479">
          <cell r="A479" t="str">
            <v>KOB</v>
          </cell>
          <cell r="B479" t="str">
            <v>SOO</v>
          </cell>
          <cell r="C479" t="str">
            <v>M.VSL</v>
          </cell>
          <cell r="D479">
            <v>10</v>
          </cell>
          <cell r="E479">
            <v>11</v>
          </cell>
          <cell r="F479">
            <v>0</v>
          </cell>
          <cell r="G479">
            <v>0</v>
          </cell>
          <cell r="H479">
            <v>32</v>
          </cell>
        </row>
        <row r="480">
          <cell r="A480" t="str">
            <v>KOB</v>
          </cell>
          <cell r="B480" t="str">
            <v>STL</v>
          </cell>
          <cell r="C480" t="str">
            <v>M.VSL</v>
          </cell>
          <cell r="D480">
            <v>30</v>
          </cell>
          <cell r="E480">
            <v>13</v>
          </cell>
          <cell r="F480">
            <v>0</v>
          </cell>
          <cell r="G480">
            <v>0</v>
          </cell>
          <cell r="H480">
            <v>56</v>
          </cell>
        </row>
        <row r="481">
          <cell r="A481" t="str">
            <v>KOB</v>
          </cell>
          <cell r="B481" t="str">
            <v>VCR</v>
          </cell>
          <cell r="C481" t="str">
            <v>M.VSL</v>
          </cell>
          <cell r="D481">
            <v>6</v>
          </cell>
          <cell r="E481">
            <v>17</v>
          </cell>
          <cell r="F481">
            <v>0</v>
          </cell>
          <cell r="G481">
            <v>0</v>
          </cell>
          <cell r="H481">
            <v>40</v>
          </cell>
        </row>
        <row r="482">
          <cell r="A482" t="str">
            <v>KOB</v>
          </cell>
          <cell r="B482" t="str">
            <v>YTN</v>
          </cell>
          <cell r="C482" t="str">
            <v>M.VSL</v>
          </cell>
          <cell r="D482">
            <v>0</v>
          </cell>
          <cell r="E482">
            <v>0</v>
          </cell>
          <cell r="F482">
            <v>0</v>
          </cell>
          <cell r="G482">
            <v>181</v>
          </cell>
          <cell r="H482">
            <v>362</v>
          </cell>
        </row>
        <row r="483">
          <cell r="A483" t="str">
            <v>KTA</v>
          </cell>
          <cell r="B483" t="str">
            <v>SIN</v>
          </cell>
          <cell r="C483" t="str">
            <v>C.FDR</v>
          </cell>
          <cell r="D483">
            <v>0</v>
          </cell>
          <cell r="E483">
            <v>4</v>
          </cell>
          <cell r="F483">
            <v>3</v>
          </cell>
          <cell r="G483">
            <v>1</v>
          </cell>
          <cell r="H483">
            <v>13</v>
          </cell>
        </row>
        <row r="484">
          <cell r="A484" t="str">
            <v>KUC</v>
          </cell>
          <cell r="B484" t="str">
            <v>SIN</v>
          </cell>
          <cell r="C484" t="str">
            <v>C.FDR</v>
          </cell>
          <cell r="D484">
            <v>2</v>
          </cell>
          <cell r="E484">
            <v>0</v>
          </cell>
          <cell r="F484">
            <v>1</v>
          </cell>
          <cell r="G484">
            <v>1</v>
          </cell>
          <cell r="H484">
            <v>5</v>
          </cell>
        </row>
        <row r="485">
          <cell r="A485" t="str">
            <v>KWT</v>
          </cell>
          <cell r="B485" t="str">
            <v>DXB</v>
          </cell>
          <cell r="C485" t="str">
            <v>M.VSL</v>
          </cell>
          <cell r="D485">
            <v>20</v>
          </cell>
          <cell r="E485">
            <v>10</v>
          </cell>
          <cell r="F485">
            <v>96</v>
          </cell>
          <cell r="G485">
            <v>24</v>
          </cell>
          <cell r="H485">
            <v>184</v>
          </cell>
        </row>
        <row r="486">
          <cell r="A486" t="str">
            <v>KYG</v>
          </cell>
          <cell r="B486" t="str">
            <v>DLI</v>
          </cell>
          <cell r="C486" t="str">
            <v>M.VSL</v>
          </cell>
          <cell r="D486">
            <v>57</v>
          </cell>
          <cell r="E486">
            <v>1</v>
          </cell>
          <cell r="F486">
            <v>0</v>
          </cell>
          <cell r="G486">
            <v>0</v>
          </cell>
          <cell r="H486">
            <v>59</v>
          </cell>
        </row>
        <row r="487">
          <cell r="A487" t="str">
            <v>KYG</v>
          </cell>
          <cell r="B487" t="str">
            <v>DMM</v>
          </cell>
          <cell r="C487" t="str">
            <v>M.VSL</v>
          </cell>
          <cell r="D487">
            <v>9</v>
          </cell>
          <cell r="E487">
            <v>1</v>
          </cell>
          <cell r="F487">
            <v>0</v>
          </cell>
          <cell r="G487">
            <v>0</v>
          </cell>
          <cell r="H487">
            <v>11</v>
          </cell>
        </row>
        <row r="488">
          <cell r="A488" t="str">
            <v>KYG</v>
          </cell>
          <cell r="B488" t="str">
            <v>DXB</v>
          </cell>
          <cell r="C488" t="str">
            <v>M.VSL</v>
          </cell>
          <cell r="D488">
            <v>78</v>
          </cell>
          <cell r="E488">
            <v>23</v>
          </cell>
          <cell r="F488">
            <v>0</v>
          </cell>
          <cell r="G488">
            <v>0</v>
          </cell>
          <cell r="H488">
            <v>124</v>
          </cell>
        </row>
        <row r="489">
          <cell r="A489" t="str">
            <v>KYG</v>
          </cell>
          <cell r="B489" t="str">
            <v>HAM</v>
          </cell>
          <cell r="C489" t="str">
            <v>M.VSL</v>
          </cell>
          <cell r="D489">
            <v>6</v>
          </cell>
          <cell r="E489">
            <v>71</v>
          </cell>
          <cell r="F489">
            <v>2</v>
          </cell>
          <cell r="G489">
            <v>2</v>
          </cell>
          <cell r="H489">
            <v>154</v>
          </cell>
        </row>
        <row r="490">
          <cell r="A490" t="str">
            <v>KYG</v>
          </cell>
          <cell r="B490" t="str">
            <v>HKG</v>
          </cell>
          <cell r="C490" t="str">
            <v>M.VSL</v>
          </cell>
          <cell r="D490">
            <v>143</v>
          </cell>
          <cell r="E490">
            <v>74</v>
          </cell>
          <cell r="F490">
            <v>0</v>
          </cell>
          <cell r="G490">
            <v>0</v>
          </cell>
          <cell r="H490">
            <v>291</v>
          </cell>
        </row>
        <row r="491">
          <cell r="A491" t="str">
            <v>KYG</v>
          </cell>
          <cell r="B491" t="str">
            <v>KAH</v>
          </cell>
          <cell r="C491" t="str">
            <v>M.VSL</v>
          </cell>
          <cell r="D491">
            <v>36</v>
          </cell>
          <cell r="E491">
            <v>0</v>
          </cell>
          <cell r="F491">
            <v>0</v>
          </cell>
          <cell r="G491">
            <v>0</v>
          </cell>
          <cell r="H491">
            <v>36</v>
          </cell>
        </row>
        <row r="492">
          <cell r="A492" t="str">
            <v>KYG</v>
          </cell>
          <cell r="B492" t="str">
            <v>KAO</v>
          </cell>
          <cell r="C492" t="str">
            <v>M.VSL</v>
          </cell>
          <cell r="D492">
            <v>7</v>
          </cell>
          <cell r="E492">
            <v>1</v>
          </cell>
          <cell r="F492">
            <v>0</v>
          </cell>
          <cell r="G492">
            <v>0</v>
          </cell>
          <cell r="H492">
            <v>9</v>
          </cell>
        </row>
        <row r="493">
          <cell r="A493" t="str">
            <v>KYG</v>
          </cell>
          <cell r="B493" t="str">
            <v>KEE</v>
          </cell>
          <cell r="C493" t="str">
            <v>M.VSL</v>
          </cell>
          <cell r="D493">
            <v>3</v>
          </cell>
          <cell r="E493">
            <v>36</v>
          </cell>
          <cell r="F493">
            <v>0</v>
          </cell>
          <cell r="G493">
            <v>0</v>
          </cell>
          <cell r="H493">
            <v>75</v>
          </cell>
        </row>
        <row r="494">
          <cell r="A494" t="str">
            <v>KYG</v>
          </cell>
          <cell r="B494" t="str">
            <v>LEH</v>
          </cell>
          <cell r="C494" t="str">
            <v>M.VSL</v>
          </cell>
          <cell r="D494">
            <v>1</v>
          </cell>
          <cell r="E494">
            <v>102</v>
          </cell>
          <cell r="F494">
            <v>0</v>
          </cell>
          <cell r="G494">
            <v>0</v>
          </cell>
          <cell r="H494">
            <v>205</v>
          </cell>
        </row>
        <row r="495">
          <cell r="A495" t="str">
            <v>KYG</v>
          </cell>
          <cell r="B495" t="str">
            <v>NGB</v>
          </cell>
          <cell r="C495" t="str">
            <v>C.FDR</v>
          </cell>
          <cell r="D495">
            <v>1</v>
          </cell>
          <cell r="E495">
            <v>0</v>
          </cell>
          <cell r="F495">
            <v>0</v>
          </cell>
          <cell r="G495">
            <v>90</v>
          </cell>
          <cell r="H495">
            <v>181</v>
          </cell>
        </row>
        <row r="496">
          <cell r="A496" t="str">
            <v>KYG</v>
          </cell>
          <cell r="B496" t="str">
            <v>PKE</v>
          </cell>
          <cell r="C496" t="str">
            <v>M.VSL</v>
          </cell>
          <cell r="D496">
            <v>6</v>
          </cell>
          <cell r="E496">
            <v>12</v>
          </cell>
          <cell r="F496">
            <v>0</v>
          </cell>
          <cell r="G496">
            <v>0</v>
          </cell>
          <cell r="H496">
            <v>30</v>
          </cell>
        </row>
        <row r="497">
          <cell r="A497" t="str">
            <v>KYG</v>
          </cell>
          <cell r="B497" t="str">
            <v>QDO</v>
          </cell>
          <cell r="C497" t="str">
            <v>M.VSL</v>
          </cell>
          <cell r="D497">
            <v>22</v>
          </cell>
          <cell r="E497">
            <v>5</v>
          </cell>
          <cell r="F497">
            <v>0</v>
          </cell>
          <cell r="G497">
            <v>0</v>
          </cell>
          <cell r="H497">
            <v>32</v>
          </cell>
        </row>
        <row r="498">
          <cell r="A498" t="str">
            <v>KYG</v>
          </cell>
          <cell r="B498" t="str">
            <v>RHX</v>
          </cell>
          <cell r="C498" t="str">
            <v>M.VSL</v>
          </cell>
          <cell r="D498">
            <v>2</v>
          </cell>
          <cell r="E498">
            <v>0</v>
          </cell>
          <cell r="F498">
            <v>0</v>
          </cell>
          <cell r="G498">
            <v>0</v>
          </cell>
          <cell r="H498">
            <v>2</v>
          </cell>
        </row>
        <row r="499">
          <cell r="A499" t="str">
            <v>KYG</v>
          </cell>
          <cell r="B499" t="str">
            <v>RTM</v>
          </cell>
          <cell r="C499" t="str">
            <v>M.VSL</v>
          </cell>
          <cell r="D499">
            <v>162</v>
          </cell>
          <cell r="E499">
            <v>22</v>
          </cell>
          <cell r="F499">
            <v>0</v>
          </cell>
          <cell r="G499">
            <v>0</v>
          </cell>
          <cell r="H499">
            <v>206</v>
          </cell>
        </row>
        <row r="500">
          <cell r="A500" t="str">
            <v>KYG</v>
          </cell>
          <cell r="B500" t="str">
            <v>SHA</v>
          </cell>
          <cell r="C500" t="str">
            <v>M.VSL</v>
          </cell>
          <cell r="D500">
            <v>293</v>
          </cell>
          <cell r="E500">
            <v>5</v>
          </cell>
          <cell r="F500">
            <v>0</v>
          </cell>
          <cell r="G500">
            <v>10</v>
          </cell>
          <cell r="H500">
            <v>323</v>
          </cell>
        </row>
        <row r="501">
          <cell r="A501" t="str">
            <v>KYG</v>
          </cell>
          <cell r="B501" t="str">
            <v>SHA</v>
          </cell>
          <cell r="C501" t="str">
            <v>C.FDR</v>
          </cell>
          <cell r="D501">
            <v>0</v>
          </cell>
          <cell r="E501">
            <v>0</v>
          </cell>
          <cell r="F501">
            <v>0</v>
          </cell>
          <cell r="G501">
            <v>60</v>
          </cell>
          <cell r="H501">
            <v>120</v>
          </cell>
        </row>
        <row r="502">
          <cell r="A502" t="str">
            <v>KYG</v>
          </cell>
          <cell r="B502" t="str">
            <v>SIN</v>
          </cell>
          <cell r="C502" t="str">
            <v>M.VSL</v>
          </cell>
          <cell r="D502">
            <v>125</v>
          </cell>
          <cell r="E502">
            <v>186</v>
          </cell>
          <cell r="F502">
            <v>0</v>
          </cell>
          <cell r="G502">
            <v>0</v>
          </cell>
          <cell r="H502">
            <v>497</v>
          </cell>
        </row>
        <row r="503">
          <cell r="A503" t="str">
            <v>KYG</v>
          </cell>
          <cell r="B503" t="str">
            <v>SOO</v>
          </cell>
          <cell r="C503" t="str">
            <v>M.VSL</v>
          </cell>
          <cell r="D503">
            <v>1</v>
          </cell>
          <cell r="E503">
            <v>1</v>
          </cell>
          <cell r="F503">
            <v>0</v>
          </cell>
          <cell r="G503">
            <v>0</v>
          </cell>
          <cell r="H503">
            <v>3</v>
          </cell>
        </row>
        <row r="504">
          <cell r="A504" t="str">
            <v>KYG</v>
          </cell>
          <cell r="B504" t="str">
            <v>TCM</v>
          </cell>
          <cell r="C504" t="str">
            <v>M.VSL</v>
          </cell>
          <cell r="D504">
            <v>0</v>
          </cell>
          <cell r="E504">
            <v>9</v>
          </cell>
          <cell r="F504">
            <v>0</v>
          </cell>
          <cell r="G504">
            <v>0</v>
          </cell>
          <cell r="H504">
            <v>18</v>
          </cell>
        </row>
        <row r="505">
          <cell r="A505" t="str">
            <v>KYG</v>
          </cell>
          <cell r="B505" t="str">
            <v>XIN</v>
          </cell>
          <cell r="C505" t="str">
            <v>M.VSL</v>
          </cell>
          <cell r="D505">
            <v>236</v>
          </cell>
          <cell r="E505">
            <v>108</v>
          </cell>
          <cell r="F505">
            <v>0</v>
          </cell>
          <cell r="G505">
            <v>213</v>
          </cell>
          <cell r="H505">
            <v>878</v>
          </cell>
        </row>
        <row r="506">
          <cell r="A506" t="str">
            <v>KYG</v>
          </cell>
          <cell r="B506" t="str">
            <v>XIN</v>
          </cell>
          <cell r="C506" t="str">
            <v>C.FDR</v>
          </cell>
          <cell r="D506">
            <v>0</v>
          </cell>
          <cell r="E506">
            <v>0</v>
          </cell>
          <cell r="F506">
            <v>0</v>
          </cell>
          <cell r="G506">
            <v>300</v>
          </cell>
          <cell r="H506">
            <v>600</v>
          </cell>
        </row>
        <row r="507">
          <cell r="A507" t="str">
            <v>KYG</v>
          </cell>
          <cell r="B507" t="str">
            <v>YTN</v>
          </cell>
          <cell r="C507" t="str">
            <v>M.VSL</v>
          </cell>
          <cell r="D507">
            <v>54</v>
          </cell>
          <cell r="E507">
            <v>210</v>
          </cell>
          <cell r="F507">
            <v>0</v>
          </cell>
          <cell r="G507">
            <v>0</v>
          </cell>
          <cell r="H507">
            <v>474</v>
          </cell>
        </row>
        <row r="508">
          <cell r="A508" t="str">
            <v>LAB</v>
          </cell>
          <cell r="B508" t="str">
            <v>SIN</v>
          </cell>
          <cell r="C508" t="str">
            <v>C.FDR</v>
          </cell>
          <cell r="D508">
            <v>0</v>
          </cell>
          <cell r="E508">
            <v>0</v>
          </cell>
          <cell r="F508">
            <v>2</v>
          </cell>
          <cell r="G508">
            <v>1</v>
          </cell>
          <cell r="H508">
            <v>4</v>
          </cell>
        </row>
        <row r="509">
          <cell r="A509" t="str">
            <v>LBH</v>
          </cell>
          <cell r="B509" t="str">
            <v>BSN</v>
          </cell>
          <cell r="C509" t="str">
            <v>M.VSL</v>
          </cell>
          <cell r="D509">
            <v>384</v>
          </cell>
          <cell r="E509">
            <v>944</v>
          </cell>
          <cell r="F509">
            <v>25</v>
          </cell>
          <cell r="G509">
            <v>895</v>
          </cell>
          <cell r="H509">
            <v>4087</v>
          </cell>
        </row>
        <row r="510">
          <cell r="A510" t="str">
            <v>LBH</v>
          </cell>
          <cell r="B510" t="str">
            <v>HKG</v>
          </cell>
          <cell r="C510" t="str">
            <v>M.VSL</v>
          </cell>
          <cell r="D510">
            <v>16</v>
          </cell>
          <cell r="E510">
            <v>201</v>
          </cell>
          <cell r="F510">
            <v>0</v>
          </cell>
          <cell r="G510">
            <v>46</v>
          </cell>
          <cell r="H510">
            <v>510</v>
          </cell>
        </row>
        <row r="511">
          <cell r="A511" t="str">
            <v>LBH</v>
          </cell>
          <cell r="B511" t="str">
            <v>KAO</v>
          </cell>
          <cell r="C511" t="str">
            <v>M.VSL</v>
          </cell>
          <cell r="D511">
            <v>11</v>
          </cell>
          <cell r="E511">
            <v>11</v>
          </cell>
          <cell r="F511">
            <v>38</v>
          </cell>
          <cell r="G511">
            <v>44</v>
          </cell>
          <cell r="H511">
            <v>159</v>
          </cell>
        </row>
        <row r="512">
          <cell r="A512" t="str">
            <v>LBH</v>
          </cell>
          <cell r="B512" t="str">
            <v>KYG</v>
          </cell>
          <cell r="C512" t="str">
            <v>M.VSL</v>
          </cell>
          <cell r="D512">
            <v>36</v>
          </cell>
          <cell r="E512">
            <v>414</v>
          </cell>
          <cell r="F512">
            <v>0</v>
          </cell>
          <cell r="G512">
            <v>0</v>
          </cell>
          <cell r="H512">
            <v>864</v>
          </cell>
        </row>
        <row r="513">
          <cell r="A513" t="str">
            <v>LBH</v>
          </cell>
          <cell r="B513" t="str">
            <v>OAK</v>
          </cell>
          <cell r="C513" t="str">
            <v>M.VSL</v>
          </cell>
          <cell r="D513">
            <v>15</v>
          </cell>
          <cell r="E513">
            <v>10</v>
          </cell>
          <cell r="F513">
            <v>0</v>
          </cell>
          <cell r="G513">
            <v>7</v>
          </cell>
          <cell r="H513">
            <v>49</v>
          </cell>
        </row>
        <row r="514">
          <cell r="A514" t="str">
            <v>LBH</v>
          </cell>
          <cell r="B514" t="str">
            <v>TCM</v>
          </cell>
          <cell r="C514" t="str">
            <v>M.VSL</v>
          </cell>
          <cell r="D514">
            <v>0</v>
          </cell>
          <cell r="E514">
            <v>1</v>
          </cell>
          <cell r="F514">
            <v>0</v>
          </cell>
          <cell r="G514">
            <v>0</v>
          </cell>
          <cell r="H514">
            <v>2</v>
          </cell>
        </row>
        <row r="515">
          <cell r="A515" t="str">
            <v>LBH</v>
          </cell>
          <cell r="B515" t="str">
            <v>YTN</v>
          </cell>
          <cell r="C515" t="str">
            <v>M.VSL</v>
          </cell>
          <cell r="D515">
            <v>0</v>
          </cell>
          <cell r="E515">
            <v>4</v>
          </cell>
          <cell r="F515">
            <v>0</v>
          </cell>
          <cell r="G515">
            <v>326</v>
          </cell>
          <cell r="H515">
            <v>660</v>
          </cell>
        </row>
        <row r="516">
          <cell r="A516" t="str">
            <v>LCB</v>
          </cell>
          <cell r="B516" t="str">
            <v>BSN</v>
          </cell>
          <cell r="C516" t="str">
            <v>M.VSL</v>
          </cell>
          <cell r="D516">
            <v>10</v>
          </cell>
          <cell r="E516">
            <v>12</v>
          </cell>
          <cell r="F516">
            <v>0</v>
          </cell>
          <cell r="G516">
            <v>0</v>
          </cell>
          <cell r="H516">
            <v>34</v>
          </cell>
        </row>
        <row r="517">
          <cell r="A517" t="str">
            <v>LCB</v>
          </cell>
          <cell r="B517" t="str">
            <v>HAT</v>
          </cell>
          <cell r="C517" t="str">
            <v>M.VSL</v>
          </cell>
          <cell r="D517">
            <v>9</v>
          </cell>
          <cell r="E517">
            <v>18</v>
          </cell>
          <cell r="F517">
            <v>1</v>
          </cell>
          <cell r="G517">
            <v>0</v>
          </cell>
          <cell r="H517">
            <v>46</v>
          </cell>
        </row>
        <row r="518">
          <cell r="A518" t="str">
            <v>LCB</v>
          </cell>
          <cell r="B518" t="str">
            <v>HKG</v>
          </cell>
          <cell r="C518" t="str">
            <v>M.VSL</v>
          </cell>
          <cell r="D518">
            <v>28</v>
          </cell>
          <cell r="E518">
            <v>83</v>
          </cell>
          <cell r="F518">
            <v>0</v>
          </cell>
          <cell r="G518">
            <v>0</v>
          </cell>
          <cell r="H518">
            <v>194</v>
          </cell>
        </row>
        <row r="519">
          <cell r="A519" t="str">
            <v>LCB</v>
          </cell>
          <cell r="B519" t="str">
            <v>HKG</v>
          </cell>
          <cell r="C519" t="str">
            <v>C.FDR</v>
          </cell>
          <cell r="D519">
            <v>9</v>
          </cell>
          <cell r="E519">
            <v>9</v>
          </cell>
          <cell r="F519">
            <v>0</v>
          </cell>
          <cell r="G519">
            <v>0</v>
          </cell>
          <cell r="H519">
            <v>27</v>
          </cell>
        </row>
        <row r="520">
          <cell r="A520" t="str">
            <v>LCB</v>
          </cell>
          <cell r="B520" t="str">
            <v>HMN</v>
          </cell>
          <cell r="C520" t="str">
            <v>M.VSL</v>
          </cell>
          <cell r="D520">
            <v>19</v>
          </cell>
          <cell r="E520">
            <v>1</v>
          </cell>
          <cell r="F520">
            <v>0</v>
          </cell>
          <cell r="G520">
            <v>0</v>
          </cell>
          <cell r="H520">
            <v>21</v>
          </cell>
        </row>
        <row r="521">
          <cell r="A521" t="str">
            <v>LCB</v>
          </cell>
          <cell r="B521" t="str">
            <v>KEE</v>
          </cell>
          <cell r="C521" t="str">
            <v>M.VSL</v>
          </cell>
          <cell r="D521">
            <v>1</v>
          </cell>
          <cell r="E521">
            <v>0</v>
          </cell>
          <cell r="F521">
            <v>0</v>
          </cell>
          <cell r="G521">
            <v>0</v>
          </cell>
          <cell r="H521">
            <v>1</v>
          </cell>
        </row>
        <row r="522">
          <cell r="A522" t="str">
            <v>LCB</v>
          </cell>
          <cell r="B522" t="str">
            <v>KOB</v>
          </cell>
          <cell r="C522" t="str">
            <v>M.VSL</v>
          </cell>
          <cell r="D522">
            <v>17</v>
          </cell>
          <cell r="E522">
            <v>13</v>
          </cell>
          <cell r="F522">
            <v>0</v>
          </cell>
          <cell r="G522">
            <v>0</v>
          </cell>
          <cell r="H522">
            <v>43</v>
          </cell>
        </row>
        <row r="523">
          <cell r="A523" t="str">
            <v>LCB</v>
          </cell>
          <cell r="B523" t="str">
            <v>MAN</v>
          </cell>
          <cell r="C523" t="str">
            <v>M.VSL</v>
          </cell>
          <cell r="D523">
            <v>15</v>
          </cell>
          <cell r="E523">
            <v>131</v>
          </cell>
          <cell r="F523">
            <v>0</v>
          </cell>
          <cell r="G523">
            <v>0</v>
          </cell>
          <cell r="H523">
            <v>277</v>
          </cell>
        </row>
        <row r="524">
          <cell r="A524" t="str">
            <v>LCB</v>
          </cell>
          <cell r="B524" t="str">
            <v>NGO</v>
          </cell>
          <cell r="C524" t="str">
            <v>M.VSL</v>
          </cell>
          <cell r="D524">
            <v>2</v>
          </cell>
          <cell r="E524">
            <v>0</v>
          </cell>
          <cell r="F524">
            <v>0</v>
          </cell>
          <cell r="G524">
            <v>0</v>
          </cell>
          <cell r="H524">
            <v>2</v>
          </cell>
        </row>
        <row r="525">
          <cell r="A525" t="str">
            <v>LCB</v>
          </cell>
          <cell r="B525" t="str">
            <v>OAK</v>
          </cell>
          <cell r="C525" t="str">
            <v>M.VSL</v>
          </cell>
          <cell r="D525">
            <v>9</v>
          </cell>
          <cell r="E525">
            <v>46</v>
          </cell>
          <cell r="F525">
            <v>0</v>
          </cell>
          <cell r="G525">
            <v>0</v>
          </cell>
          <cell r="H525">
            <v>101</v>
          </cell>
        </row>
        <row r="526">
          <cell r="A526" t="str">
            <v>LCB</v>
          </cell>
          <cell r="B526" t="str">
            <v>OSK</v>
          </cell>
          <cell r="C526" t="str">
            <v>M.VSL</v>
          </cell>
          <cell r="D526">
            <v>8</v>
          </cell>
          <cell r="E526">
            <v>36</v>
          </cell>
          <cell r="F526">
            <v>0</v>
          </cell>
          <cell r="G526">
            <v>0</v>
          </cell>
          <cell r="H526">
            <v>80</v>
          </cell>
        </row>
        <row r="527">
          <cell r="A527" t="str">
            <v>LCB</v>
          </cell>
          <cell r="B527" t="str">
            <v>SHZ</v>
          </cell>
          <cell r="C527" t="str">
            <v>M.VSL</v>
          </cell>
          <cell r="D527">
            <v>26</v>
          </cell>
          <cell r="E527">
            <v>7</v>
          </cell>
          <cell r="F527">
            <v>0</v>
          </cell>
          <cell r="G527">
            <v>0</v>
          </cell>
          <cell r="H527">
            <v>40</v>
          </cell>
        </row>
        <row r="528">
          <cell r="A528" t="str">
            <v>LCB</v>
          </cell>
          <cell r="B528" t="str">
            <v>SIN</v>
          </cell>
          <cell r="C528" t="str">
            <v>M.VSL</v>
          </cell>
          <cell r="D528">
            <v>157</v>
          </cell>
          <cell r="E528">
            <v>187</v>
          </cell>
          <cell r="F528">
            <v>4</v>
          </cell>
          <cell r="G528">
            <v>0</v>
          </cell>
          <cell r="H528">
            <v>535</v>
          </cell>
        </row>
        <row r="529">
          <cell r="A529" t="str">
            <v>LCB</v>
          </cell>
          <cell r="B529" t="str">
            <v>SIN</v>
          </cell>
          <cell r="C529" t="str">
            <v>C.FDR</v>
          </cell>
          <cell r="D529">
            <v>3</v>
          </cell>
          <cell r="E529">
            <v>12</v>
          </cell>
          <cell r="F529">
            <v>0</v>
          </cell>
          <cell r="G529">
            <v>0</v>
          </cell>
          <cell r="H529">
            <v>27</v>
          </cell>
        </row>
        <row r="530">
          <cell r="A530" t="str">
            <v>LCB</v>
          </cell>
          <cell r="B530" t="str">
            <v>SPO</v>
          </cell>
          <cell r="C530" t="str">
            <v>M.VSL</v>
          </cell>
          <cell r="D530">
            <v>65</v>
          </cell>
          <cell r="E530">
            <v>382</v>
          </cell>
          <cell r="F530">
            <v>0</v>
          </cell>
          <cell r="G530">
            <v>0</v>
          </cell>
          <cell r="H530">
            <v>829</v>
          </cell>
        </row>
        <row r="531">
          <cell r="A531" t="str">
            <v>LCB</v>
          </cell>
          <cell r="B531" t="str">
            <v>TKY</v>
          </cell>
          <cell r="C531" t="str">
            <v>M.VSL</v>
          </cell>
          <cell r="D531">
            <v>47</v>
          </cell>
          <cell r="E531">
            <v>93</v>
          </cell>
          <cell r="F531">
            <v>0</v>
          </cell>
          <cell r="G531">
            <v>0</v>
          </cell>
          <cell r="H531">
            <v>233</v>
          </cell>
        </row>
        <row r="532">
          <cell r="A532" t="str">
            <v>LCB</v>
          </cell>
          <cell r="B532" t="str">
            <v>YOK</v>
          </cell>
          <cell r="C532" t="str">
            <v>M.VSL</v>
          </cell>
          <cell r="D532">
            <v>11</v>
          </cell>
          <cell r="E532">
            <v>3</v>
          </cell>
          <cell r="F532">
            <v>0</v>
          </cell>
          <cell r="G532">
            <v>0</v>
          </cell>
          <cell r="H532">
            <v>17</v>
          </cell>
        </row>
        <row r="533">
          <cell r="A533" t="str">
            <v>LEH</v>
          </cell>
          <cell r="B533" t="str">
            <v>BSN</v>
          </cell>
          <cell r="C533" t="str">
            <v>M.VSL</v>
          </cell>
          <cell r="D533">
            <v>24</v>
          </cell>
          <cell r="E533">
            <v>36</v>
          </cell>
          <cell r="F533">
            <v>95</v>
          </cell>
          <cell r="G533">
            <v>0</v>
          </cell>
          <cell r="H533">
            <v>191</v>
          </cell>
        </row>
        <row r="534">
          <cell r="A534" t="str">
            <v>LEH</v>
          </cell>
          <cell r="B534" t="str">
            <v>CBO</v>
          </cell>
          <cell r="C534" t="str">
            <v>M.VSL</v>
          </cell>
          <cell r="D534">
            <v>35</v>
          </cell>
          <cell r="E534">
            <v>16</v>
          </cell>
          <cell r="F534">
            <v>0</v>
          </cell>
          <cell r="G534">
            <v>0</v>
          </cell>
          <cell r="H534">
            <v>67</v>
          </cell>
        </row>
        <row r="535">
          <cell r="A535" t="str">
            <v>LEH</v>
          </cell>
          <cell r="B535" t="str">
            <v>CST</v>
          </cell>
          <cell r="C535" t="str">
            <v>M.VSL</v>
          </cell>
          <cell r="D535">
            <v>2</v>
          </cell>
          <cell r="E535">
            <v>11</v>
          </cell>
          <cell r="F535">
            <v>0</v>
          </cell>
          <cell r="G535">
            <v>0</v>
          </cell>
          <cell r="H535">
            <v>24</v>
          </cell>
        </row>
        <row r="536">
          <cell r="A536" t="str">
            <v>LEH</v>
          </cell>
          <cell r="B536" t="str">
            <v>HAM</v>
          </cell>
          <cell r="C536" t="str">
            <v>M.VSL</v>
          </cell>
          <cell r="D536">
            <v>0</v>
          </cell>
          <cell r="E536">
            <v>1</v>
          </cell>
          <cell r="F536">
            <v>0</v>
          </cell>
          <cell r="G536">
            <v>0</v>
          </cell>
          <cell r="H536">
            <v>2</v>
          </cell>
        </row>
        <row r="537">
          <cell r="A537" t="str">
            <v>LEH</v>
          </cell>
          <cell r="B537" t="str">
            <v>HAT</v>
          </cell>
          <cell r="C537" t="str">
            <v>M.VSL</v>
          </cell>
          <cell r="D537">
            <v>4</v>
          </cell>
          <cell r="E537">
            <v>27</v>
          </cell>
          <cell r="F537">
            <v>0</v>
          </cell>
          <cell r="G537">
            <v>30</v>
          </cell>
          <cell r="H537">
            <v>118</v>
          </cell>
        </row>
        <row r="538">
          <cell r="A538" t="str">
            <v>LEH</v>
          </cell>
          <cell r="B538" t="str">
            <v>HKG</v>
          </cell>
          <cell r="C538" t="str">
            <v>M.VSL</v>
          </cell>
          <cell r="D538">
            <v>16</v>
          </cell>
          <cell r="E538">
            <v>20</v>
          </cell>
          <cell r="F538">
            <v>0</v>
          </cell>
          <cell r="G538">
            <v>55</v>
          </cell>
          <cell r="H538">
            <v>166</v>
          </cell>
        </row>
        <row r="539">
          <cell r="A539" t="str">
            <v>LEH</v>
          </cell>
          <cell r="B539" t="str">
            <v>KAO</v>
          </cell>
          <cell r="C539" t="str">
            <v>M.VSL</v>
          </cell>
          <cell r="D539">
            <v>20</v>
          </cell>
          <cell r="E539">
            <v>12</v>
          </cell>
          <cell r="F539">
            <v>0</v>
          </cell>
          <cell r="G539">
            <v>0</v>
          </cell>
          <cell r="H539">
            <v>44</v>
          </cell>
        </row>
        <row r="540">
          <cell r="A540" t="str">
            <v>LEH</v>
          </cell>
          <cell r="B540" t="str">
            <v>KOB</v>
          </cell>
          <cell r="C540" t="str">
            <v>M.VSL</v>
          </cell>
          <cell r="D540">
            <v>32</v>
          </cell>
          <cell r="E540">
            <v>30</v>
          </cell>
          <cell r="F540">
            <v>35</v>
          </cell>
          <cell r="G540">
            <v>0</v>
          </cell>
          <cell r="H540">
            <v>127</v>
          </cell>
        </row>
        <row r="541">
          <cell r="A541" t="str">
            <v>LEH</v>
          </cell>
          <cell r="B541" t="str">
            <v>KYG</v>
          </cell>
          <cell r="C541" t="str">
            <v>M.VSL</v>
          </cell>
          <cell r="D541">
            <v>5</v>
          </cell>
          <cell r="E541">
            <v>55</v>
          </cell>
          <cell r="F541">
            <v>58</v>
          </cell>
          <cell r="G541">
            <v>0</v>
          </cell>
          <cell r="H541">
            <v>173</v>
          </cell>
        </row>
        <row r="542">
          <cell r="A542" t="str">
            <v>LEH</v>
          </cell>
          <cell r="B542" t="str">
            <v>NGO</v>
          </cell>
          <cell r="C542" t="str">
            <v>M.VSL</v>
          </cell>
          <cell r="D542">
            <v>15</v>
          </cell>
          <cell r="E542">
            <v>17</v>
          </cell>
          <cell r="F542">
            <v>0</v>
          </cell>
          <cell r="G542">
            <v>101</v>
          </cell>
          <cell r="H542">
            <v>251</v>
          </cell>
        </row>
        <row r="543">
          <cell r="A543" t="str">
            <v>LEH</v>
          </cell>
          <cell r="B543" t="str">
            <v>NOU</v>
          </cell>
          <cell r="C543" t="str">
            <v>M.VSL</v>
          </cell>
          <cell r="D543">
            <v>8</v>
          </cell>
          <cell r="E543">
            <v>3</v>
          </cell>
          <cell r="F543">
            <v>0</v>
          </cell>
          <cell r="G543">
            <v>0</v>
          </cell>
          <cell r="H543">
            <v>14</v>
          </cell>
        </row>
        <row r="544">
          <cell r="A544" t="str">
            <v>LEH</v>
          </cell>
          <cell r="B544" t="str">
            <v>NRF</v>
          </cell>
          <cell r="C544" t="str">
            <v>M.VSL</v>
          </cell>
          <cell r="D544">
            <v>1</v>
          </cell>
          <cell r="E544">
            <v>6</v>
          </cell>
          <cell r="F544">
            <v>0</v>
          </cell>
          <cell r="G544">
            <v>0</v>
          </cell>
          <cell r="H544">
            <v>13</v>
          </cell>
        </row>
        <row r="545">
          <cell r="A545" t="str">
            <v>LEH</v>
          </cell>
          <cell r="B545" t="str">
            <v>NYC</v>
          </cell>
          <cell r="C545" t="str">
            <v>M.VSL</v>
          </cell>
          <cell r="D545">
            <v>9</v>
          </cell>
          <cell r="E545">
            <v>36</v>
          </cell>
          <cell r="F545">
            <v>0</v>
          </cell>
          <cell r="G545">
            <v>0</v>
          </cell>
          <cell r="H545">
            <v>81</v>
          </cell>
        </row>
        <row r="546">
          <cell r="A546" t="str">
            <v>LEH</v>
          </cell>
          <cell r="B546" t="str">
            <v>OAK</v>
          </cell>
          <cell r="C546" t="str">
            <v>M.VSL</v>
          </cell>
          <cell r="D546">
            <v>9</v>
          </cell>
          <cell r="E546">
            <v>15</v>
          </cell>
          <cell r="F546">
            <v>0</v>
          </cell>
          <cell r="G546">
            <v>0</v>
          </cell>
          <cell r="H546">
            <v>39</v>
          </cell>
        </row>
        <row r="547">
          <cell r="A547" t="str">
            <v>LEH</v>
          </cell>
          <cell r="B547" t="str">
            <v>PPT</v>
          </cell>
          <cell r="C547" t="str">
            <v>M.VSL</v>
          </cell>
          <cell r="D547">
            <v>8</v>
          </cell>
          <cell r="E547">
            <v>0</v>
          </cell>
          <cell r="F547">
            <v>0</v>
          </cell>
          <cell r="G547">
            <v>0</v>
          </cell>
          <cell r="H547">
            <v>8</v>
          </cell>
        </row>
        <row r="548">
          <cell r="A548" t="str">
            <v>LEH</v>
          </cell>
          <cell r="B548" t="str">
            <v>QDO</v>
          </cell>
          <cell r="C548" t="str">
            <v>M.VSL</v>
          </cell>
          <cell r="D548">
            <v>0</v>
          </cell>
          <cell r="E548">
            <v>0</v>
          </cell>
          <cell r="F548">
            <v>19</v>
          </cell>
          <cell r="G548">
            <v>0</v>
          </cell>
          <cell r="H548">
            <v>19</v>
          </cell>
        </row>
        <row r="549">
          <cell r="A549" t="str">
            <v>LEH</v>
          </cell>
          <cell r="B549" t="str">
            <v>SHA</v>
          </cell>
          <cell r="C549" t="str">
            <v>M.VSL</v>
          </cell>
          <cell r="D549">
            <v>0</v>
          </cell>
          <cell r="E549">
            <v>0</v>
          </cell>
          <cell r="F549">
            <v>0</v>
          </cell>
          <cell r="G549">
            <v>25</v>
          </cell>
          <cell r="H549">
            <v>50</v>
          </cell>
        </row>
        <row r="550">
          <cell r="A550" t="str">
            <v>LEH</v>
          </cell>
          <cell r="B550" t="str">
            <v>SIN</v>
          </cell>
          <cell r="C550" t="str">
            <v>M.VSL</v>
          </cell>
          <cell r="D550">
            <v>90</v>
          </cell>
          <cell r="E550">
            <v>143</v>
          </cell>
          <cell r="F550">
            <v>175</v>
          </cell>
          <cell r="G550">
            <v>30</v>
          </cell>
          <cell r="H550">
            <v>611</v>
          </cell>
        </row>
        <row r="551">
          <cell r="A551" t="str">
            <v>LEH</v>
          </cell>
          <cell r="B551" t="str">
            <v>TKY</v>
          </cell>
          <cell r="C551" t="str">
            <v>M.VSL</v>
          </cell>
          <cell r="D551">
            <v>54</v>
          </cell>
          <cell r="E551">
            <v>66</v>
          </cell>
          <cell r="F551">
            <v>0</v>
          </cell>
          <cell r="G551">
            <v>0</v>
          </cell>
          <cell r="H551">
            <v>186</v>
          </cell>
        </row>
        <row r="552">
          <cell r="A552" t="str">
            <v>LOS</v>
          </cell>
          <cell r="B552" t="str">
            <v>KOB</v>
          </cell>
          <cell r="C552" t="str">
            <v>M.VSL</v>
          </cell>
          <cell r="D552">
            <v>4</v>
          </cell>
          <cell r="E552">
            <v>4</v>
          </cell>
          <cell r="F552">
            <v>0</v>
          </cell>
          <cell r="G552">
            <v>0</v>
          </cell>
          <cell r="H552">
            <v>12</v>
          </cell>
        </row>
        <row r="553">
          <cell r="A553" t="str">
            <v>LOS</v>
          </cell>
          <cell r="B553" t="str">
            <v>NGO</v>
          </cell>
          <cell r="C553" t="str">
            <v>M.VSL</v>
          </cell>
          <cell r="D553">
            <v>26</v>
          </cell>
          <cell r="E553">
            <v>73</v>
          </cell>
          <cell r="F553">
            <v>0</v>
          </cell>
          <cell r="G553">
            <v>0</v>
          </cell>
          <cell r="H553">
            <v>172</v>
          </cell>
        </row>
        <row r="554">
          <cell r="A554" t="str">
            <v>LOS</v>
          </cell>
          <cell r="B554" t="str">
            <v>SHA</v>
          </cell>
          <cell r="C554" t="str">
            <v>M.VSL</v>
          </cell>
          <cell r="D554">
            <v>27</v>
          </cell>
          <cell r="E554">
            <v>62</v>
          </cell>
          <cell r="F554">
            <v>50</v>
          </cell>
          <cell r="G554">
            <v>328</v>
          </cell>
          <cell r="H554">
            <v>857</v>
          </cell>
        </row>
        <row r="555">
          <cell r="A555" t="str">
            <v>LOS</v>
          </cell>
          <cell r="B555" t="str">
            <v>TKY</v>
          </cell>
          <cell r="C555" t="str">
            <v>M.VSL</v>
          </cell>
          <cell r="D555">
            <v>83</v>
          </cell>
          <cell r="E555">
            <v>234</v>
          </cell>
          <cell r="F555">
            <v>0</v>
          </cell>
          <cell r="G555">
            <v>0</v>
          </cell>
          <cell r="H555">
            <v>551</v>
          </cell>
        </row>
        <row r="556">
          <cell r="A556" t="str">
            <v>LYG</v>
          </cell>
          <cell r="B556" t="str">
            <v>BSN</v>
          </cell>
          <cell r="C556" t="str">
            <v>C.FDR</v>
          </cell>
          <cell r="D556">
            <v>0</v>
          </cell>
          <cell r="E556">
            <v>6</v>
          </cell>
          <cell r="F556">
            <v>0</v>
          </cell>
          <cell r="G556">
            <v>0</v>
          </cell>
          <cell r="H556">
            <v>12</v>
          </cell>
        </row>
        <row r="557">
          <cell r="A557" t="str">
            <v>MAD</v>
          </cell>
          <cell r="B557" t="str">
            <v>CBO</v>
          </cell>
          <cell r="C557" t="str">
            <v>C.FDR</v>
          </cell>
          <cell r="D557">
            <v>38</v>
          </cell>
          <cell r="E557">
            <v>40</v>
          </cell>
          <cell r="F557">
            <v>0</v>
          </cell>
          <cell r="G557">
            <v>0</v>
          </cell>
          <cell r="H557">
            <v>118</v>
          </cell>
        </row>
        <row r="558">
          <cell r="A558" t="str">
            <v>MAD</v>
          </cell>
          <cell r="B558" t="str">
            <v>PKE</v>
          </cell>
          <cell r="C558" t="str">
            <v>C.FDR</v>
          </cell>
          <cell r="D558">
            <v>0</v>
          </cell>
          <cell r="E558">
            <v>0</v>
          </cell>
          <cell r="F558">
            <v>0</v>
          </cell>
          <cell r="G558">
            <v>20</v>
          </cell>
          <cell r="H558">
            <v>40</v>
          </cell>
        </row>
        <row r="559">
          <cell r="A559" t="str">
            <v>MAD</v>
          </cell>
          <cell r="B559" t="str">
            <v>SIN</v>
          </cell>
          <cell r="C559" t="str">
            <v>C.FDR</v>
          </cell>
          <cell r="D559">
            <v>104</v>
          </cell>
          <cell r="E559">
            <v>79</v>
          </cell>
          <cell r="F559">
            <v>0</v>
          </cell>
          <cell r="G559">
            <v>9</v>
          </cell>
          <cell r="H559">
            <v>280</v>
          </cell>
        </row>
        <row r="560">
          <cell r="A560" t="str">
            <v>MAI</v>
          </cell>
          <cell r="B560" t="str">
            <v>BRV</v>
          </cell>
          <cell r="C560" t="str">
            <v>M.VSL</v>
          </cell>
          <cell r="D560">
            <v>1</v>
          </cell>
          <cell r="E560">
            <v>3</v>
          </cell>
          <cell r="F560">
            <v>0</v>
          </cell>
          <cell r="G560">
            <v>0</v>
          </cell>
          <cell r="H560">
            <v>7</v>
          </cell>
        </row>
        <row r="561">
          <cell r="A561" t="str">
            <v>MAI</v>
          </cell>
          <cell r="B561" t="str">
            <v>FEL</v>
          </cell>
          <cell r="C561" t="str">
            <v>M.VSL</v>
          </cell>
          <cell r="D561">
            <v>2</v>
          </cell>
          <cell r="E561">
            <v>1</v>
          </cell>
          <cell r="F561">
            <v>0</v>
          </cell>
          <cell r="G561">
            <v>0</v>
          </cell>
          <cell r="H561">
            <v>4</v>
          </cell>
        </row>
        <row r="562">
          <cell r="A562" t="str">
            <v>MAI</v>
          </cell>
          <cell r="B562" t="str">
            <v>RTM</v>
          </cell>
          <cell r="C562" t="str">
            <v>M.VSL</v>
          </cell>
          <cell r="D562">
            <v>1</v>
          </cell>
          <cell r="E562">
            <v>1</v>
          </cell>
          <cell r="F562">
            <v>0</v>
          </cell>
          <cell r="G562">
            <v>0</v>
          </cell>
          <cell r="H562">
            <v>3</v>
          </cell>
        </row>
        <row r="563">
          <cell r="A563" t="str">
            <v>MAN</v>
          </cell>
          <cell r="B563" t="str">
            <v>BSN</v>
          </cell>
          <cell r="C563" t="str">
            <v>C.FDR</v>
          </cell>
          <cell r="D563">
            <v>0</v>
          </cell>
          <cell r="E563">
            <v>0</v>
          </cell>
          <cell r="F563">
            <v>132</v>
          </cell>
          <cell r="G563">
            <v>189</v>
          </cell>
          <cell r="H563">
            <v>510</v>
          </cell>
        </row>
        <row r="564">
          <cell r="A564" t="str">
            <v>MAN</v>
          </cell>
          <cell r="B564" t="str">
            <v>HKG</v>
          </cell>
          <cell r="C564" t="str">
            <v>C.FDR</v>
          </cell>
          <cell r="D564">
            <v>0</v>
          </cell>
          <cell r="E564">
            <v>6</v>
          </cell>
          <cell r="F564">
            <v>0</v>
          </cell>
          <cell r="G564">
            <v>166</v>
          </cell>
          <cell r="H564">
            <v>344</v>
          </cell>
        </row>
        <row r="565">
          <cell r="A565" t="str">
            <v>MAN</v>
          </cell>
          <cell r="B565" t="str">
            <v>KAO</v>
          </cell>
          <cell r="C565" t="str">
            <v>M.VSL</v>
          </cell>
          <cell r="D565">
            <v>55</v>
          </cell>
          <cell r="E565">
            <v>169</v>
          </cell>
          <cell r="F565">
            <v>0</v>
          </cell>
          <cell r="G565">
            <v>14</v>
          </cell>
          <cell r="H565">
            <v>421</v>
          </cell>
        </row>
        <row r="566">
          <cell r="A566" t="str">
            <v>MAN</v>
          </cell>
          <cell r="B566" t="str">
            <v>KAO</v>
          </cell>
          <cell r="C566" t="str">
            <v>C.FDR</v>
          </cell>
          <cell r="D566">
            <v>0</v>
          </cell>
          <cell r="E566">
            <v>4</v>
          </cell>
          <cell r="F566">
            <v>0</v>
          </cell>
          <cell r="G566">
            <v>41</v>
          </cell>
          <cell r="H566">
            <v>90</v>
          </cell>
        </row>
        <row r="567">
          <cell r="A567" t="str">
            <v>MAN</v>
          </cell>
          <cell r="B567" t="str">
            <v>KOB</v>
          </cell>
          <cell r="C567" t="str">
            <v>M.VSL</v>
          </cell>
          <cell r="D567">
            <v>27</v>
          </cell>
          <cell r="E567">
            <v>9</v>
          </cell>
          <cell r="F567">
            <v>0</v>
          </cell>
          <cell r="G567">
            <v>0</v>
          </cell>
          <cell r="H567">
            <v>45</v>
          </cell>
        </row>
        <row r="568">
          <cell r="A568" t="str">
            <v>MAN</v>
          </cell>
          <cell r="B568" t="str">
            <v>OSK</v>
          </cell>
          <cell r="C568" t="str">
            <v>M.VSL</v>
          </cell>
          <cell r="D568">
            <v>23</v>
          </cell>
          <cell r="E568">
            <v>12</v>
          </cell>
          <cell r="F568">
            <v>0</v>
          </cell>
          <cell r="G568">
            <v>0</v>
          </cell>
          <cell r="H568">
            <v>47</v>
          </cell>
        </row>
        <row r="569">
          <cell r="A569" t="str">
            <v>MAN</v>
          </cell>
          <cell r="B569" t="str">
            <v>PGD</v>
          </cell>
          <cell r="C569" t="str">
            <v>C.FDR</v>
          </cell>
          <cell r="D569">
            <v>0</v>
          </cell>
          <cell r="E569">
            <v>1</v>
          </cell>
          <cell r="F569">
            <v>0</v>
          </cell>
          <cell r="G569">
            <v>0</v>
          </cell>
          <cell r="H569">
            <v>2</v>
          </cell>
        </row>
        <row r="570">
          <cell r="A570" t="str">
            <v>MAN</v>
          </cell>
          <cell r="B570" t="str">
            <v>SHZ</v>
          </cell>
          <cell r="C570" t="str">
            <v>M.VSL</v>
          </cell>
          <cell r="D570">
            <v>6</v>
          </cell>
          <cell r="E570">
            <v>16</v>
          </cell>
          <cell r="F570">
            <v>0</v>
          </cell>
          <cell r="G570">
            <v>0</v>
          </cell>
          <cell r="H570">
            <v>38</v>
          </cell>
        </row>
        <row r="571">
          <cell r="A571" t="str">
            <v>MAN</v>
          </cell>
          <cell r="B571" t="str">
            <v>SIN</v>
          </cell>
          <cell r="C571" t="str">
            <v>C.FDR</v>
          </cell>
          <cell r="D571">
            <v>1</v>
          </cell>
          <cell r="E571">
            <v>11</v>
          </cell>
          <cell r="F571">
            <v>0</v>
          </cell>
          <cell r="G571">
            <v>0</v>
          </cell>
          <cell r="H571">
            <v>23</v>
          </cell>
        </row>
        <row r="572">
          <cell r="A572" t="str">
            <v>MAN</v>
          </cell>
          <cell r="B572" t="str">
            <v>TKY</v>
          </cell>
          <cell r="C572" t="str">
            <v>M.VSL</v>
          </cell>
          <cell r="D572">
            <v>1</v>
          </cell>
          <cell r="E572">
            <v>1</v>
          </cell>
          <cell r="F572">
            <v>0</v>
          </cell>
          <cell r="G572">
            <v>0</v>
          </cell>
          <cell r="H572">
            <v>3</v>
          </cell>
        </row>
        <row r="573">
          <cell r="A573" t="str">
            <v>MEL</v>
          </cell>
          <cell r="B573" t="str">
            <v>BSN</v>
          </cell>
          <cell r="C573" t="str">
            <v>M.VSL</v>
          </cell>
          <cell r="D573">
            <v>52</v>
          </cell>
          <cell r="E573">
            <v>26</v>
          </cell>
          <cell r="F573">
            <v>10</v>
          </cell>
          <cell r="G573">
            <v>0</v>
          </cell>
          <cell r="H573">
            <v>114</v>
          </cell>
        </row>
        <row r="574">
          <cell r="A574" t="str">
            <v>MEL</v>
          </cell>
          <cell r="B574" t="str">
            <v>HAT</v>
          </cell>
          <cell r="C574" t="str">
            <v>M.VSL</v>
          </cell>
          <cell r="D574">
            <v>2</v>
          </cell>
          <cell r="E574">
            <v>0</v>
          </cell>
          <cell r="F574">
            <v>0</v>
          </cell>
          <cell r="G574">
            <v>0</v>
          </cell>
          <cell r="H574">
            <v>2</v>
          </cell>
        </row>
        <row r="575">
          <cell r="A575" t="str">
            <v>MEL</v>
          </cell>
          <cell r="B575" t="str">
            <v>HKG</v>
          </cell>
          <cell r="C575" t="str">
            <v>M.VSL</v>
          </cell>
          <cell r="D575">
            <v>16</v>
          </cell>
          <cell r="E575">
            <v>9</v>
          </cell>
          <cell r="F575">
            <v>0</v>
          </cell>
          <cell r="G575">
            <v>0</v>
          </cell>
          <cell r="H575">
            <v>34</v>
          </cell>
        </row>
        <row r="576">
          <cell r="A576" t="str">
            <v>MEL</v>
          </cell>
          <cell r="B576" t="str">
            <v>KAO</v>
          </cell>
          <cell r="C576" t="str">
            <v>M.VSL</v>
          </cell>
          <cell r="D576">
            <v>5</v>
          </cell>
          <cell r="E576">
            <v>1</v>
          </cell>
          <cell r="F576">
            <v>0</v>
          </cell>
          <cell r="G576">
            <v>0</v>
          </cell>
          <cell r="H576">
            <v>7</v>
          </cell>
        </row>
        <row r="577">
          <cell r="A577" t="str">
            <v>MEL</v>
          </cell>
          <cell r="B577" t="str">
            <v>NGO</v>
          </cell>
          <cell r="C577" t="str">
            <v>M.VSL</v>
          </cell>
          <cell r="D577">
            <v>6</v>
          </cell>
          <cell r="E577">
            <v>4</v>
          </cell>
          <cell r="F577">
            <v>0</v>
          </cell>
          <cell r="G577">
            <v>0</v>
          </cell>
          <cell r="H577">
            <v>14</v>
          </cell>
        </row>
        <row r="578">
          <cell r="A578" t="str">
            <v>MEL</v>
          </cell>
          <cell r="B578" t="str">
            <v>OSK</v>
          </cell>
          <cell r="C578" t="str">
            <v>M.VSL</v>
          </cell>
          <cell r="D578">
            <v>1</v>
          </cell>
          <cell r="E578">
            <v>0</v>
          </cell>
          <cell r="F578">
            <v>0</v>
          </cell>
          <cell r="G578">
            <v>0</v>
          </cell>
          <cell r="H578">
            <v>1</v>
          </cell>
        </row>
        <row r="579">
          <cell r="A579" t="str">
            <v>MEL</v>
          </cell>
          <cell r="B579" t="str">
            <v>PKE</v>
          </cell>
          <cell r="C579" t="str">
            <v>M.VSL</v>
          </cell>
          <cell r="D579">
            <v>35</v>
          </cell>
          <cell r="E579">
            <v>7</v>
          </cell>
          <cell r="F579">
            <v>0</v>
          </cell>
          <cell r="G579">
            <v>0</v>
          </cell>
          <cell r="H579">
            <v>49</v>
          </cell>
        </row>
        <row r="580">
          <cell r="A580" t="str">
            <v>MEL</v>
          </cell>
          <cell r="B580" t="str">
            <v>SHA</v>
          </cell>
          <cell r="C580" t="str">
            <v>M.VSL</v>
          </cell>
          <cell r="D580">
            <v>4</v>
          </cell>
          <cell r="E580">
            <v>1</v>
          </cell>
          <cell r="F580">
            <v>0</v>
          </cell>
          <cell r="G580">
            <v>9</v>
          </cell>
          <cell r="H580">
            <v>24</v>
          </cell>
        </row>
        <row r="581">
          <cell r="A581" t="str">
            <v>MEL</v>
          </cell>
          <cell r="B581" t="str">
            <v>SIN</v>
          </cell>
          <cell r="C581" t="str">
            <v>M.VSL</v>
          </cell>
          <cell r="D581">
            <v>57</v>
          </cell>
          <cell r="E581">
            <v>19</v>
          </cell>
          <cell r="F581">
            <v>0</v>
          </cell>
          <cell r="G581">
            <v>0</v>
          </cell>
          <cell r="H581">
            <v>95</v>
          </cell>
        </row>
        <row r="582">
          <cell r="A582" t="str">
            <v>MEL</v>
          </cell>
          <cell r="B582" t="str">
            <v>YOA</v>
          </cell>
          <cell r="C582" t="str">
            <v>M.VSL</v>
          </cell>
          <cell r="D582">
            <v>1</v>
          </cell>
          <cell r="E582">
            <v>1</v>
          </cell>
          <cell r="F582">
            <v>0</v>
          </cell>
          <cell r="G582">
            <v>0</v>
          </cell>
          <cell r="H582">
            <v>3</v>
          </cell>
        </row>
        <row r="583">
          <cell r="A583" t="str">
            <v>MEL</v>
          </cell>
          <cell r="B583" t="str">
            <v>YOK</v>
          </cell>
          <cell r="C583" t="str">
            <v>M.VSL</v>
          </cell>
          <cell r="D583">
            <v>5</v>
          </cell>
          <cell r="E583">
            <v>7</v>
          </cell>
          <cell r="F583">
            <v>0</v>
          </cell>
          <cell r="G583">
            <v>0</v>
          </cell>
          <cell r="H583">
            <v>19</v>
          </cell>
        </row>
        <row r="584">
          <cell r="A584" t="str">
            <v>MES</v>
          </cell>
          <cell r="B584" t="str">
            <v>PSA</v>
          </cell>
          <cell r="C584" t="str">
            <v>C.FDR</v>
          </cell>
          <cell r="D584">
            <v>0</v>
          </cell>
          <cell r="E584">
            <v>1</v>
          </cell>
          <cell r="F584">
            <v>0</v>
          </cell>
          <cell r="G584">
            <v>0</v>
          </cell>
          <cell r="H584">
            <v>2</v>
          </cell>
        </row>
        <row r="585">
          <cell r="A585" t="str">
            <v>MIZ</v>
          </cell>
          <cell r="B585" t="str">
            <v>BSN</v>
          </cell>
          <cell r="C585" t="str">
            <v>C.FDR</v>
          </cell>
          <cell r="D585">
            <v>0</v>
          </cell>
          <cell r="E585">
            <v>0</v>
          </cell>
          <cell r="F585">
            <v>8</v>
          </cell>
          <cell r="G585">
            <v>3</v>
          </cell>
          <cell r="H585">
            <v>14</v>
          </cell>
        </row>
        <row r="586">
          <cell r="A586" t="str">
            <v>MOJ</v>
          </cell>
          <cell r="B586" t="str">
            <v>BSN</v>
          </cell>
          <cell r="C586" t="str">
            <v>C.FDR</v>
          </cell>
          <cell r="D586">
            <v>4</v>
          </cell>
          <cell r="E586">
            <v>2</v>
          </cell>
          <cell r="F586">
            <v>5</v>
          </cell>
          <cell r="G586">
            <v>9</v>
          </cell>
          <cell r="H586">
            <v>31</v>
          </cell>
        </row>
        <row r="587">
          <cell r="A587" t="str">
            <v>MSN</v>
          </cell>
          <cell r="B587" t="str">
            <v>VOS</v>
          </cell>
          <cell r="C587" t="str">
            <v>M.VSL</v>
          </cell>
          <cell r="D587">
            <v>2</v>
          </cell>
          <cell r="E587">
            <v>115</v>
          </cell>
          <cell r="F587">
            <v>0</v>
          </cell>
          <cell r="G587">
            <v>0</v>
          </cell>
          <cell r="H587">
            <v>232</v>
          </cell>
        </row>
        <row r="588">
          <cell r="A588" t="str">
            <v>MST</v>
          </cell>
          <cell r="B588" t="str">
            <v>COC</v>
          </cell>
          <cell r="C588" t="str">
            <v>C.FDR</v>
          </cell>
          <cell r="D588">
            <v>0</v>
          </cell>
          <cell r="E588">
            <v>0</v>
          </cell>
          <cell r="F588">
            <v>2</v>
          </cell>
          <cell r="G588">
            <v>0</v>
          </cell>
          <cell r="H588">
            <v>2</v>
          </cell>
        </row>
        <row r="589">
          <cell r="A589" t="str">
            <v>MST</v>
          </cell>
          <cell r="B589" t="str">
            <v>DXB</v>
          </cell>
          <cell r="C589" t="str">
            <v>C.FDR</v>
          </cell>
          <cell r="D589">
            <v>1</v>
          </cell>
          <cell r="E589">
            <v>1</v>
          </cell>
          <cell r="F589">
            <v>24</v>
          </cell>
          <cell r="G589">
            <v>30</v>
          </cell>
          <cell r="H589">
            <v>87</v>
          </cell>
        </row>
        <row r="590">
          <cell r="A590" t="str">
            <v>MST</v>
          </cell>
          <cell r="B590" t="str">
            <v>KAH</v>
          </cell>
          <cell r="C590" t="str">
            <v>C.FDR</v>
          </cell>
          <cell r="D590">
            <v>0</v>
          </cell>
          <cell r="E590">
            <v>0</v>
          </cell>
          <cell r="F590">
            <v>1</v>
          </cell>
          <cell r="G590">
            <v>13</v>
          </cell>
          <cell r="H590">
            <v>27</v>
          </cell>
        </row>
        <row r="591">
          <cell r="A591" t="str">
            <v>MUA</v>
          </cell>
          <cell r="B591" t="str">
            <v>SIN</v>
          </cell>
          <cell r="C591" t="str">
            <v>C.FDR</v>
          </cell>
          <cell r="D591">
            <v>5</v>
          </cell>
          <cell r="E591">
            <v>3</v>
          </cell>
          <cell r="F591">
            <v>13</v>
          </cell>
          <cell r="G591">
            <v>8</v>
          </cell>
          <cell r="H591">
            <v>40</v>
          </cell>
        </row>
        <row r="592">
          <cell r="A592" t="str">
            <v>MUR</v>
          </cell>
          <cell r="B592" t="str">
            <v>BSN</v>
          </cell>
          <cell r="C592" t="str">
            <v>C.FDR</v>
          </cell>
          <cell r="D592">
            <v>0</v>
          </cell>
          <cell r="E592">
            <v>8</v>
          </cell>
          <cell r="F592">
            <v>1</v>
          </cell>
          <cell r="G592">
            <v>0</v>
          </cell>
          <cell r="H592">
            <v>17</v>
          </cell>
        </row>
        <row r="593">
          <cell r="A593" t="str">
            <v>NAI</v>
          </cell>
          <cell r="B593" t="str">
            <v>BSN</v>
          </cell>
          <cell r="C593" t="str">
            <v>C.FDR</v>
          </cell>
          <cell r="D593">
            <v>3</v>
          </cell>
          <cell r="E593">
            <v>3</v>
          </cell>
          <cell r="F593">
            <v>0</v>
          </cell>
          <cell r="G593">
            <v>17</v>
          </cell>
          <cell r="H593">
            <v>43</v>
          </cell>
        </row>
        <row r="594">
          <cell r="A594" t="str">
            <v>NGB</v>
          </cell>
          <cell r="B594" t="str">
            <v>BNA</v>
          </cell>
          <cell r="C594" t="str">
            <v>M.VSL</v>
          </cell>
          <cell r="D594">
            <v>1</v>
          </cell>
          <cell r="E594">
            <v>2</v>
          </cell>
          <cell r="F594">
            <v>0</v>
          </cell>
          <cell r="G594">
            <v>0</v>
          </cell>
          <cell r="H594">
            <v>5</v>
          </cell>
        </row>
        <row r="595">
          <cell r="A595" t="str">
            <v>NGB</v>
          </cell>
          <cell r="B595" t="str">
            <v>BSN</v>
          </cell>
          <cell r="C595" t="str">
            <v>M.VSL</v>
          </cell>
          <cell r="D595">
            <v>9</v>
          </cell>
          <cell r="E595">
            <v>85</v>
          </cell>
          <cell r="F595">
            <v>0</v>
          </cell>
          <cell r="G595">
            <v>0</v>
          </cell>
          <cell r="H595">
            <v>179</v>
          </cell>
        </row>
        <row r="596">
          <cell r="A596" t="str">
            <v>NGB</v>
          </cell>
          <cell r="B596" t="str">
            <v>BSN</v>
          </cell>
          <cell r="C596" t="str">
            <v>C.FDR</v>
          </cell>
          <cell r="D596">
            <v>5</v>
          </cell>
          <cell r="E596">
            <v>57</v>
          </cell>
          <cell r="F596">
            <v>0</v>
          </cell>
          <cell r="G596">
            <v>0</v>
          </cell>
          <cell r="H596">
            <v>119</v>
          </cell>
        </row>
        <row r="597">
          <cell r="A597" t="str">
            <v>NGB</v>
          </cell>
          <cell r="B597" t="str">
            <v>DXB</v>
          </cell>
          <cell r="C597" t="str">
            <v>M.VSL</v>
          </cell>
          <cell r="D597">
            <v>61</v>
          </cell>
          <cell r="E597">
            <v>119</v>
          </cell>
          <cell r="F597">
            <v>0</v>
          </cell>
          <cell r="G597">
            <v>0</v>
          </cell>
          <cell r="H597">
            <v>299</v>
          </cell>
        </row>
        <row r="598">
          <cell r="A598" t="str">
            <v>NGB</v>
          </cell>
          <cell r="B598" t="str">
            <v>HAM</v>
          </cell>
          <cell r="C598" t="str">
            <v>M.VSL</v>
          </cell>
          <cell r="D598">
            <v>33</v>
          </cell>
          <cell r="E598">
            <v>50</v>
          </cell>
          <cell r="F598">
            <v>2</v>
          </cell>
          <cell r="G598">
            <v>5</v>
          </cell>
          <cell r="H598">
            <v>145</v>
          </cell>
        </row>
        <row r="599">
          <cell r="A599" t="str">
            <v>NGB</v>
          </cell>
          <cell r="B599" t="str">
            <v>HKG</v>
          </cell>
          <cell r="C599" t="str">
            <v>M.VSL</v>
          </cell>
          <cell r="D599">
            <v>2</v>
          </cell>
          <cell r="E599">
            <v>14</v>
          </cell>
          <cell r="F599">
            <v>0</v>
          </cell>
          <cell r="G599">
            <v>0</v>
          </cell>
          <cell r="H599">
            <v>30</v>
          </cell>
        </row>
        <row r="600">
          <cell r="A600" t="str">
            <v>NGB</v>
          </cell>
          <cell r="B600" t="str">
            <v>HKG</v>
          </cell>
          <cell r="C600" t="str">
            <v>C.FDR</v>
          </cell>
          <cell r="D600">
            <v>0</v>
          </cell>
          <cell r="E600">
            <v>4</v>
          </cell>
          <cell r="F600">
            <v>0</v>
          </cell>
          <cell r="G600">
            <v>0</v>
          </cell>
          <cell r="H600">
            <v>8</v>
          </cell>
        </row>
        <row r="601">
          <cell r="A601" t="str">
            <v>NGB</v>
          </cell>
          <cell r="B601" t="str">
            <v>LEH</v>
          </cell>
          <cell r="C601" t="str">
            <v>M.VSL</v>
          </cell>
          <cell r="D601">
            <v>1</v>
          </cell>
          <cell r="E601">
            <v>3</v>
          </cell>
          <cell r="F601">
            <v>0</v>
          </cell>
          <cell r="G601">
            <v>0</v>
          </cell>
          <cell r="H601">
            <v>7</v>
          </cell>
        </row>
        <row r="602">
          <cell r="A602" t="str">
            <v>NGB</v>
          </cell>
          <cell r="B602" t="str">
            <v>SIN</v>
          </cell>
          <cell r="C602" t="str">
            <v>M.VSL</v>
          </cell>
          <cell r="D602">
            <v>88</v>
          </cell>
          <cell r="E602">
            <v>151</v>
          </cell>
          <cell r="F602">
            <v>0</v>
          </cell>
          <cell r="G602">
            <v>0</v>
          </cell>
          <cell r="H602">
            <v>390</v>
          </cell>
        </row>
        <row r="603">
          <cell r="A603" t="str">
            <v>NGB</v>
          </cell>
          <cell r="B603" t="str">
            <v>SOO</v>
          </cell>
          <cell r="C603" t="str">
            <v>M.VSL</v>
          </cell>
          <cell r="D603">
            <v>12</v>
          </cell>
          <cell r="E603">
            <v>31</v>
          </cell>
          <cell r="F603">
            <v>0</v>
          </cell>
          <cell r="G603">
            <v>0</v>
          </cell>
          <cell r="H603">
            <v>74</v>
          </cell>
        </row>
        <row r="604">
          <cell r="A604" t="str">
            <v>NGO</v>
          </cell>
          <cell r="B604" t="str">
            <v>BCN</v>
          </cell>
          <cell r="C604" t="str">
            <v>M.VSL</v>
          </cell>
          <cell r="D604">
            <v>2</v>
          </cell>
          <cell r="E604">
            <v>1</v>
          </cell>
          <cell r="F604">
            <v>0</v>
          </cell>
          <cell r="G604">
            <v>0</v>
          </cell>
          <cell r="H604">
            <v>4</v>
          </cell>
        </row>
        <row r="605">
          <cell r="A605" t="str">
            <v>NGO</v>
          </cell>
          <cell r="B605" t="str">
            <v>BKK</v>
          </cell>
          <cell r="C605" t="str">
            <v>M.VSL</v>
          </cell>
          <cell r="D605">
            <v>12</v>
          </cell>
          <cell r="E605">
            <v>12</v>
          </cell>
          <cell r="F605">
            <v>7</v>
          </cell>
          <cell r="G605">
            <v>0</v>
          </cell>
          <cell r="H605">
            <v>43</v>
          </cell>
        </row>
        <row r="606">
          <cell r="A606" t="str">
            <v>NGO</v>
          </cell>
          <cell r="B606" t="str">
            <v>BSN</v>
          </cell>
          <cell r="C606" t="str">
            <v>C.FDR</v>
          </cell>
          <cell r="D606">
            <v>0</v>
          </cell>
          <cell r="E606">
            <v>1</v>
          </cell>
          <cell r="F606">
            <v>0</v>
          </cell>
          <cell r="G606">
            <v>0</v>
          </cell>
          <cell r="H606">
            <v>2</v>
          </cell>
        </row>
        <row r="607">
          <cell r="A607" t="str">
            <v>NGO</v>
          </cell>
          <cell r="B607" t="str">
            <v>CST</v>
          </cell>
          <cell r="C607" t="str">
            <v>M.VSL</v>
          </cell>
          <cell r="D607">
            <v>2</v>
          </cell>
          <cell r="E607">
            <v>13</v>
          </cell>
          <cell r="F607">
            <v>0</v>
          </cell>
          <cell r="G607">
            <v>0</v>
          </cell>
          <cell r="H607">
            <v>28</v>
          </cell>
        </row>
        <row r="608">
          <cell r="A608" t="str">
            <v>NGO</v>
          </cell>
          <cell r="B608" t="str">
            <v>FOS</v>
          </cell>
          <cell r="C608" t="str">
            <v>M.VSL</v>
          </cell>
          <cell r="D608">
            <v>2</v>
          </cell>
          <cell r="E608">
            <v>1</v>
          </cell>
          <cell r="F608">
            <v>0</v>
          </cell>
          <cell r="G608">
            <v>0</v>
          </cell>
          <cell r="H608">
            <v>4</v>
          </cell>
        </row>
        <row r="609">
          <cell r="A609" t="str">
            <v>NGO</v>
          </cell>
          <cell r="B609" t="str">
            <v>GEN</v>
          </cell>
          <cell r="C609" t="str">
            <v>M.VSL</v>
          </cell>
          <cell r="D609">
            <v>21</v>
          </cell>
          <cell r="E609">
            <v>20</v>
          </cell>
          <cell r="F609">
            <v>0</v>
          </cell>
          <cell r="G609">
            <v>0</v>
          </cell>
          <cell r="H609">
            <v>61</v>
          </cell>
        </row>
        <row r="610">
          <cell r="A610" t="str">
            <v>NGO</v>
          </cell>
          <cell r="B610" t="str">
            <v>HAM</v>
          </cell>
          <cell r="C610" t="str">
            <v>M.VSL</v>
          </cell>
          <cell r="D610">
            <v>28</v>
          </cell>
          <cell r="E610">
            <v>57</v>
          </cell>
          <cell r="F610">
            <v>0</v>
          </cell>
          <cell r="G610">
            <v>0</v>
          </cell>
          <cell r="H610">
            <v>142</v>
          </cell>
        </row>
        <row r="611">
          <cell r="A611" t="str">
            <v>NGO</v>
          </cell>
          <cell r="B611" t="str">
            <v>HKG</v>
          </cell>
          <cell r="C611" t="str">
            <v>M.VSL</v>
          </cell>
          <cell r="D611">
            <v>44</v>
          </cell>
          <cell r="E611">
            <v>83</v>
          </cell>
          <cell r="F611">
            <v>0</v>
          </cell>
          <cell r="G611">
            <v>0</v>
          </cell>
          <cell r="H611">
            <v>210</v>
          </cell>
        </row>
        <row r="612">
          <cell r="A612" t="str">
            <v>NGO</v>
          </cell>
          <cell r="B612" t="str">
            <v>HMN</v>
          </cell>
          <cell r="C612" t="str">
            <v>M.VSL</v>
          </cell>
          <cell r="D612">
            <v>0</v>
          </cell>
          <cell r="E612">
            <v>5</v>
          </cell>
          <cell r="F612">
            <v>0</v>
          </cell>
          <cell r="G612">
            <v>0</v>
          </cell>
          <cell r="H612">
            <v>10</v>
          </cell>
        </row>
        <row r="613">
          <cell r="A613" t="str">
            <v>NGO</v>
          </cell>
          <cell r="B613" t="str">
            <v>KAO</v>
          </cell>
          <cell r="C613" t="str">
            <v>M.VSL</v>
          </cell>
          <cell r="D613">
            <v>5</v>
          </cell>
          <cell r="E613">
            <v>10</v>
          </cell>
          <cell r="F613">
            <v>0</v>
          </cell>
          <cell r="G613">
            <v>0</v>
          </cell>
          <cell r="H613">
            <v>25</v>
          </cell>
        </row>
        <row r="614">
          <cell r="A614" t="str">
            <v>NGO</v>
          </cell>
          <cell r="B614" t="str">
            <v>LCB</v>
          </cell>
          <cell r="C614" t="str">
            <v>M.VSL</v>
          </cell>
          <cell r="D614">
            <v>21</v>
          </cell>
          <cell r="E614">
            <v>12</v>
          </cell>
          <cell r="F614">
            <v>0</v>
          </cell>
          <cell r="G614">
            <v>0</v>
          </cell>
          <cell r="H614">
            <v>45</v>
          </cell>
        </row>
        <row r="615">
          <cell r="A615" t="str">
            <v>NGO</v>
          </cell>
          <cell r="B615" t="str">
            <v>LEH</v>
          </cell>
          <cell r="C615" t="str">
            <v>M.VSL</v>
          </cell>
          <cell r="D615">
            <v>7</v>
          </cell>
          <cell r="E615">
            <v>4</v>
          </cell>
          <cell r="F615">
            <v>0</v>
          </cell>
          <cell r="G615">
            <v>0</v>
          </cell>
          <cell r="H615">
            <v>15</v>
          </cell>
        </row>
        <row r="616">
          <cell r="A616" t="str">
            <v>NGO</v>
          </cell>
          <cell r="B616" t="str">
            <v>LOS</v>
          </cell>
          <cell r="C616" t="str">
            <v>M.VSL</v>
          </cell>
          <cell r="D616">
            <v>0</v>
          </cell>
          <cell r="E616">
            <v>4</v>
          </cell>
          <cell r="F616">
            <v>0</v>
          </cell>
          <cell r="G616">
            <v>0</v>
          </cell>
          <cell r="H616">
            <v>8</v>
          </cell>
        </row>
        <row r="617">
          <cell r="A617" t="str">
            <v>NGO</v>
          </cell>
          <cell r="B617" t="str">
            <v>MAI</v>
          </cell>
          <cell r="C617" t="str">
            <v>M.VSL</v>
          </cell>
          <cell r="D617">
            <v>1</v>
          </cell>
          <cell r="E617">
            <v>2</v>
          </cell>
          <cell r="F617">
            <v>0</v>
          </cell>
          <cell r="G617">
            <v>0</v>
          </cell>
          <cell r="H617">
            <v>5</v>
          </cell>
        </row>
        <row r="618">
          <cell r="A618" t="str">
            <v>NGO</v>
          </cell>
          <cell r="B618" t="str">
            <v>NRF</v>
          </cell>
          <cell r="C618" t="str">
            <v>M.VSL</v>
          </cell>
          <cell r="D618">
            <v>13</v>
          </cell>
          <cell r="E618">
            <v>9</v>
          </cell>
          <cell r="F618">
            <v>0</v>
          </cell>
          <cell r="G618">
            <v>0</v>
          </cell>
          <cell r="H618">
            <v>31</v>
          </cell>
        </row>
        <row r="619">
          <cell r="A619" t="str">
            <v>NGO</v>
          </cell>
          <cell r="B619" t="str">
            <v>NYC</v>
          </cell>
          <cell r="C619" t="str">
            <v>M.VSL</v>
          </cell>
          <cell r="D619">
            <v>5</v>
          </cell>
          <cell r="E619">
            <v>9</v>
          </cell>
          <cell r="F619">
            <v>0</v>
          </cell>
          <cell r="G619">
            <v>0</v>
          </cell>
          <cell r="H619">
            <v>23</v>
          </cell>
        </row>
        <row r="620">
          <cell r="A620" t="str">
            <v>NGO</v>
          </cell>
          <cell r="B620" t="str">
            <v>OAK</v>
          </cell>
          <cell r="C620" t="str">
            <v>M.VSL</v>
          </cell>
          <cell r="D620">
            <v>34</v>
          </cell>
          <cell r="E620">
            <v>175</v>
          </cell>
          <cell r="F620">
            <v>0</v>
          </cell>
          <cell r="G620">
            <v>0</v>
          </cell>
          <cell r="H620">
            <v>384</v>
          </cell>
        </row>
        <row r="621">
          <cell r="A621" t="str">
            <v>NGO</v>
          </cell>
          <cell r="B621" t="str">
            <v>PKE</v>
          </cell>
          <cell r="C621" t="str">
            <v>M.VSL</v>
          </cell>
          <cell r="D621">
            <v>15</v>
          </cell>
          <cell r="E621">
            <v>1</v>
          </cell>
          <cell r="F621">
            <v>0</v>
          </cell>
          <cell r="G621">
            <v>0</v>
          </cell>
          <cell r="H621">
            <v>17</v>
          </cell>
        </row>
        <row r="622">
          <cell r="A622" t="str">
            <v>NGO</v>
          </cell>
          <cell r="B622" t="str">
            <v>QDO</v>
          </cell>
          <cell r="C622" t="str">
            <v>C.FDR</v>
          </cell>
          <cell r="D622">
            <v>0</v>
          </cell>
          <cell r="E622">
            <v>0</v>
          </cell>
          <cell r="F622">
            <v>5</v>
          </cell>
          <cell r="G622">
            <v>0</v>
          </cell>
          <cell r="H622">
            <v>5</v>
          </cell>
        </row>
        <row r="623">
          <cell r="A623" t="str">
            <v>NGO</v>
          </cell>
          <cell r="B623" t="str">
            <v>RTM</v>
          </cell>
          <cell r="C623" t="str">
            <v>M.VSL</v>
          </cell>
          <cell r="D623">
            <v>22</v>
          </cell>
          <cell r="E623">
            <v>44</v>
          </cell>
          <cell r="F623">
            <v>0</v>
          </cell>
          <cell r="G623">
            <v>0</v>
          </cell>
          <cell r="H623">
            <v>110</v>
          </cell>
        </row>
        <row r="624">
          <cell r="A624" t="str">
            <v>NGO</v>
          </cell>
          <cell r="B624" t="str">
            <v>SIN</v>
          </cell>
          <cell r="C624" t="str">
            <v>M.VSL</v>
          </cell>
          <cell r="D624">
            <v>54</v>
          </cell>
          <cell r="E624">
            <v>67</v>
          </cell>
          <cell r="F624">
            <v>0</v>
          </cell>
          <cell r="G624">
            <v>0</v>
          </cell>
          <cell r="H624">
            <v>188</v>
          </cell>
        </row>
        <row r="625">
          <cell r="A625" t="str">
            <v>NGO</v>
          </cell>
          <cell r="B625" t="str">
            <v>SOO</v>
          </cell>
          <cell r="C625" t="str">
            <v>M.VSL</v>
          </cell>
          <cell r="D625">
            <v>5</v>
          </cell>
          <cell r="E625">
            <v>0</v>
          </cell>
          <cell r="F625">
            <v>0</v>
          </cell>
          <cell r="G625">
            <v>0</v>
          </cell>
          <cell r="H625">
            <v>5</v>
          </cell>
        </row>
        <row r="626">
          <cell r="A626" t="str">
            <v>NGO</v>
          </cell>
          <cell r="B626" t="str">
            <v>SPO</v>
          </cell>
          <cell r="C626" t="str">
            <v>M.VSL</v>
          </cell>
          <cell r="D626">
            <v>15</v>
          </cell>
          <cell r="E626">
            <v>81</v>
          </cell>
          <cell r="F626">
            <v>0</v>
          </cell>
          <cell r="G626">
            <v>0</v>
          </cell>
          <cell r="H626">
            <v>177</v>
          </cell>
        </row>
        <row r="627">
          <cell r="A627" t="str">
            <v>NGO</v>
          </cell>
          <cell r="B627" t="str">
            <v>STL</v>
          </cell>
          <cell r="C627" t="str">
            <v>M.VSL</v>
          </cell>
          <cell r="D627">
            <v>32</v>
          </cell>
          <cell r="E627">
            <v>35</v>
          </cell>
          <cell r="F627">
            <v>0</v>
          </cell>
          <cell r="G627">
            <v>0</v>
          </cell>
          <cell r="H627">
            <v>102</v>
          </cell>
        </row>
        <row r="628">
          <cell r="A628" t="str">
            <v>NGO</v>
          </cell>
          <cell r="B628" t="str">
            <v>VCR</v>
          </cell>
          <cell r="C628" t="str">
            <v>M.VSL</v>
          </cell>
          <cell r="D628">
            <v>17</v>
          </cell>
          <cell r="E628">
            <v>21</v>
          </cell>
          <cell r="F628">
            <v>0</v>
          </cell>
          <cell r="G628">
            <v>0</v>
          </cell>
          <cell r="H628">
            <v>59</v>
          </cell>
        </row>
        <row r="629">
          <cell r="A629" t="str">
            <v>NGO</v>
          </cell>
          <cell r="B629" t="str">
            <v>XIN</v>
          </cell>
          <cell r="C629" t="str">
            <v>C.FDR</v>
          </cell>
          <cell r="D629">
            <v>0</v>
          </cell>
          <cell r="E629">
            <v>0</v>
          </cell>
          <cell r="F629">
            <v>80</v>
          </cell>
          <cell r="G629">
            <v>0</v>
          </cell>
          <cell r="H629">
            <v>80</v>
          </cell>
        </row>
        <row r="630">
          <cell r="A630" t="str">
            <v>NGS</v>
          </cell>
          <cell r="B630" t="str">
            <v>BSN</v>
          </cell>
          <cell r="C630" t="str">
            <v>C.FDR</v>
          </cell>
          <cell r="D630">
            <v>0</v>
          </cell>
          <cell r="E630">
            <v>0</v>
          </cell>
          <cell r="F630">
            <v>1</v>
          </cell>
          <cell r="G630">
            <v>1</v>
          </cell>
          <cell r="H630">
            <v>3</v>
          </cell>
        </row>
        <row r="631">
          <cell r="A631" t="str">
            <v>NGT</v>
          </cell>
          <cell r="B631" t="str">
            <v>BSN</v>
          </cell>
          <cell r="C631" t="str">
            <v>C.FDR</v>
          </cell>
          <cell r="D631">
            <v>4</v>
          </cell>
          <cell r="E631">
            <v>2</v>
          </cell>
          <cell r="F631">
            <v>7</v>
          </cell>
          <cell r="G631">
            <v>29</v>
          </cell>
          <cell r="H631">
            <v>73</v>
          </cell>
        </row>
        <row r="632">
          <cell r="A632" t="str">
            <v>NHA</v>
          </cell>
          <cell r="B632" t="str">
            <v>KAO</v>
          </cell>
          <cell r="C632" t="str">
            <v>C.FDR</v>
          </cell>
          <cell r="D632">
            <v>0</v>
          </cell>
          <cell r="E632">
            <v>0</v>
          </cell>
          <cell r="F632">
            <v>12</v>
          </cell>
          <cell r="G632">
            <v>30</v>
          </cell>
          <cell r="H632">
            <v>72</v>
          </cell>
        </row>
        <row r="633">
          <cell r="A633" t="str">
            <v>NOU</v>
          </cell>
          <cell r="B633" t="str">
            <v>BRS</v>
          </cell>
          <cell r="C633" t="str">
            <v>M.VSL</v>
          </cell>
          <cell r="D633">
            <v>0</v>
          </cell>
          <cell r="E633">
            <v>0</v>
          </cell>
          <cell r="F633">
            <v>12</v>
          </cell>
          <cell r="G633">
            <v>0</v>
          </cell>
          <cell r="H633">
            <v>12</v>
          </cell>
        </row>
        <row r="634">
          <cell r="A634" t="str">
            <v>NOU</v>
          </cell>
          <cell r="B634" t="str">
            <v>JAK</v>
          </cell>
          <cell r="C634" t="str">
            <v>M.VSL</v>
          </cell>
          <cell r="D634">
            <v>0</v>
          </cell>
          <cell r="E634">
            <v>0</v>
          </cell>
          <cell r="F634">
            <v>0</v>
          </cell>
          <cell r="G634">
            <v>7</v>
          </cell>
          <cell r="H634">
            <v>14</v>
          </cell>
        </row>
        <row r="635">
          <cell r="A635" t="str">
            <v>NRF</v>
          </cell>
          <cell r="B635" t="str">
            <v>BRV</v>
          </cell>
          <cell r="C635" t="str">
            <v>M.VSL</v>
          </cell>
          <cell r="D635">
            <v>6</v>
          </cell>
          <cell r="E635">
            <v>22</v>
          </cell>
          <cell r="F635">
            <v>0</v>
          </cell>
          <cell r="G635">
            <v>0</v>
          </cell>
          <cell r="H635">
            <v>50</v>
          </cell>
        </row>
        <row r="636">
          <cell r="A636" t="str">
            <v>NRF</v>
          </cell>
          <cell r="B636" t="str">
            <v>BSN</v>
          </cell>
          <cell r="C636" t="str">
            <v>M.VSL</v>
          </cell>
          <cell r="D636">
            <v>14</v>
          </cell>
          <cell r="E636">
            <v>24</v>
          </cell>
          <cell r="F636">
            <v>0</v>
          </cell>
          <cell r="G636">
            <v>0</v>
          </cell>
          <cell r="H636">
            <v>62</v>
          </cell>
        </row>
        <row r="637">
          <cell r="A637" t="str">
            <v>NRF</v>
          </cell>
          <cell r="B637" t="str">
            <v>FEL</v>
          </cell>
          <cell r="C637" t="str">
            <v>M.VSL</v>
          </cell>
          <cell r="D637">
            <v>0</v>
          </cell>
          <cell r="E637">
            <v>1</v>
          </cell>
          <cell r="F637">
            <v>0</v>
          </cell>
          <cell r="G637">
            <v>0</v>
          </cell>
          <cell r="H637">
            <v>2</v>
          </cell>
        </row>
        <row r="638">
          <cell r="A638" t="str">
            <v>NRF</v>
          </cell>
          <cell r="B638" t="str">
            <v>HKG</v>
          </cell>
          <cell r="C638" t="str">
            <v>M.VSL</v>
          </cell>
          <cell r="D638">
            <v>8</v>
          </cell>
          <cell r="E638">
            <v>21</v>
          </cell>
          <cell r="F638">
            <v>0</v>
          </cell>
          <cell r="G638">
            <v>18</v>
          </cell>
          <cell r="H638">
            <v>86</v>
          </cell>
        </row>
        <row r="639">
          <cell r="A639" t="str">
            <v>NRF</v>
          </cell>
          <cell r="B639" t="str">
            <v>KAO</v>
          </cell>
          <cell r="C639" t="str">
            <v>M.VSL</v>
          </cell>
          <cell r="D639">
            <v>5</v>
          </cell>
          <cell r="E639">
            <v>6</v>
          </cell>
          <cell r="F639">
            <v>3</v>
          </cell>
          <cell r="G639">
            <v>10</v>
          </cell>
          <cell r="H639">
            <v>40</v>
          </cell>
        </row>
        <row r="640">
          <cell r="A640" t="str">
            <v>NRF</v>
          </cell>
          <cell r="B640" t="str">
            <v>KOB</v>
          </cell>
          <cell r="C640" t="str">
            <v>M.VSL</v>
          </cell>
          <cell r="D640">
            <v>0</v>
          </cell>
          <cell r="E640">
            <v>3</v>
          </cell>
          <cell r="F640">
            <v>0</v>
          </cell>
          <cell r="G640">
            <v>0</v>
          </cell>
          <cell r="H640">
            <v>6</v>
          </cell>
        </row>
        <row r="641">
          <cell r="A641" t="str">
            <v>NRF</v>
          </cell>
          <cell r="B641" t="str">
            <v>LEH</v>
          </cell>
          <cell r="C641" t="str">
            <v>M.VSL</v>
          </cell>
          <cell r="D641">
            <v>1</v>
          </cell>
          <cell r="E641">
            <v>4</v>
          </cell>
          <cell r="F641">
            <v>0</v>
          </cell>
          <cell r="G641">
            <v>0</v>
          </cell>
          <cell r="H641">
            <v>9</v>
          </cell>
        </row>
        <row r="642">
          <cell r="A642" t="str">
            <v>NRF</v>
          </cell>
          <cell r="B642" t="str">
            <v>OSK</v>
          </cell>
          <cell r="C642" t="str">
            <v>M.VSL</v>
          </cell>
          <cell r="D642">
            <v>0</v>
          </cell>
          <cell r="E642">
            <v>1</v>
          </cell>
          <cell r="F642">
            <v>0</v>
          </cell>
          <cell r="G642">
            <v>0</v>
          </cell>
          <cell r="H642">
            <v>2</v>
          </cell>
        </row>
        <row r="643">
          <cell r="A643" t="str">
            <v>NRF</v>
          </cell>
          <cell r="B643" t="str">
            <v>RTM</v>
          </cell>
          <cell r="C643" t="str">
            <v>M.VSL</v>
          </cell>
          <cell r="D643">
            <v>13</v>
          </cell>
          <cell r="E643">
            <v>37</v>
          </cell>
          <cell r="F643">
            <v>0</v>
          </cell>
          <cell r="G643">
            <v>8</v>
          </cell>
          <cell r="H643">
            <v>103</v>
          </cell>
        </row>
        <row r="644">
          <cell r="A644" t="str">
            <v>NRF</v>
          </cell>
          <cell r="B644" t="str">
            <v>TKY</v>
          </cell>
          <cell r="C644" t="str">
            <v>M.VSL</v>
          </cell>
          <cell r="D644">
            <v>2</v>
          </cell>
          <cell r="E644">
            <v>3</v>
          </cell>
          <cell r="F644">
            <v>0</v>
          </cell>
          <cell r="G644">
            <v>0</v>
          </cell>
          <cell r="H644">
            <v>8</v>
          </cell>
        </row>
        <row r="645">
          <cell r="A645" t="str">
            <v>NSA</v>
          </cell>
          <cell r="B645" t="str">
            <v>BOM</v>
          </cell>
          <cell r="C645" t="str">
            <v>C.FDR</v>
          </cell>
          <cell r="D645">
            <v>7</v>
          </cell>
          <cell r="E645">
            <v>9</v>
          </cell>
          <cell r="F645">
            <v>0</v>
          </cell>
          <cell r="G645">
            <v>0</v>
          </cell>
          <cell r="H645">
            <v>25</v>
          </cell>
        </row>
        <row r="646">
          <cell r="A646" t="str">
            <v>NSA</v>
          </cell>
          <cell r="B646" t="str">
            <v>BSN</v>
          </cell>
          <cell r="C646" t="str">
            <v>M.VSL</v>
          </cell>
          <cell r="D646">
            <v>0</v>
          </cell>
          <cell r="E646">
            <v>1</v>
          </cell>
          <cell r="F646">
            <v>0</v>
          </cell>
          <cell r="G646">
            <v>0</v>
          </cell>
          <cell r="H646">
            <v>2</v>
          </cell>
        </row>
        <row r="647">
          <cell r="A647" t="str">
            <v>NSA</v>
          </cell>
          <cell r="B647" t="str">
            <v>CBO</v>
          </cell>
          <cell r="C647" t="str">
            <v>C.FDR</v>
          </cell>
          <cell r="D647">
            <v>24</v>
          </cell>
          <cell r="E647">
            <v>81</v>
          </cell>
          <cell r="F647">
            <v>0</v>
          </cell>
          <cell r="G647">
            <v>0</v>
          </cell>
          <cell r="H647">
            <v>186</v>
          </cell>
        </row>
        <row r="648">
          <cell r="A648" t="str">
            <v>NSA</v>
          </cell>
          <cell r="B648" t="str">
            <v>COC</v>
          </cell>
          <cell r="C648" t="str">
            <v>M.VSL</v>
          </cell>
          <cell r="D648">
            <v>0</v>
          </cell>
          <cell r="E648">
            <v>0</v>
          </cell>
          <cell r="F648">
            <v>3</v>
          </cell>
          <cell r="G648">
            <v>0</v>
          </cell>
          <cell r="H648">
            <v>3</v>
          </cell>
        </row>
        <row r="649">
          <cell r="A649" t="str">
            <v>NSA</v>
          </cell>
          <cell r="B649" t="str">
            <v>KDL</v>
          </cell>
          <cell r="C649" t="str">
            <v>C.FDR</v>
          </cell>
          <cell r="D649">
            <v>2</v>
          </cell>
          <cell r="E649">
            <v>0</v>
          </cell>
          <cell r="F649">
            <v>0</v>
          </cell>
          <cell r="G649">
            <v>0</v>
          </cell>
          <cell r="H649">
            <v>2</v>
          </cell>
        </row>
        <row r="650">
          <cell r="A650" t="str">
            <v>NSA</v>
          </cell>
          <cell r="B650" t="str">
            <v>PKE</v>
          </cell>
          <cell r="C650" t="str">
            <v>M.VSL</v>
          </cell>
          <cell r="D650">
            <v>38</v>
          </cell>
          <cell r="E650">
            <v>41</v>
          </cell>
          <cell r="F650">
            <v>0</v>
          </cell>
          <cell r="G650">
            <v>31</v>
          </cell>
          <cell r="H650">
            <v>182</v>
          </cell>
        </row>
        <row r="651">
          <cell r="A651" t="str">
            <v>NSA</v>
          </cell>
          <cell r="B651" t="str">
            <v>SIN</v>
          </cell>
          <cell r="C651" t="str">
            <v>M.VSL</v>
          </cell>
          <cell r="D651">
            <v>384</v>
          </cell>
          <cell r="E651">
            <v>182</v>
          </cell>
          <cell r="F651">
            <v>123</v>
          </cell>
          <cell r="G651">
            <v>67</v>
          </cell>
          <cell r="H651">
            <v>1005</v>
          </cell>
        </row>
        <row r="652">
          <cell r="A652" t="str">
            <v>NYC</v>
          </cell>
          <cell r="B652" t="str">
            <v>BRV</v>
          </cell>
          <cell r="C652" t="str">
            <v>M.VSL</v>
          </cell>
          <cell r="D652">
            <v>22</v>
          </cell>
          <cell r="E652">
            <v>72</v>
          </cell>
          <cell r="F652">
            <v>1</v>
          </cell>
          <cell r="G652">
            <v>8</v>
          </cell>
          <cell r="H652">
            <v>183</v>
          </cell>
        </row>
        <row r="653">
          <cell r="A653" t="str">
            <v>NYC</v>
          </cell>
          <cell r="B653" t="str">
            <v>BSN</v>
          </cell>
          <cell r="C653" t="str">
            <v>M.VSL</v>
          </cell>
          <cell r="D653">
            <v>22</v>
          </cell>
          <cell r="E653">
            <v>49</v>
          </cell>
          <cell r="F653">
            <v>14</v>
          </cell>
          <cell r="G653">
            <v>53</v>
          </cell>
          <cell r="H653">
            <v>240</v>
          </cell>
        </row>
        <row r="654">
          <cell r="A654" t="str">
            <v>NYC</v>
          </cell>
          <cell r="B654" t="str">
            <v>CST</v>
          </cell>
          <cell r="C654" t="str">
            <v>M.VSL</v>
          </cell>
          <cell r="D654">
            <v>0</v>
          </cell>
          <cell r="E654">
            <v>0</v>
          </cell>
          <cell r="F654">
            <v>0</v>
          </cell>
          <cell r="G654">
            <v>20</v>
          </cell>
          <cell r="H654">
            <v>40</v>
          </cell>
        </row>
        <row r="655">
          <cell r="A655" t="str">
            <v>NYC</v>
          </cell>
          <cell r="B655" t="str">
            <v>FEL</v>
          </cell>
          <cell r="C655" t="str">
            <v>M.VSL</v>
          </cell>
          <cell r="D655">
            <v>22</v>
          </cell>
          <cell r="E655">
            <v>47</v>
          </cell>
          <cell r="F655">
            <v>0</v>
          </cell>
          <cell r="G655">
            <v>0</v>
          </cell>
          <cell r="H655">
            <v>116</v>
          </cell>
        </row>
        <row r="656">
          <cell r="A656" t="str">
            <v>NYC</v>
          </cell>
          <cell r="B656" t="str">
            <v>HKG</v>
          </cell>
          <cell r="C656" t="str">
            <v>M.VSL</v>
          </cell>
          <cell r="D656">
            <v>12</v>
          </cell>
          <cell r="E656">
            <v>92</v>
          </cell>
          <cell r="F656">
            <v>0</v>
          </cell>
          <cell r="G656">
            <v>233</v>
          </cell>
          <cell r="H656">
            <v>662</v>
          </cell>
        </row>
        <row r="657">
          <cell r="A657" t="str">
            <v>NYC</v>
          </cell>
          <cell r="B657" t="str">
            <v>KAO</v>
          </cell>
          <cell r="C657" t="str">
            <v>M.VSL</v>
          </cell>
          <cell r="D657">
            <v>8</v>
          </cell>
          <cell r="E657">
            <v>7</v>
          </cell>
          <cell r="F657">
            <v>100</v>
          </cell>
          <cell r="G657">
            <v>70</v>
          </cell>
          <cell r="H657">
            <v>262</v>
          </cell>
        </row>
        <row r="658">
          <cell r="A658" t="str">
            <v>NYC</v>
          </cell>
          <cell r="B658" t="str">
            <v>KOB</v>
          </cell>
          <cell r="C658" t="str">
            <v>M.VSL</v>
          </cell>
          <cell r="D658">
            <v>0</v>
          </cell>
          <cell r="E658">
            <v>1</v>
          </cell>
          <cell r="F658">
            <v>20</v>
          </cell>
          <cell r="G658">
            <v>0</v>
          </cell>
          <cell r="H658">
            <v>22</v>
          </cell>
        </row>
        <row r="659">
          <cell r="A659" t="str">
            <v>NYC</v>
          </cell>
          <cell r="B659" t="str">
            <v>LEH</v>
          </cell>
          <cell r="C659" t="str">
            <v>M.VSL</v>
          </cell>
          <cell r="D659">
            <v>15</v>
          </cell>
          <cell r="E659">
            <v>31</v>
          </cell>
          <cell r="F659">
            <v>2</v>
          </cell>
          <cell r="G659">
            <v>1</v>
          </cell>
          <cell r="H659">
            <v>81</v>
          </cell>
        </row>
        <row r="660">
          <cell r="A660" t="str">
            <v>NYC</v>
          </cell>
          <cell r="B660" t="str">
            <v>NRF</v>
          </cell>
          <cell r="C660" t="str">
            <v>M.VSL</v>
          </cell>
          <cell r="D660">
            <v>0</v>
          </cell>
          <cell r="E660">
            <v>0</v>
          </cell>
          <cell r="F660">
            <v>0</v>
          </cell>
          <cell r="G660">
            <v>5</v>
          </cell>
          <cell r="H660">
            <v>10</v>
          </cell>
        </row>
        <row r="661">
          <cell r="A661" t="str">
            <v>NYC</v>
          </cell>
          <cell r="B661" t="str">
            <v>OSK</v>
          </cell>
          <cell r="C661" t="str">
            <v>M.VSL</v>
          </cell>
          <cell r="D661">
            <v>5</v>
          </cell>
          <cell r="E661">
            <v>4</v>
          </cell>
          <cell r="F661">
            <v>0</v>
          </cell>
          <cell r="G661">
            <v>0</v>
          </cell>
          <cell r="H661">
            <v>13</v>
          </cell>
        </row>
        <row r="662">
          <cell r="A662" t="str">
            <v>NYC</v>
          </cell>
          <cell r="B662" t="str">
            <v>RTM</v>
          </cell>
          <cell r="C662" t="str">
            <v>M.VSL</v>
          </cell>
          <cell r="D662">
            <v>42</v>
          </cell>
          <cell r="E662">
            <v>106</v>
          </cell>
          <cell r="F662">
            <v>4</v>
          </cell>
          <cell r="G662">
            <v>11</v>
          </cell>
          <cell r="H662">
            <v>280</v>
          </cell>
        </row>
        <row r="663">
          <cell r="A663" t="str">
            <v>NYC</v>
          </cell>
          <cell r="B663" t="str">
            <v>TKY</v>
          </cell>
          <cell r="C663" t="str">
            <v>M.VSL</v>
          </cell>
          <cell r="D663">
            <v>10</v>
          </cell>
          <cell r="E663">
            <v>9</v>
          </cell>
          <cell r="F663">
            <v>0</v>
          </cell>
          <cell r="G663">
            <v>0</v>
          </cell>
          <cell r="H663">
            <v>28</v>
          </cell>
        </row>
        <row r="664">
          <cell r="A664" t="str">
            <v>NYC</v>
          </cell>
          <cell r="B664" t="str">
            <v>XIW</v>
          </cell>
          <cell r="C664" t="str">
            <v>M.VSL</v>
          </cell>
          <cell r="D664">
            <v>0</v>
          </cell>
          <cell r="E664">
            <v>0</v>
          </cell>
          <cell r="F664">
            <v>0</v>
          </cell>
          <cell r="G664">
            <v>40</v>
          </cell>
          <cell r="H664">
            <v>80</v>
          </cell>
        </row>
        <row r="665">
          <cell r="A665" t="str">
            <v>OAK</v>
          </cell>
          <cell r="B665" t="str">
            <v>BSN</v>
          </cell>
          <cell r="C665" t="str">
            <v>M.VSL</v>
          </cell>
          <cell r="D665">
            <v>114</v>
          </cell>
          <cell r="E665">
            <v>89</v>
          </cell>
          <cell r="F665">
            <v>2</v>
          </cell>
          <cell r="G665">
            <v>112</v>
          </cell>
          <cell r="H665">
            <v>518</v>
          </cell>
        </row>
        <row r="666">
          <cell r="A666" t="str">
            <v>OAK</v>
          </cell>
          <cell r="B666" t="str">
            <v>HAT</v>
          </cell>
          <cell r="C666" t="str">
            <v>M.VSL</v>
          </cell>
          <cell r="D666">
            <v>1</v>
          </cell>
          <cell r="E666">
            <v>7</v>
          </cell>
          <cell r="F666">
            <v>0</v>
          </cell>
          <cell r="G666">
            <v>0</v>
          </cell>
          <cell r="H666">
            <v>15</v>
          </cell>
        </row>
        <row r="667">
          <cell r="A667" t="str">
            <v>OAK</v>
          </cell>
          <cell r="B667" t="str">
            <v>HKG</v>
          </cell>
          <cell r="C667" t="str">
            <v>M.VSL</v>
          </cell>
          <cell r="D667">
            <v>11</v>
          </cell>
          <cell r="E667">
            <v>159</v>
          </cell>
          <cell r="F667">
            <v>0</v>
          </cell>
          <cell r="G667">
            <v>81</v>
          </cell>
          <cell r="H667">
            <v>491</v>
          </cell>
        </row>
        <row r="668">
          <cell r="A668" t="str">
            <v>OAK</v>
          </cell>
          <cell r="B668" t="str">
            <v>KAO</v>
          </cell>
          <cell r="C668" t="str">
            <v>M.VSL</v>
          </cell>
          <cell r="D668">
            <v>27</v>
          </cell>
          <cell r="E668">
            <v>98</v>
          </cell>
          <cell r="F668">
            <v>11</v>
          </cell>
          <cell r="G668">
            <v>1</v>
          </cell>
          <cell r="H668">
            <v>236</v>
          </cell>
        </row>
        <row r="669">
          <cell r="A669" t="str">
            <v>OAK</v>
          </cell>
          <cell r="B669" t="str">
            <v>KOB</v>
          </cell>
          <cell r="C669" t="str">
            <v>M.VSL</v>
          </cell>
          <cell r="D669">
            <v>6</v>
          </cell>
          <cell r="E669">
            <v>59</v>
          </cell>
          <cell r="F669">
            <v>0</v>
          </cell>
          <cell r="G669">
            <v>0</v>
          </cell>
          <cell r="H669">
            <v>124</v>
          </cell>
        </row>
        <row r="670">
          <cell r="A670" t="str">
            <v>OAK</v>
          </cell>
          <cell r="B670" t="str">
            <v>KYG</v>
          </cell>
          <cell r="C670" t="str">
            <v>M.VSL</v>
          </cell>
          <cell r="D670">
            <v>6</v>
          </cell>
          <cell r="E670">
            <v>143</v>
          </cell>
          <cell r="F670">
            <v>0</v>
          </cell>
          <cell r="G670">
            <v>0</v>
          </cell>
          <cell r="H670">
            <v>292</v>
          </cell>
        </row>
        <row r="671">
          <cell r="A671" t="str">
            <v>OAK</v>
          </cell>
          <cell r="B671" t="str">
            <v>LCB</v>
          </cell>
          <cell r="C671" t="str">
            <v>M.VSL</v>
          </cell>
          <cell r="D671">
            <v>4</v>
          </cell>
          <cell r="E671">
            <v>1</v>
          </cell>
          <cell r="F671">
            <v>0</v>
          </cell>
          <cell r="G671">
            <v>10</v>
          </cell>
          <cell r="H671">
            <v>26</v>
          </cell>
        </row>
        <row r="672">
          <cell r="A672" t="str">
            <v>OAK</v>
          </cell>
          <cell r="B672" t="str">
            <v>NGO</v>
          </cell>
          <cell r="C672" t="str">
            <v>M.VSL</v>
          </cell>
          <cell r="D672">
            <v>0</v>
          </cell>
          <cell r="E672">
            <v>14</v>
          </cell>
          <cell r="F672">
            <v>0</v>
          </cell>
          <cell r="G672">
            <v>0</v>
          </cell>
          <cell r="H672">
            <v>28</v>
          </cell>
        </row>
        <row r="673">
          <cell r="A673" t="str">
            <v>OAK</v>
          </cell>
          <cell r="B673" t="str">
            <v>QDO</v>
          </cell>
          <cell r="C673" t="str">
            <v>M.VSL</v>
          </cell>
          <cell r="D673">
            <v>0</v>
          </cell>
          <cell r="E673">
            <v>7</v>
          </cell>
          <cell r="F673">
            <v>5</v>
          </cell>
          <cell r="G673">
            <v>18</v>
          </cell>
          <cell r="H673">
            <v>55</v>
          </cell>
        </row>
        <row r="674">
          <cell r="A674" t="str">
            <v>OAK</v>
          </cell>
          <cell r="B674" t="str">
            <v>SIN</v>
          </cell>
          <cell r="C674" t="str">
            <v>M.VSL</v>
          </cell>
          <cell r="D674">
            <v>9</v>
          </cell>
          <cell r="E674">
            <v>27</v>
          </cell>
          <cell r="F674">
            <v>0</v>
          </cell>
          <cell r="G674">
            <v>0</v>
          </cell>
          <cell r="H674">
            <v>63</v>
          </cell>
        </row>
        <row r="675">
          <cell r="A675" t="str">
            <v>OAK</v>
          </cell>
          <cell r="B675" t="str">
            <v>TKY</v>
          </cell>
          <cell r="C675" t="str">
            <v>M.VSL</v>
          </cell>
          <cell r="D675">
            <v>20</v>
          </cell>
          <cell r="E675">
            <v>30</v>
          </cell>
          <cell r="F675">
            <v>0</v>
          </cell>
          <cell r="G675">
            <v>0</v>
          </cell>
          <cell r="H675">
            <v>80</v>
          </cell>
        </row>
        <row r="676">
          <cell r="A676" t="str">
            <v>OAK</v>
          </cell>
          <cell r="B676" t="str">
            <v>XIW</v>
          </cell>
          <cell r="C676" t="str">
            <v>M.VSL</v>
          </cell>
          <cell r="D676">
            <v>0</v>
          </cell>
          <cell r="E676">
            <v>0</v>
          </cell>
          <cell r="F676">
            <v>0</v>
          </cell>
          <cell r="G676">
            <v>45</v>
          </cell>
          <cell r="H676">
            <v>90</v>
          </cell>
        </row>
        <row r="677">
          <cell r="A677" t="str">
            <v>OAK</v>
          </cell>
          <cell r="B677" t="str">
            <v>YOK</v>
          </cell>
          <cell r="C677" t="str">
            <v>M.VSL</v>
          </cell>
          <cell r="D677">
            <v>10</v>
          </cell>
          <cell r="E677">
            <v>62</v>
          </cell>
          <cell r="F677">
            <v>0</v>
          </cell>
          <cell r="G677">
            <v>0</v>
          </cell>
          <cell r="H677">
            <v>134</v>
          </cell>
        </row>
        <row r="678">
          <cell r="A678" t="str">
            <v>OAK</v>
          </cell>
          <cell r="B678" t="str">
            <v>YTN</v>
          </cell>
          <cell r="C678" t="str">
            <v>M.VSL</v>
          </cell>
          <cell r="D678">
            <v>0</v>
          </cell>
          <cell r="E678">
            <v>2</v>
          </cell>
          <cell r="F678">
            <v>0</v>
          </cell>
          <cell r="G678">
            <v>57</v>
          </cell>
          <cell r="H678">
            <v>118</v>
          </cell>
        </row>
        <row r="679">
          <cell r="A679" t="str">
            <v>OIT</v>
          </cell>
          <cell r="B679" t="str">
            <v>BSN</v>
          </cell>
          <cell r="C679" t="str">
            <v>C.FDR</v>
          </cell>
          <cell r="D679">
            <v>0</v>
          </cell>
          <cell r="E679">
            <v>0</v>
          </cell>
          <cell r="F679">
            <v>1</v>
          </cell>
          <cell r="G679">
            <v>2</v>
          </cell>
          <cell r="H679">
            <v>5</v>
          </cell>
        </row>
        <row r="680">
          <cell r="A680" t="str">
            <v>OSK</v>
          </cell>
          <cell r="B680" t="str">
            <v>BKK</v>
          </cell>
          <cell r="C680" t="str">
            <v>M.VSL</v>
          </cell>
          <cell r="D680">
            <v>16</v>
          </cell>
          <cell r="E680">
            <v>6</v>
          </cell>
          <cell r="F680">
            <v>3</v>
          </cell>
          <cell r="G680">
            <v>40</v>
          </cell>
          <cell r="H680">
            <v>111</v>
          </cell>
        </row>
        <row r="681">
          <cell r="A681" t="str">
            <v>OSK</v>
          </cell>
          <cell r="B681" t="str">
            <v>BRS</v>
          </cell>
          <cell r="C681" t="str">
            <v>M.VSL</v>
          </cell>
          <cell r="D681">
            <v>0</v>
          </cell>
          <cell r="E681">
            <v>0</v>
          </cell>
          <cell r="F681">
            <v>12</v>
          </cell>
          <cell r="G681">
            <v>0</v>
          </cell>
          <cell r="H681">
            <v>12</v>
          </cell>
        </row>
        <row r="682">
          <cell r="A682" t="str">
            <v>OSK</v>
          </cell>
          <cell r="B682" t="str">
            <v>BSN</v>
          </cell>
          <cell r="C682" t="str">
            <v>M.VSL</v>
          </cell>
          <cell r="D682">
            <v>5</v>
          </cell>
          <cell r="E682">
            <v>16</v>
          </cell>
          <cell r="F682">
            <v>0</v>
          </cell>
          <cell r="G682">
            <v>0</v>
          </cell>
          <cell r="H682">
            <v>37</v>
          </cell>
        </row>
        <row r="683">
          <cell r="A683" t="str">
            <v>OSK</v>
          </cell>
          <cell r="B683" t="str">
            <v>BSN</v>
          </cell>
          <cell r="C683" t="str">
            <v>C.FDR</v>
          </cell>
          <cell r="D683">
            <v>2</v>
          </cell>
          <cell r="E683">
            <v>1</v>
          </cell>
          <cell r="F683">
            <v>2</v>
          </cell>
          <cell r="G683">
            <v>70</v>
          </cell>
          <cell r="H683">
            <v>146</v>
          </cell>
        </row>
        <row r="684">
          <cell r="A684" t="str">
            <v>OSK</v>
          </cell>
          <cell r="B684" t="str">
            <v>HKG</v>
          </cell>
          <cell r="C684" t="str">
            <v>M.VSL</v>
          </cell>
          <cell r="D684">
            <v>2</v>
          </cell>
          <cell r="E684">
            <v>0</v>
          </cell>
          <cell r="F684">
            <v>0</v>
          </cell>
          <cell r="G684">
            <v>0</v>
          </cell>
          <cell r="H684">
            <v>2</v>
          </cell>
        </row>
        <row r="685">
          <cell r="A685" t="str">
            <v>OSK</v>
          </cell>
          <cell r="B685" t="str">
            <v>HMN</v>
          </cell>
          <cell r="C685" t="str">
            <v>M.VSL</v>
          </cell>
          <cell r="D685">
            <v>3</v>
          </cell>
          <cell r="E685">
            <v>1</v>
          </cell>
          <cell r="F685">
            <v>4</v>
          </cell>
          <cell r="G685">
            <v>3</v>
          </cell>
          <cell r="H685">
            <v>15</v>
          </cell>
        </row>
        <row r="686">
          <cell r="A686" t="str">
            <v>OSK</v>
          </cell>
          <cell r="B686" t="str">
            <v>LCB</v>
          </cell>
          <cell r="C686" t="str">
            <v>M.VSL</v>
          </cell>
          <cell r="D686">
            <v>69</v>
          </cell>
          <cell r="E686">
            <v>4</v>
          </cell>
          <cell r="F686">
            <v>0</v>
          </cell>
          <cell r="G686">
            <v>0</v>
          </cell>
          <cell r="H686">
            <v>77</v>
          </cell>
        </row>
        <row r="687">
          <cell r="A687" t="str">
            <v>OSK</v>
          </cell>
          <cell r="B687" t="str">
            <v>MEL</v>
          </cell>
          <cell r="C687" t="str">
            <v>M.VSL</v>
          </cell>
          <cell r="D687">
            <v>2</v>
          </cell>
          <cell r="E687">
            <v>0</v>
          </cell>
          <cell r="F687">
            <v>0</v>
          </cell>
          <cell r="G687">
            <v>0</v>
          </cell>
          <cell r="H687">
            <v>2</v>
          </cell>
        </row>
        <row r="688">
          <cell r="A688" t="str">
            <v>OSK</v>
          </cell>
          <cell r="B688" t="str">
            <v>QDO</v>
          </cell>
          <cell r="C688" t="str">
            <v>C.FDR</v>
          </cell>
          <cell r="D688">
            <v>0</v>
          </cell>
          <cell r="E688">
            <v>0</v>
          </cell>
          <cell r="F688">
            <v>0</v>
          </cell>
          <cell r="G688">
            <v>45</v>
          </cell>
          <cell r="H688">
            <v>90</v>
          </cell>
        </row>
        <row r="689">
          <cell r="A689" t="str">
            <v>OSK</v>
          </cell>
          <cell r="B689" t="str">
            <v>SIN</v>
          </cell>
          <cell r="C689" t="str">
            <v>M.VSL</v>
          </cell>
          <cell r="D689">
            <v>11</v>
          </cell>
          <cell r="E689">
            <v>1</v>
          </cell>
          <cell r="F689">
            <v>0</v>
          </cell>
          <cell r="G689">
            <v>0</v>
          </cell>
          <cell r="H689">
            <v>13</v>
          </cell>
        </row>
        <row r="690">
          <cell r="A690" t="str">
            <v>PAB</v>
          </cell>
          <cell r="B690" t="str">
            <v>SIN</v>
          </cell>
          <cell r="C690" t="str">
            <v>C.FDR</v>
          </cell>
          <cell r="D690">
            <v>9</v>
          </cell>
          <cell r="E690">
            <v>6</v>
          </cell>
          <cell r="F690">
            <v>0</v>
          </cell>
          <cell r="G690">
            <v>0</v>
          </cell>
          <cell r="H690">
            <v>21</v>
          </cell>
        </row>
        <row r="691">
          <cell r="A691" t="str">
            <v>PAJ</v>
          </cell>
          <cell r="B691" t="str">
            <v>SIN</v>
          </cell>
          <cell r="C691" t="str">
            <v>C.FDR</v>
          </cell>
          <cell r="D691">
            <v>2</v>
          </cell>
          <cell r="E691">
            <v>0</v>
          </cell>
          <cell r="F691">
            <v>0</v>
          </cell>
          <cell r="G691">
            <v>0</v>
          </cell>
          <cell r="H691">
            <v>2</v>
          </cell>
        </row>
        <row r="692">
          <cell r="A692" t="str">
            <v>PGD</v>
          </cell>
          <cell r="B692" t="str">
            <v>SIN</v>
          </cell>
          <cell r="C692" t="str">
            <v>C.FDR</v>
          </cell>
          <cell r="D692">
            <v>165</v>
          </cell>
          <cell r="E692">
            <v>192</v>
          </cell>
          <cell r="F692">
            <v>1</v>
          </cell>
          <cell r="G692">
            <v>0</v>
          </cell>
          <cell r="H692">
            <v>550</v>
          </cell>
        </row>
        <row r="693">
          <cell r="A693" t="str">
            <v>PIR</v>
          </cell>
          <cell r="B693" t="str">
            <v>PSA</v>
          </cell>
          <cell r="C693" t="str">
            <v>C.FDR</v>
          </cell>
          <cell r="D693">
            <v>3</v>
          </cell>
          <cell r="E693">
            <v>1</v>
          </cell>
          <cell r="F693">
            <v>0</v>
          </cell>
          <cell r="G693">
            <v>0</v>
          </cell>
          <cell r="H693">
            <v>5</v>
          </cell>
        </row>
        <row r="694">
          <cell r="A694" t="str">
            <v>PKE</v>
          </cell>
          <cell r="B694" t="str">
            <v>BCN</v>
          </cell>
          <cell r="C694" t="str">
            <v>M.VSL</v>
          </cell>
          <cell r="D694">
            <v>4</v>
          </cell>
          <cell r="E694">
            <v>11</v>
          </cell>
          <cell r="F694">
            <v>0</v>
          </cell>
          <cell r="G694">
            <v>0</v>
          </cell>
          <cell r="H694">
            <v>26</v>
          </cell>
        </row>
        <row r="695">
          <cell r="A695" t="str">
            <v>PKE</v>
          </cell>
          <cell r="B695" t="str">
            <v>BEB</v>
          </cell>
          <cell r="C695" t="str">
            <v>M.VSL</v>
          </cell>
          <cell r="D695">
            <v>1</v>
          </cell>
          <cell r="E695">
            <v>0</v>
          </cell>
          <cell r="F695">
            <v>0</v>
          </cell>
          <cell r="G695">
            <v>0</v>
          </cell>
          <cell r="H695">
            <v>1</v>
          </cell>
        </row>
        <row r="696">
          <cell r="A696" t="str">
            <v>PKE</v>
          </cell>
          <cell r="B696" t="str">
            <v>BOM</v>
          </cell>
          <cell r="C696" t="str">
            <v>M.VSL</v>
          </cell>
          <cell r="D696">
            <v>0</v>
          </cell>
          <cell r="E696">
            <v>1</v>
          </cell>
          <cell r="F696">
            <v>0</v>
          </cell>
          <cell r="G696">
            <v>0</v>
          </cell>
          <cell r="H696">
            <v>2</v>
          </cell>
        </row>
        <row r="697">
          <cell r="A697" t="str">
            <v>PKE</v>
          </cell>
          <cell r="B697" t="str">
            <v>CGG</v>
          </cell>
          <cell r="C697" t="str">
            <v>C.FDR</v>
          </cell>
          <cell r="D697">
            <v>0</v>
          </cell>
          <cell r="E697">
            <v>0</v>
          </cell>
          <cell r="F697">
            <v>1</v>
          </cell>
          <cell r="G697">
            <v>0</v>
          </cell>
          <cell r="H697">
            <v>1</v>
          </cell>
        </row>
        <row r="698">
          <cell r="A698" t="str">
            <v>PKE</v>
          </cell>
          <cell r="B698" t="str">
            <v>COC</v>
          </cell>
          <cell r="C698" t="str">
            <v>M.VSL</v>
          </cell>
          <cell r="D698">
            <v>1</v>
          </cell>
          <cell r="E698">
            <v>0</v>
          </cell>
          <cell r="F698">
            <v>0</v>
          </cell>
          <cell r="G698">
            <v>30</v>
          </cell>
          <cell r="H698">
            <v>61</v>
          </cell>
        </row>
        <row r="699">
          <cell r="A699" t="str">
            <v>PKE</v>
          </cell>
          <cell r="B699" t="str">
            <v>DMM</v>
          </cell>
          <cell r="C699" t="str">
            <v>M.VSL</v>
          </cell>
          <cell r="D699">
            <v>7</v>
          </cell>
          <cell r="E699">
            <v>2</v>
          </cell>
          <cell r="F699">
            <v>0</v>
          </cell>
          <cell r="G699">
            <v>0</v>
          </cell>
          <cell r="H699">
            <v>11</v>
          </cell>
        </row>
        <row r="700">
          <cell r="A700" t="str">
            <v>PKE</v>
          </cell>
          <cell r="B700" t="str">
            <v>DXB</v>
          </cell>
          <cell r="C700" t="str">
            <v>M.VSL</v>
          </cell>
          <cell r="D700">
            <v>40</v>
          </cell>
          <cell r="E700">
            <v>97</v>
          </cell>
          <cell r="F700">
            <v>0</v>
          </cell>
          <cell r="G700">
            <v>0</v>
          </cell>
          <cell r="H700">
            <v>234</v>
          </cell>
        </row>
        <row r="701">
          <cell r="A701" t="str">
            <v>PKE</v>
          </cell>
          <cell r="B701" t="str">
            <v>FMT</v>
          </cell>
          <cell r="C701" t="str">
            <v>M.VSL</v>
          </cell>
          <cell r="D701">
            <v>8</v>
          </cell>
          <cell r="E701">
            <v>1</v>
          </cell>
          <cell r="F701">
            <v>0</v>
          </cell>
          <cell r="G701">
            <v>0</v>
          </cell>
          <cell r="H701">
            <v>10</v>
          </cell>
        </row>
        <row r="702">
          <cell r="A702" t="str">
            <v>PKE</v>
          </cell>
          <cell r="B702" t="str">
            <v>FOS</v>
          </cell>
          <cell r="C702" t="str">
            <v>M.VSL</v>
          </cell>
          <cell r="D702">
            <v>0</v>
          </cell>
          <cell r="E702">
            <v>2</v>
          </cell>
          <cell r="F702">
            <v>0</v>
          </cell>
          <cell r="G702">
            <v>0</v>
          </cell>
          <cell r="H702">
            <v>4</v>
          </cell>
        </row>
        <row r="703">
          <cell r="A703" t="str">
            <v>PKE</v>
          </cell>
          <cell r="B703" t="str">
            <v>GEN</v>
          </cell>
          <cell r="C703" t="str">
            <v>M.VSL</v>
          </cell>
          <cell r="D703">
            <v>8</v>
          </cell>
          <cell r="E703">
            <v>3</v>
          </cell>
          <cell r="F703">
            <v>0</v>
          </cell>
          <cell r="G703">
            <v>0</v>
          </cell>
          <cell r="H703">
            <v>14</v>
          </cell>
        </row>
        <row r="704">
          <cell r="A704" t="str">
            <v>PKE</v>
          </cell>
          <cell r="B704" t="str">
            <v>HAM</v>
          </cell>
          <cell r="C704" t="str">
            <v>M.VSL</v>
          </cell>
          <cell r="D704">
            <v>103</v>
          </cell>
          <cell r="E704">
            <v>25</v>
          </cell>
          <cell r="F704">
            <v>0</v>
          </cell>
          <cell r="G704">
            <v>0</v>
          </cell>
          <cell r="H704">
            <v>153</v>
          </cell>
        </row>
        <row r="705">
          <cell r="A705" t="str">
            <v>PKE</v>
          </cell>
          <cell r="B705" t="str">
            <v>HKG</v>
          </cell>
          <cell r="C705" t="str">
            <v>M.VSL</v>
          </cell>
          <cell r="D705">
            <v>35</v>
          </cell>
          <cell r="E705">
            <v>188</v>
          </cell>
          <cell r="F705">
            <v>0</v>
          </cell>
          <cell r="G705">
            <v>18</v>
          </cell>
          <cell r="H705">
            <v>447</v>
          </cell>
        </row>
        <row r="706">
          <cell r="A706" t="str">
            <v>PKE</v>
          </cell>
          <cell r="B706" t="str">
            <v>KAH</v>
          </cell>
          <cell r="C706" t="str">
            <v>M.VSL</v>
          </cell>
          <cell r="D706">
            <v>0</v>
          </cell>
          <cell r="E706">
            <v>0</v>
          </cell>
          <cell r="F706">
            <v>0</v>
          </cell>
          <cell r="G706">
            <v>80</v>
          </cell>
          <cell r="H706">
            <v>160</v>
          </cell>
        </row>
        <row r="707">
          <cell r="A707" t="str">
            <v>PKE</v>
          </cell>
          <cell r="B707" t="str">
            <v>KAO</v>
          </cell>
          <cell r="C707" t="str">
            <v>M.VSL</v>
          </cell>
          <cell r="D707">
            <v>5</v>
          </cell>
          <cell r="E707">
            <v>1</v>
          </cell>
          <cell r="F707">
            <v>0</v>
          </cell>
          <cell r="G707">
            <v>0</v>
          </cell>
          <cell r="H707">
            <v>7</v>
          </cell>
        </row>
        <row r="708">
          <cell r="A708" t="str">
            <v>PKE</v>
          </cell>
          <cell r="B708" t="str">
            <v>KOB</v>
          </cell>
          <cell r="C708" t="str">
            <v>M.VSL</v>
          </cell>
          <cell r="D708">
            <v>3</v>
          </cell>
          <cell r="E708">
            <v>4</v>
          </cell>
          <cell r="F708">
            <v>0</v>
          </cell>
          <cell r="G708">
            <v>0</v>
          </cell>
          <cell r="H708">
            <v>11</v>
          </cell>
        </row>
        <row r="709">
          <cell r="A709" t="str">
            <v>PKE</v>
          </cell>
          <cell r="B709" t="str">
            <v>LEH</v>
          </cell>
          <cell r="C709" t="str">
            <v>M.VSL</v>
          </cell>
          <cell r="D709">
            <v>6</v>
          </cell>
          <cell r="E709">
            <v>8</v>
          </cell>
          <cell r="F709">
            <v>0</v>
          </cell>
          <cell r="G709">
            <v>0</v>
          </cell>
          <cell r="H709">
            <v>22</v>
          </cell>
        </row>
        <row r="710">
          <cell r="A710" t="str">
            <v>PKE</v>
          </cell>
          <cell r="B710" t="str">
            <v>MEL</v>
          </cell>
          <cell r="C710" t="str">
            <v>M.VSL</v>
          </cell>
          <cell r="D710">
            <v>8</v>
          </cell>
          <cell r="E710">
            <v>1</v>
          </cell>
          <cell r="F710">
            <v>0</v>
          </cell>
          <cell r="G710">
            <v>0</v>
          </cell>
          <cell r="H710">
            <v>10</v>
          </cell>
        </row>
        <row r="711">
          <cell r="A711" t="str">
            <v>PKE</v>
          </cell>
          <cell r="B711" t="str">
            <v>NGO</v>
          </cell>
          <cell r="C711" t="str">
            <v>M.VSL</v>
          </cell>
          <cell r="D711">
            <v>12</v>
          </cell>
          <cell r="E711">
            <v>16</v>
          </cell>
          <cell r="F711">
            <v>0</v>
          </cell>
          <cell r="G711">
            <v>0</v>
          </cell>
          <cell r="H711">
            <v>44</v>
          </cell>
        </row>
        <row r="712">
          <cell r="A712" t="str">
            <v>PKE</v>
          </cell>
          <cell r="B712" t="str">
            <v>NSA</v>
          </cell>
          <cell r="C712" t="str">
            <v>M.VSL</v>
          </cell>
          <cell r="D712">
            <v>7</v>
          </cell>
          <cell r="E712">
            <v>0</v>
          </cell>
          <cell r="F712">
            <v>0</v>
          </cell>
          <cell r="G712">
            <v>5</v>
          </cell>
          <cell r="H712">
            <v>17</v>
          </cell>
        </row>
        <row r="713">
          <cell r="A713" t="str">
            <v>PKE</v>
          </cell>
          <cell r="B713" t="str">
            <v>OSK</v>
          </cell>
          <cell r="C713" t="str">
            <v>M.VSL</v>
          </cell>
          <cell r="D713">
            <v>9</v>
          </cell>
          <cell r="E713">
            <v>4</v>
          </cell>
          <cell r="F713">
            <v>0</v>
          </cell>
          <cell r="G713">
            <v>0</v>
          </cell>
          <cell r="H713">
            <v>17</v>
          </cell>
        </row>
        <row r="714">
          <cell r="A714" t="str">
            <v>PKE</v>
          </cell>
          <cell r="B714" t="str">
            <v>PNA</v>
          </cell>
          <cell r="C714" t="str">
            <v>M.VSL</v>
          </cell>
          <cell r="D714">
            <v>30</v>
          </cell>
          <cell r="E714">
            <v>29</v>
          </cell>
          <cell r="F714">
            <v>0</v>
          </cell>
          <cell r="G714">
            <v>15</v>
          </cell>
          <cell r="H714">
            <v>118</v>
          </cell>
        </row>
        <row r="715">
          <cell r="A715" t="str">
            <v>PKE</v>
          </cell>
          <cell r="B715" t="str">
            <v>PSA</v>
          </cell>
          <cell r="C715" t="str">
            <v>M.VSL</v>
          </cell>
          <cell r="D715">
            <v>8</v>
          </cell>
          <cell r="E715">
            <v>8</v>
          </cell>
          <cell r="F715">
            <v>0</v>
          </cell>
          <cell r="G715">
            <v>0</v>
          </cell>
          <cell r="H715">
            <v>24</v>
          </cell>
        </row>
        <row r="716">
          <cell r="A716" t="str">
            <v>PKE</v>
          </cell>
          <cell r="B716" t="str">
            <v>RTM</v>
          </cell>
          <cell r="C716" t="str">
            <v>M.VSL</v>
          </cell>
          <cell r="D716">
            <v>63</v>
          </cell>
          <cell r="E716">
            <v>100</v>
          </cell>
          <cell r="F716">
            <v>3</v>
          </cell>
          <cell r="G716">
            <v>4</v>
          </cell>
          <cell r="H716">
            <v>274</v>
          </cell>
        </row>
        <row r="717">
          <cell r="A717" t="str">
            <v>PKE</v>
          </cell>
          <cell r="B717" t="str">
            <v>SBU</v>
          </cell>
          <cell r="C717" t="str">
            <v>C.FDR</v>
          </cell>
          <cell r="D717">
            <v>0</v>
          </cell>
          <cell r="E717">
            <v>1</v>
          </cell>
          <cell r="F717">
            <v>0</v>
          </cell>
          <cell r="G717">
            <v>0</v>
          </cell>
          <cell r="H717">
            <v>2</v>
          </cell>
        </row>
        <row r="718">
          <cell r="A718" t="str">
            <v>PKE</v>
          </cell>
          <cell r="B718" t="str">
            <v>SIN</v>
          </cell>
          <cell r="C718" t="str">
            <v>M.VSL</v>
          </cell>
          <cell r="D718">
            <v>14</v>
          </cell>
          <cell r="E718">
            <v>31</v>
          </cell>
          <cell r="F718">
            <v>1</v>
          </cell>
          <cell r="G718">
            <v>0</v>
          </cell>
          <cell r="H718">
            <v>77</v>
          </cell>
        </row>
        <row r="719">
          <cell r="A719" t="str">
            <v>PKE</v>
          </cell>
          <cell r="B719" t="str">
            <v>SIN</v>
          </cell>
          <cell r="C719" t="str">
            <v>C.FDR</v>
          </cell>
          <cell r="D719">
            <v>16</v>
          </cell>
          <cell r="E719">
            <v>109</v>
          </cell>
          <cell r="F719">
            <v>0</v>
          </cell>
          <cell r="G719">
            <v>0</v>
          </cell>
          <cell r="H719">
            <v>234</v>
          </cell>
        </row>
        <row r="720">
          <cell r="A720" t="str">
            <v>PKE</v>
          </cell>
          <cell r="B720" t="str">
            <v>SOO</v>
          </cell>
          <cell r="C720" t="str">
            <v>M.VSL</v>
          </cell>
          <cell r="D720">
            <v>21</v>
          </cell>
          <cell r="E720">
            <v>26</v>
          </cell>
          <cell r="F720">
            <v>0</v>
          </cell>
          <cell r="G720">
            <v>0</v>
          </cell>
          <cell r="H720">
            <v>73</v>
          </cell>
        </row>
        <row r="721">
          <cell r="A721" t="str">
            <v>PKE</v>
          </cell>
          <cell r="B721" t="str">
            <v>SYD</v>
          </cell>
          <cell r="C721" t="str">
            <v>M.VSL</v>
          </cell>
          <cell r="D721">
            <v>15</v>
          </cell>
          <cell r="E721">
            <v>16</v>
          </cell>
          <cell r="F721">
            <v>0</v>
          </cell>
          <cell r="G721">
            <v>0</v>
          </cell>
          <cell r="H721">
            <v>47</v>
          </cell>
        </row>
        <row r="722">
          <cell r="A722" t="str">
            <v>PKE</v>
          </cell>
          <cell r="B722" t="str">
            <v>TKY</v>
          </cell>
          <cell r="C722" t="str">
            <v>M.VSL</v>
          </cell>
          <cell r="D722">
            <v>32</v>
          </cell>
          <cell r="E722">
            <v>14</v>
          </cell>
          <cell r="F722">
            <v>0</v>
          </cell>
          <cell r="G722">
            <v>0</v>
          </cell>
          <cell r="H722">
            <v>60</v>
          </cell>
        </row>
        <row r="723">
          <cell r="A723" t="str">
            <v>PKE</v>
          </cell>
          <cell r="B723" t="str">
            <v>YOK</v>
          </cell>
          <cell r="C723" t="str">
            <v>M.VSL</v>
          </cell>
          <cell r="D723">
            <v>15</v>
          </cell>
          <cell r="E723">
            <v>5</v>
          </cell>
          <cell r="F723">
            <v>0</v>
          </cell>
          <cell r="G723">
            <v>0</v>
          </cell>
          <cell r="H723">
            <v>25</v>
          </cell>
        </row>
        <row r="724">
          <cell r="A724" t="str">
            <v>PNA</v>
          </cell>
          <cell r="B724" t="str">
            <v>BOM</v>
          </cell>
          <cell r="C724" t="str">
            <v>M.VSL</v>
          </cell>
          <cell r="D724">
            <v>0</v>
          </cell>
          <cell r="E724">
            <v>3</v>
          </cell>
          <cell r="F724">
            <v>0</v>
          </cell>
          <cell r="G724">
            <v>0</v>
          </cell>
          <cell r="H724">
            <v>6</v>
          </cell>
        </row>
        <row r="725">
          <cell r="A725" t="str">
            <v>PNA</v>
          </cell>
          <cell r="B725" t="str">
            <v>PKE</v>
          </cell>
          <cell r="C725" t="str">
            <v>M.VSL</v>
          </cell>
          <cell r="D725">
            <v>2</v>
          </cell>
          <cell r="E725">
            <v>1</v>
          </cell>
          <cell r="F725">
            <v>0</v>
          </cell>
          <cell r="G725">
            <v>0</v>
          </cell>
          <cell r="H725">
            <v>4</v>
          </cell>
        </row>
        <row r="726">
          <cell r="A726" t="str">
            <v>PNA</v>
          </cell>
          <cell r="B726" t="str">
            <v>PKE</v>
          </cell>
          <cell r="C726" t="str">
            <v>C.FDR</v>
          </cell>
          <cell r="D726">
            <v>104</v>
          </cell>
          <cell r="E726">
            <v>61</v>
          </cell>
          <cell r="F726">
            <v>0</v>
          </cell>
          <cell r="G726">
            <v>0</v>
          </cell>
          <cell r="H726">
            <v>226</v>
          </cell>
        </row>
        <row r="727">
          <cell r="A727" t="str">
            <v>PNA</v>
          </cell>
          <cell r="B727" t="str">
            <v>SIN</v>
          </cell>
          <cell r="C727" t="str">
            <v>M.VSL</v>
          </cell>
          <cell r="D727">
            <v>34</v>
          </cell>
          <cell r="E727">
            <v>57</v>
          </cell>
          <cell r="F727">
            <v>16</v>
          </cell>
          <cell r="G727">
            <v>15</v>
          </cell>
          <cell r="H727">
            <v>194</v>
          </cell>
        </row>
        <row r="728">
          <cell r="A728" t="str">
            <v>PNA</v>
          </cell>
          <cell r="B728" t="str">
            <v>SIN</v>
          </cell>
          <cell r="C728" t="str">
            <v>C.FDR</v>
          </cell>
          <cell r="D728">
            <v>21</v>
          </cell>
          <cell r="E728">
            <v>143</v>
          </cell>
          <cell r="F728">
            <v>0</v>
          </cell>
          <cell r="G728">
            <v>6</v>
          </cell>
          <cell r="H728">
            <v>319</v>
          </cell>
        </row>
        <row r="729">
          <cell r="A729" t="str">
            <v>PNT</v>
          </cell>
          <cell r="B729" t="str">
            <v>JAK</v>
          </cell>
          <cell r="C729" t="str">
            <v>C.FDR</v>
          </cell>
          <cell r="D729">
            <v>0</v>
          </cell>
          <cell r="E729">
            <v>0</v>
          </cell>
          <cell r="F729">
            <v>1</v>
          </cell>
          <cell r="G729">
            <v>0</v>
          </cell>
          <cell r="H729">
            <v>1</v>
          </cell>
        </row>
        <row r="730">
          <cell r="A730" t="str">
            <v>PNT</v>
          </cell>
          <cell r="B730" t="str">
            <v>SIN</v>
          </cell>
          <cell r="C730" t="str">
            <v>C.FDR</v>
          </cell>
          <cell r="D730">
            <v>0</v>
          </cell>
          <cell r="E730">
            <v>3</v>
          </cell>
          <cell r="F730">
            <v>0</v>
          </cell>
          <cell r="G730">
            <v>0</v>
          </cell>
          <cell r="H730">
            <v>6</v>
          </cell>
        </row>
        <row r="731">
          <cell r="A731" t="str">
            <v>PPT</v>
          </cell>
          <cell r="B731" t="str">
            <v>BRS</v>
          </cell>
          <cell r="C731" t="str">
            <v>M.VSL</v>
          </cell>
          <cell r="D731">
            <v>0</v>
          </cell>
          <cell r="E731">
            <v>0</v>
          </cell>
          <cell r="F731">
            <v>32</v>
          </cell>
          <cell r="G731">
            <v>0</v>
          </cell>
          <cell r="H731">
            <v>32</v>
          </cell>
        </row>
        <row r="732">
          <cell r="A732" t="str">
            <v>PPT</v>
          </cell>
          <cell r="B732" t="str">
            <v>JAK</v>
          </cell>
          <cell r="C732" t="str">
            <v>M.VSL</v>
          </cell>
          <cell r="D732">
            <v>0</v>
          </cell>
          <cell r="E732">
            <v>0</v>
          </cell>
          <cell r="F732">
            <v>0</v>
          </cell>
          <cell r="G732">
            <v>7</v>
          </cell>
          <cell r="H732">
            <v>14</v>
          </cell>
        </row>
        <row r="733">
          <cell r="A733" t="str">
            <v>PSA</v>
          </cell>
          <cell r="B733" t="str">
            <v>BSN</v>
          </cell>
          <cell r="C733" t="str">
            <v>M.VSL</v>
          </cell>
          <cell r="D733">
            <v>22</v>
          </cell>
          <cell r="E733">
            <v>4</v>
          </cell>
          <cell r="F733">
            <v>0</v>
          </cell>
          <cell r="G733">
            <v>0</v>
          </cell>
          <cell r="H733">
            <v>30</v>
          </cell>
        </row>
        <row r="734">
          <cell r="A734" t="str">
            <v>PSA</v>
          </cell>
          <cell r="B734" t="str">
            <v>GEN</v>
          </cell>
          <cell r="C734" t="str">
            <v>M.VSL</v>
          </cell>
          <cell r="D734">
            <v>8</v>
          </cell>
          <cell r="E734">
            <v>3</v>
          </cell>
          <cell r="F734">
            <v>130</v>
          </cell>
          <cell r="G734">
            <v>72</v>
          </cell>
          <cell r="H734">
            <v>288</v>
          </cell>
        </row>
        <row r="735">
          <cell r="A735" t="str">
            <v>PSA</v>
          </cell>
          <cell r="B735" t="str">
            <v>HKG</v>
          </cell>
          <cell r="C735" t="str">
            <v>M.VSL</v>
          </cell>
          <cell r="D735">
            <v>3</v>
          </cell>
          <cell r="E735">
            <v>103</v>
          </cell>
          <cell r="F735">
            <v>0</v>
          </cell>
          <cell r="G735">
            <v>0</v>
          </cell>
          <cell r="H735">
            <v>209</v>
          </cell>
        </row>
        <row r="736">
          <cell r="A736" t="str">
            <v>PSA</v>
          </cell>
          <cell r="B736" t="str">
            <v>JED</v>
          </cell>
          <cell r="C736" t="str">
            <v>M.VSL</v>
          </cell>
          <cell r="D736">
            <v>27</v>
          </cell>
          <cell r="E736">
            <v>5</v>
          </cell>
          <cell r="F736">
            <v>0</v>
          </cell>
          <cell r="G736">
            <v>0</v>
          </cell>
          <cell r="H736">
            <v>37</v>
          </cell>
        </row>
        <row r="737">
          <cell r="A737" t="str">
            <v>PSA</v>
          </cell>
          <cell r="B737" t="str">
            <v>KEE</v>
          </cell>
          <cell r="C737" t="str">
            <v>M.VSL</v>
          </cell>
          <cell r="D737">
            <v>1</v>
          </cell>
          <cell r="E737">
            <v>0</v>
          </cell>
          <cell r="F737">
            <v>0</v>
          </cell>
          <cell r="G737">
            <v>0</v>
          </cell>
          <cell r="H737">
            <v>1</v>
          </cell>
        </row>
        <row r="738">
          <cell r="A738" t="str">
            <v>PSA</v>
          </cell>
          <cell r="B738" t="str">
            <v>KOB</v>
          </cell>
          <cell r="C738" t="str">
            <v>M.VSL</v>
          </cell>
          <cell r="D738">
            <v>3</v>
          </cell>
          <cell r="E738">
            <v>0</v>
          </cell>
          <cell r="F738">
            <v>0</v>
          </cell>
          <cell r="G738">
            <v>0</v>
          </cell>
          <cell r="H738">
            <v>3</v>
          </cell>
        </row>
        <row r="739">
          <cell r="A739" t="str">
            <v>PSA</v>
          </cell>
          <cell r="B739" t="str">
            <v>NGO</v>
          </cell>
          <cell r="C739" t="str">
            <v>M.VSL</v>
          </cell>
          <cell r="D739">
            <v>4</v>
          </cell>
          <cell r="E739">
            <v>0</v>
          </cell>
          <cell r="F739">
            <v>0</v>
          </cell>
          <cell r="G739">
            <v>0</v>
          </cell>
          <cell r="H739">
            <v>4</v>
          </cell>
        </row>
        <row r="740">
          <cell r="A740" t="str">
            <v>PSA</v>
          </cell>
          <cell r="B740" t="str">
            <v>SIN</v>
          </cell>
          <cell r="C740" t="str">
            <v>M.VSL</v>
          </cell>
          <cell r="D740">
            <v>24</v>
          </cell>
          <cell r="E740">
            <v>97</v>
          </cell>
          <cell r="F740">
            <v>0</v>
          </cell>
          <cell r="G740">
            <v>0</v>
          </cell>
          <cell r="H740">
            <v>218</v>
          </cell>
        </row>
        <row r="741">
          <cell r="A741" t="str">
            <v>PSA</v>
          </cell>
          <cell r="B741" t="str">
            <v>YOK</v>
          </cell>
          <cell r="C741" t="str">
            <v>M.VSL</v>
          </cell>
          <cell r="D741">
            <v>6</v>
          </cell>
          <cell r="E741">
            <v>1</v>
          </cell>
          <cell r="F741">
            <v>0</v>
          </cell>
          <cell r="G741">
            <v>0</v>
          </cell>
          <cell r="H741">
            <v>8</v>
          </cell>
        </row>
        <row r="742">
          <cell r="A742" t="str">
            <v>PTL</v>
          </cell>
          <cell r="B742" t="str">
            <v>BSN</v>
          </cell>
          <cell r="C742" t="str">
            <v>M.VSL</v>
          </cell>
          <cell r="D742">
            <v>67</v>
          </cell>
          <cell r="E742">
            <v>640</v>
          </cell>
          <cell r="F742">
            <v>2</v>
          </cell>
          <cell r="G742">
            <v>8</v>
          </cell>
          <cell r="H742">
            <v>1365</v>
          </cell>
        </row>
        <row r="743">
          <cell r="A743" t="str">
            <v>PTL</v>
          </cell>
          <cell r="B743" t="str">
            <v>HKG</v>
          </cell>
          <cell r="C743" t="str">
            <v>M.VSL</v>
          </cell>
          <cell r="D743">
            <v>31</v>
          </cell>
          <cell r="E743">
            <v>83</v>
          </cell>
          <cell r="F743">
            <v>0</v>
          </cell>
          <cell r="G743">
            <v>33</v>
          </cell>
          <cell r="H743">
            <v>263</v>
          </cell>
        </row>
        <row r="744">
          <cell r="A744" t="str">
            <v>PTL</v>
          </cell>
          <cell r="B744" t="str">
            <v>KAO</v>
          </cell>
          <cell r="C744" t="str">
            <v>M.VSL</v>
          </cell>
          <cell r="D744">
            <v>27</v>
          </cell>
          <cell r="E744">
            <v>124</v>
          </cell>
          <cell r="F744">
            <v>0</v>
          </cell>
          <cell r="G744">
            <v>0</v>
          </cell>
          <cell r="H744">
            <v>275</v>
          </cell>
        </row>
        <row r="745">
          <cell r="A745" t="str">
            <v>PTL</v>
          </cell>
          <cell r="B745" t="str">
            <v>YOK</v>
          </cell>
          <cell r="C745" t="str">
            <v>M.VSL</v>
          </cell>
          <cell r="D745">
            <v>10</v>
          </cell>
          <cell r="E745">
            <v>230</v>
          </cell>
          <cell r="F745">
            <v>0</v>
          </cell>
          <cell r="G745">
            <v>0</v>
          </cell>
          <cell r="H745">
            <v>470</v>
          </cell>
        </row>
        <row r="746">
          <cell r="A746" t="str">
            <v>QDO</v>
          </cell>
          <cell r="B746" t="str">
            <v>BSN</v>
          </cell>
          <cell r="C746" t="str">
            <v>M.VSL</v>
          </cell>
          <cell r="D746">
            <v>180</v>
          </cell>
          <cell r="E746">
            <v>313</v>
          </cell>
          <cell r="F746">
            <v>0</v>
          </cell>
          <cell r="G746">
            <v>0</v>
          </cell>
          <cell r="H746">
            <v>806</v>
          </cell>
        </row>
        <row r="747">
          <cell r="A747" t="str">
            <v>QDO</v>
          </cell>
          <cell r="B747" t="str">
            <v>BSN</v>
          </cell>
          <cell r="C747" t="str">
            <v>C.FDR</v>
          </cell>
          <cell r="D747">
            <v>18</v>
          </cell>
          <cell r="E747">
            <v>119</v>
          </cell>
          <cell r="F747">
            <v>0</v>
          </cell>
          <cell r="G747">
            <v>0</v>
          </cell>
          <cell r="H747">
            <v>256</v>
          </cell>
        </row>
        <row r="748">
          <cell r="A748" t="str">
            <v>QDO</v>
          </cell>
          <cell r="B748" t="str">
            <v>HAM</v>
          </cell>
          <cell r="C748" t="str">
            <v>M.VSL</v>
          </cell>
          <cell r="D748">
            <v>61</v>
          </cell>
          <cell r="E748">
            <v>26</v>
          </cell>
          <cell r="F748">
            <v>0</v>
          </cell>
          <cell r="G748">
            <v>4</v>
          </cell>
          <cell r="H748">
            <v>121</v>
          </cell>
        </row>
        <row r="749">
          <cell r="A749" t="str">
            <v>QDO</v>
          </cell>
          <cell r="B749" t="str">
            <v>HKG</v>
          </cell>
          <cell r="C749" t="str">
            <v>C.FDR</v>
          </cell>
          <cell r="D749">
            <v>0</v>
          </cell>
          <cell r="E749">
            <v>5</v>
          </cell>
          <cell r="F749">
            <v>0</v>
          </cell>
          <cell r="G749">
            <v>0</v>
          </cell>
          <cell r="H749">
            <v>10</v>
          </cell>
        </row>
        <row r="750">
          <cell r="A750" t="str">
            <v>QDO</v>
          </cell>
          <cell r="B750" t="str">
            <v>LEH</v>
          </cell>
          <cell r="C750" t="str">
            <v>M.VSL</v>
          </cell>
          <cell r="D750">
            <v>10</v>
          </cell>
          <cell r="E750">
            <v>11</v>
          </cell>
          <cell r="F750">
            <v>0</v>
          </cell>
          <cell r="G750">
            <v>0</v>
          </cell>
          <cell r="H750">
            <v>32</v>
          </cell>
        </row>
        <row r="751">
          <cell r="A751" t="str">
            <v>QDO</v>
          </cell>
          <cell r="B751" t="str">
            <v>NGO</v>
          </cell>
          <cell r="C751" t="str">
            <v>M.VSL</v>
          </cell>
          <cell r="D751">
            <v>9</v>
          </cell>
          <cell r="E751">
            <v>0</v>
          </cell>
          <cell r="F751">
            <v>0</v>
          </cell>
          <cell r="G751">
            <v>0</v>
          </cell>
          <cell r="H751">
            <v>9</v>
          </cell>
        </row>
        <row r="752">
          <cell r="A752" t="str">
            <v>QDO</v>
          </cell>
          <cell r="B752" t="str">
            <v>OAK</v>
          </cell>
          <cell r="C752" t="str">
            <v>M.VSL</v>
          </cell>
          <cell r="D752">
            <v>52</v>
          </cell>
          <cell r="E752">
            <v>163</v>
          </cell>
          <cell r="F752">
            <v>0</v>
          </cell>
          <cell r="G752">
            <v>0</v>
          </cell>
          <cell r="H752">
            <v>378</v>
          </cell>
        </row>
        <row r="753">
          <cell r="A753" t="str">
            <v>QDO</v>
          </cell>
          <cell r="B753" t="str">
            <v>QDO</v>
          </cell>
          <cell r="C753" t="str">
            <v>C.FDR</v>
          </cell>
          <cell r="D753">
            <v>0</v>
          </cell>
          <cell r="E753">
            <v>1</v>
          </cell>
          <cell r="F753">
            <v>0</v>
          </cell>
          <cell r="G753">
            <v>0</v>
          </cell>
          <cell r="H753">
            <v>2</v>
          </cell>
        </row>
        <row r="754">
          <cell r="A754" t="str">
            <v>QDO</v>
          </cell>
          <cell r="B754" t="str">
            <v>SIN</v>
          </cell>
          <cell r="C754" t="str">
            <v>M.VSL</v>
          </cell>
          <cell r="D754">
            <v>153</v>
          </cell>
          <cell r="E754">
            <v>115</v>
          </cell>
          <cell r="F754">
            <v>0</v>
          </cell>
          <cell r="G754">
            <v>0</v>
          </cell>
          <cell r="H754">
            <v>383</v>
          </cell>
        </row>
        <row r="755">
          <cell r="A755" t="str">
            <v>QDO</v>
          </cell>
          <cell r="B755" t="str">
            <v>SOO</v>
          </cell>
          <cell r="C755" t="str">
            <v>M.VSL</v>
          </cell>
          <cell r="D755">
            <v>12</v>
          </cell>
          <cell r="E755">
            <v>6</v>
          </cell>
          <cell r="F755">
            <v>0</v>
          </cell>
          <cell r="G755">
            <v>0</v>
          </cell>
          <cell r="H755">
            <v>24</v>
          </cell>
        </row>
        <row r="756">
          <cell r="A756" t="str">
            <v>QDO</v>
          </cell>
          <cell r="B756" t="str">
            <v>SPO</v>
          </cell>
          <cell r="C756" t="str">
            <v>M.VSL</v>
          </cell>
          <cell r="D756">
            <v>34</v>
          </cell>
          <cell r="E756">
            <v>98</v>
          </cell>
          <cell r="F756">
            <v>0</v>
          </cell>
          <cell r="G756">
            <v>0</v>
          </cell>
          <cell r="H756">
            <v>230</v>
          </cell>
        </row>
        <row r="757">
          <cell r="A757" t="str">
            <v>QNH</v>
          </cell>
          <cell r="B757" t="str">
            <v>HMN</v>
          </cell>
          <cell r="C757" t="str">
            <v>C.FDR</v>
          </cell>
          <cell r="D757">
            <v>1</v>
          </cell>
          <cell r="E757">
            <v>1</v>
          </cell>
          <cell r="F757">
            <v>0</v>
          </cell>
          <cell r="G757">
            <v>0</v>
          </cell>
          <cell r="H757">
            <v>3</v>
          </cell>
        </row>
        <row r="758">
          <cell r="A758" t="str">
            <v>QNH</v>
          </cell>
          <cell r="B758" t="str">
            <v>SIN</v>
          </cell>
          <cell r="C758" t="str">
            <v>C.FDR</v>
          </cell>
          <cell r="D758">
            <v>0</v>
          </cell>
          <cell r="E758">
            <v>4</v>
          </cell>
          <cell r="F758">
            <v>0</v>
          </cell>
          <cell r="G758">
            <v>0</v>
          </cell>
          <cell r="H758">
            <v>8</v>
          </cell>
        </row>
        <row r="759">
          <cell r="A759" t="str">
            <v>QVA</v>
          </cell>
          <cell r="B759" t="str">
            <v>CBO</v>
          </cell>
          <cell r="C759" t="str">
            <v>C.FDR</v>
          </cell>
          <cell r="D759">
            <v>0</v>
          </cell>
          <cell r="E759">
            <v>35</v>
          </cell>
          <cell r="F759">
            <v>0</v>
          </cell>
          <cell r="G759">
            <v>0</v>
          </cell>
          <cell r="H759">
            <v>70</v>
          </cell>
        </row>
        <row r="760">
          <cell r="A760" t="str">
            <v>QVA</v>
          </cell>
          <cell r="B760" t="str">
            <v>NSA</v>
          </cell>
          <cell r="C760" t="str">
            <v>C.FDR</v>
          </cell>
          <cell r="D760">
            <v>0</v>
          </cell>
          <cell r="E760">
            <v>9</v>
          </cell>
          <cell r="F760">
            <v>0</v>
          </cell>
          <cell r="G760">
            <v>0</v>
          </cell>
          <cell r="H760">
            <v>18</v>
          </cell>
        </row>
        <row r="761">
          <cell r="A761" t="str">
            <v>RAN</v>
          </cell>
          <cell r="B761" t="str">
            <v>SIN</v>
          </cell>
          <cell r="C761" t="str">
            <v>C.FDR</v>
          </cell>
          <cell r="D761">
            <v>36</v>
          </cell>
          <cell r="E761">
            <v>52</v>
          </cell>
          <cell r="F761">
            <v>1</v>
          </cell>
          <cell r="G761">
            <v>0</v>
          </cell>
          <cell r="H761">
            <v>141</v>
          </cell>
        </row>
        <row r="762">
          <cell r="A762" t="str">
            <v>RHX</v>
          </cell>
          <cell r="B762" t="str">
            <v>BHA</v>
          </cell>
          <cell r="C762" t="str">
            <v>M.VSL</v>
          </cell>
          <cell r="D762">
            <v>8</v>
          </cell>
          <cell r="E762">
            <v>0</v>
          </cell>
          <cell r="F762">
            <v>0</v>
          </cell>
          <cell r="G762">
            <v>0</v>
          </cell>
          <cell r="H762">
            <v>8</v>
          </cell>
        </row>
        <row r="763">
          <cell r="A763" t="str">
            <v>RHX</v>
          </cell>
          <cell r="B763" t="str">
            <v>BSN</v>
          </cell>
          <cell r="C763" t="str">
            <v>M.VSL</v>
          </cell>
          <cell r="D763">
            <v>32</v>
          </cell>
          <cell r="E763">
            <v>2</v>
          </cell>
          <cell r="F763">
            <v>112</v>
          </cell>
          <cell r="G763">
            <v>184</v>
          </cell>
          <cell r="H763">
            <v>516</v>
          </cell>
        </row>
        <row r="764">
          <cell r="A764" t="str">
            <v>RHX</v>
          </cell>
          <cell r="B764" t="str">
            <v>DMM</v>
          </cell>
          <cell r="C764" t="str">
            <v>M.VSL</v>
          </cell>
          <cell r="D764">
            <v>11</v>
          </cell>
          <cell r="E764">
            <v>2</v>
          </cell>
          <cell r="F764">
            <v>0</v>
          </cell>
          <cell r="G764">
            <v>0</v>
          </cell>
          <cell r="H764">
            <v>15</v>
          </cell>
        </row>
        <row r="765">
          <cell r="A765" t="str">
            <v>RHX</v>
          </cell>
          <cell r="B765" t="str">
            <v>DOH</v>
          </cell>
          <cell r="C765" t="str">
            <v>C.FDR</v>
          </cell>
          <cell r="D765">
            <v>1</v>
          </cell>
          <cell r="E765">
            <v>0</v>
          </cell>
          <cell r="F765">
            <v>0</v>
          </cell>
          <cell r="G765">
            <v>0</v>
          </cell>
          <cell r="H765">
            <v>1</v>
          </cell>
        </row>
        <row r="766">
          <cell r="A766" t="str">
            <v>RHX</v>
          </cell>
          <cell r="B766" t="str">
            <v>HKG</v>
          </cell>
          <cell r="C766" t="str">
            <v>M.VSL</v>
          </cell>
          <cell r="D766">
            <v>2</v>
          </cell>
          <cell r="E766">
            <v>3</v>
          </cell>
          <cell r="F766">
            <v>0</v>
          </cell>
          <cell r="G766">
            <v>73</v>
          </cell>
          <cell r="H766">
            <v>154</v>
          </cell>
        </row>
        <row r="767">
          <cell r="A767" t="str">
            <v>RHX</v>
          </cell>
          <cell r="B767" t="str">
            <v>INC</v>
          </cell>
          <cell r="C767" t="str">
            <v>M.VSL</v>
          </cell>
          <cell r="D767">
            <v>12</v>
          </cell>
          <cell r="E767">
            <v>0</v>
          </cell>
          <cell r="F767">
            <v>59</v>
          </cell>
          <cell r="G767">
            <v>0</v>
          </cell>
          <cell r="H767">
            <v>71</v>
          </cell>
        </row>
        <row r="768">
          <cell r="A768" t="str">
            <v>RHX</v>
          </cell>
          <cell r="B768" t="str">
            <v>KAH</v>
          </cell>
          <cell r="C768" t="str">
            <v>M.VSL</v>
          </cell>
          <cell r="D768">
            <v>34</v>
          </cell>
          <cell r="E768">
            <v>16</v>
          </cell>
          <cell r="F768">
            <v>0</v>
          </cell>
          <cell r="G768">
            <v>6</v>
          </cell>
          <cell r="H768">
            <v>78</v>
          </cell>
        </row>
        <row r="769">
          <cell r="A769" t="str">
            <v>RHX</v>
          </cell>
          <cell r="B769" t="str">
            <v>KWT</v>
          </cell>
          <cell r="C769" t="str">
            <v>M.VSL</v>
          </cell>
          <cell r="D769">
            <v>17</v>
          </cell>
          <cell r="E769">
            <v>1</v>
          </cell>
          <cell r="F769">
            <v>0</v>
          </cell>
          <cell r="G769">
            <v>0</v>
          </cell>
          <cell r="H769">
            <v>19</v>
          </cell>
        </row>
        <row r="770">
          <cell r="A770" t="str">
            <v>RHX</v>
          </cell>
          <cell r="B770" t="str">
            <v>KYG</v>
          </cell>
          <cell r="C770" t="str">
            <v>M.VSL</v>
          </cell>
          <cell r="D770">
            <v>0</v>
          </cell>
          <cell r="E770">
            <v>0</v>
          </cell>
          <cell r="F770">
            <v>177</v>
          </cell>
          <cell r="G770">
            <v>0</v>
          </cell>
          <cell r="H770">
            <v>177</v>
          </cell>
        </row>
        <row r="771">
          <cell r="A771" t="str">
            <v>RHX</v>
          </cell>
          <cell r="B771" t="str">
            <v>MST</v>
          </cell>
          <cell r="C771" t="str">
            <v>C.FDR</v>
          </cell>
          <cell r="D771">
            <v>2</v>
          </cell>
          <cell r="E771">
            <v>0</v>
          </cell>
          <cell r="F771">
            <v>0</v>
          </cell>
          <cell r="G771">
            <v>0</v>
          </cell>
          <cell r="H771">
            <v>2</v>
          </cell>
        </row>
        <row r="772">
          <cell r="A772" t="str">
            <v>RHX</v>
          </cell>
          <cell r="B772" t="str">
            <v>SIN</v>
          </cell>
          <cell r="C772" t="str">
            <v>M.VSL</v>
          </cell>
          <cell r="D772">
            <v>3</v>
          </cell>
          <cell r="E772">
            <v>0</v>
          </cell>
          <cell r="F772">
            <v>0</v>
          </cell>
          <cell r="G772">
            <v>36</v>
          </cell>
          <cell r="H772">
            <v>75</v>
          </cell>
        </row>
        <row r="773">
          <cell r="A773" t="str">
            <v>RTM</v>
          </cell>
          <cell r="B773" t="str">
            <v>BSN</v>
          </cell>
          <cell r="C773" t="str">
            <v>M.VSL</v>
          </cell>
          <cell r="D773">
            <v>215</v>
          </cell>
          <cell r="E773">
            <v>274</v>
          </cell>
          <cell r="F773">
            <v>71</v>
          </cell>
          <cell r="G773">
            <v>78</v>
          </cell>
          <cell r="H773">
            <v>990</v>
          </cell>
        </row>
        <row r="774">
          <cell r="A774" t="str">
            <v>RTM</v>
          </cell>
          <cell r="B774" t="str">
            <v>CBO</v>
          </cell>
          <cell r="C774" t="str">
            <v>M.VSL</v>
          </cell>
          <cell r="D774">
            <v>50</v>
          </cell>
          <cell r="E774">
            <v>28</v>
          </cell>
          <cell r="F774">
            <v>0</v>
          </cell>
          <cell r="G774">
            <v>0</v>
          </cell>
          <cell r="H774">
            <v>106</v>
          </cell>
        </row>
        <row r="775">
          <cell r="A775" t="str">
            <v>RTM</v>
          </cell>
          <cell r="B775" t="str">
            <v>CST</v>
          </cell>
          <cell r="C775" t="str">
            <v>M.VSL</v>
          </cell>
          <cell r="D775">
            <v>17</v>
          </cell>
          <cell r="E775">
            <v>42</v>
          </cell>
          <cell r="F775">
            <v>0</v>
          </cell>
          <cell r="G775">
            <v>0</v>
          </cell>
          <cell r="H775">
            <v>101</v>
          </cell>
        </row>
        <row r="776">
          <cell r="A776" t="str">
            <v>RTM</v>
          </cell>
          <cell r="B776" t="str">
            <v>FEL</v>
          </cell>
          <cell r="C776" t="str">
            <v>M.VSL</v>
          </cell>
          <cell r="D776">
            <v>1</v>
          </cell>
          <cell r="E776">
            <v>0</v>
          </cell>
          <cell r="F776">
            <v>0</v>
          </cell>
          <cell r="G776">
            <v>0</v>
          </cell>
          <cell r="H776">
            <v>1</v>
          </cell>
        </row>
        <row r="777">
          <cell r="A777" t="str">
            <v>RTM</v>
          </cell>
          <cell r="B777" t="str">
            <v>HAM</v>
          </cell>
          <cell r="C777" t="str">
            <v>M.VSL</v>
          </cell>
          <cell r="D777">
            <v>2</v>
          </cell>
          <cell r="E777">
            <v>6</v>
          </cell>
          <cell r="F777">
            <v>0</v>
          </cell>
          <cell r="G777">
            <v>24</v>
          </cell>
          <cell r="H777">
            <v>62</v>
          </cell>
        </row>
        <row r="778">
          <cell r="A778" t="str">
            <v>RTM</v>
          </cell>
          <cell r="B778" t="str">
            <v>HAT</v>
          </cell>
          <cell r="C778" t="str">
            <v>M.VSL</v>
          </cell>
          <cell r="D778">
            <v>26</v>
          </cell>
          <cell r="E778">
            <v>33</v>
          </cell>
          <cell r="F778">
            <v>0</v>
          </cell>
          <cell r="G778">
            <v>22</v>
          </cell>
          <cell r="H778">
            <v>136</v>
          </cell>
        </row>
        <row r="779">
          <cell r="A779" t="str">
            <v>RTM</v>
          </cell>
          <cell r="B779" t="str">
            <v>HKG</v>
          </cell>
          <cell r="C779" t="str">
            <v>M.VSL</v>
          </cell>
          <cell r="D779">
            <v>46</v>
          </cell>
          <cell r="E779">
            <v>106</v>
          </cell>
          <cell r="F779">
            <v>0</v>
          </cell>
          <cell r="G779">
            <v>60</v>
          </cell>
          <cell r="H779">
            <v>378</v>
          </cell>
        </row>
        <row r="780">
          <cell r="A780" t="str">
            <v>RTM</v>
          </cell>
          <cell r="B780" t="str">
            <v>HOU</v>
          </cell>
          <cell r="C780" t="str">
            <v>M.VSL</v>
          </cell>
          <cell r="D780">
            <v>18</v>
          </cell>
          <cell r="E780">
            <v>60</v>
          </cell>
          <cell r="F780">
            <v>0</v>
          </cell>
          <cell r="G780">
            <v>0</v>
          </cell>
          <cell r="H780">
            <v>138</v>
          </cell>
        </row>
        <row r="781">
          <cell r="A781" t="str">
            <v>RTM</v>
          </cell>
          <cell r="B781" t="str">
            <v>KAO</v>
          </cell>
          <cell r="C781" t="str">
            <v>M.VSL</v>
          </cell>
          <cell r="D781">
            <v>90</v>
          </cell>
          <cell r="E781">
            <v>241</v>
          </cell>
          <cell r="F781">
            <v>0</v>
          </cell>
          <cell r="G781">
            <v>0</v>
          </cell>
          <cell r="H781">
            <v>572</v>
          </cell>
        </row>
        <row r="782">
          <cell r="A782" t="str">
            <v>RTM</v>
          </cell>
          <cell r="B782" t="str">
            <v>KOB</v>
          </cell>
          <cell r="C782" t="str">
            <v>M.VSL</v>
          </cell>
          <cell r="D782">
            <v>82</v>
          </cell>
          <cell r="E782">
            <v>59</v>
          </cell>
          <cell r="F782">
            <v>0</v>
          </cell>
          <cell r="G782">
            <v>0</v>
          </cell>
          <cell r="H782">
            <v>200</v>
          </cell>
        </row>
        <row r="783">
          <cell r="A783" t="str">
            <v>RTM</v>
          </cell>
          <cell r="B783" t="str">
            <v>KYG</v>
          </cell>
          <cell r="C783" t="str">
            <v>M.VSL</v>
          </cell>
          <cell r="D783">
            <v>34</v>
          </cell>
          <cell r="E783">
            <v>71</v>
          </cell>
          <cell r="F783">
            <v>89</v>
          </cell>
          <cell r="G783">
            <v>0</v>
          </cell>
          <cell r="H783">
            <v>265</v>
          </cell>
        </row>
        <row r="784">
          <cell r="A784" t="str">
            <v>RTM</v>
          </cell>
          <cell r="B784" t="str">
            <v>LEH</v>
          </cell>
          <cell r="C784" t="str">
            <v>M.VSL</v>
          </cell>
          <cell r="D784">
            <v>0</v>
          </cell>
          <cell r="E784">
            <v>2</v>
          </cell>
          <cell r="F784">
            <v>0</v>
          </cell>
          <cell r="G784">
            <v>4</v>
          </cell>
          <cell r="H784">
            <v>12</v>
          </cell>
        </row>
        <row r="785">
          <cell r="A785" t="str">
            <v>RTM</v>
          </cell>
          <cell r="B785" t="str">
            <v>NGO</v>
          </cell>
          <cell r="C785" t="str">
            <v>M.VSL</v>
          </cell>
          <cell r="D785">
            <v>29</v>
          </cell>
          <cell r="E785">
            <v>21</v>
          </cell>
          <cell r="F785">
            <v>0</v>
          </cell>
          <cell r="G785">
            <v>0</v>
          </cell>
          <cell r="H785">
            <v>71</v>
          </cell>
        </row>
        <row r="786">
          <cell r="A786" t="str">
            <v>RTM</v>
          </cell>
          <cell r="B786" t="str">
            <v>NOU</v>
          </cell>
          <cell r="C786" t="str">
            <v>M.VSL</v>
          </cell>
          <cell r="D786">
            <v>1</v>
          </cell>
          <cell r="E786">
            <v>1</v>
          </cell>
          <cell r="F786">
            <v>0</v>
          </cell>
          <cell r="G786">
            <v>0</v>
          </cell>
          <cell r="H786">
            <v>3</v>
          </cell>
        </row>
        <row r="787">
          <cell r="A787" t="str">
            <v>RTM</v>
          </cell>
          <cell r="B787" t="str">
            <v>NRF</v>
          </cell>
          <cell r="C787" t="str">
            <v>M.VSL</v>
          </cell>
          <cell r="D787">
            <v>1</v>
          </cell>
          <cell r="E787">
            <v>14</v>
          </cell>
          <cell r="F787">
            <v>0</v>
          </cell>
          <cell r="G787">
            <v>0</v>
          </cell>
          <cell r="H787">
            <v>29</v>
          </cell>
        </row>
        <row r="788">
          <cell r="A788" t="str">
            <v>RTM</v>
          </cell>
          <cell r="B788" t="str">
            <v>NYC</v>
          </cell>
          <cell r="C788" t="str">
            <v>M.VSL</v>
          </cell>
          <cell r="D788">
            <v>58</v>
          </cell>
          <cell r="E788">
            <v>141</v>
          </cell>
          <cell r="F788">
            <v>0</v>
          </cell>
          <cell r="G788">
            <v>0</v>
          </cell>
          <cell r="H788">
            <v>340</v>
          </cell>
        </row>
        <row r="789">
          <cell r="A789" t="str">
            <v>RTM</v>
          </cell>
          <cell r="B789" t="str">
            <v>OAK</v>
          </cell>
          <cell r="C789" t="str">
            <v>M.VSL</v>
          </cell>
          <cell r="D789">
            <v>3</v>
          </cell>
          <cell r="E789">
            <v>25</v>
          </cell>
          <cell r="F789">
            <v>0</v>
          </cell>
          <cell r="G789">
            <v>0</v>
          </cell>
          <cell r="H789">
            <v>53</v>
          </cell>
        </row>
        <row r="790">
          <cell r="A790" t="str">
            <v>RTM</v>
          </cell>
          <cell r="B790" t="str">
            <v>PEF</v>
          </cell>
          <cell r="C790" t="str">
            <v>M.VSL</v>
          </cell>
          <cell r="D790">
            <v>1</v>
          </cell>
          <cell r="E790">
            <v>7</v>
          </cell>
          <cell r="F790">
            <v>0</v>
          </cell>
          <cell r="G790">
            <v>0</v>
          </cell>
          <cell r="H790">
            <v>15</v>
          </cell>
        </row>
        <row r="791">
          <cell r="A791" t="str">
            <v>RTM</v>
          </cell>
          <cell r="B791" t="str">
            <v>SHA</v>
          </cell>
          <cell r="C791" t="str">
            <v>M.VSL</v>
          </cell>
          <cell r="D791">
            <v>40</v>
          </cell>
          <cell r="E791">
            <v>41</v>
          </cell>
          <cell r="F791">
            <v>50</v>
          </cell>
          <cell r="G791">
            <v>317</v>
          </cell>
          <cell r="H791">
            <v>806</v>
          </cell>
        </row>
        <row r="792">
          <cell r="A792" t="str">
            <v>RTM</v>
          </cell>
          <cell r="B792" t="str">
            <v>SIN</v>
          </cell>
          <cell r="C792" t="str">
            <v>M.VSL</v>
          </cell>
          <cell r="D792">
            <v>207</v>
          </cell>
          <cell r="E792">
            <v>239</v>
          </cell>
          <cell r="F792">
            <v>20</v>
          </cell>
          <cell r="G792">
            <v>5</v>
          </cell>
          <cell r="H792">
            <v>715</v>
          </cell>
        </row>
        <row r="793">
          <cell r="A793" t="str">
            <v>RTM</v>
          </cell>
          <cell r="B793" t="str">
            <v>SOO</v>
          </cell>
          <cell r="C793" t="str">
            <v>M.VSL</v>
          </cell>
          <cell r="D793">
            <v>0</v>
          </cell>
          <cell r="E793">
            <v>2</v>
          </cell>
          <cell r="F793">
            <v>1</v>
          </cell>
          <cell r="G793">
            <v>9</v>
          </cell>
          <cell r="H793">
            <v>23</v>
          </cell>
        </row>
        <row r="794">
          <cell r="A794" t="str">
            <v>RTM</v>
          </cell>
          <cell r="B794" t="str">
            <v>SVN</v>
          </cell>
          <cell r="C794" t="str">
            <v>M.VSL</v>
          </cell>
          <cell r="D794">
            <v>1</v>
          </cell>
          <cell r="E794">
            <v>1</v>
          </cell>
          <cell r="F794">
            <v>0</v>
          </cell>
          <cell r="G794">
            <v>0</v>
          </cell>
          <cell r="H794">
            <v>3</v>
          </cell>
        </row>
        <row r="795">
          <cell r="A795" t="str">
            <v>RTM</v>
          </cell>
          <cell r="B795" t="str">
            <v>TKY</v>
          </cell>
          <cell r="C795" t="str">
            <v>M.VSL</v>
          </cell>
          <cell r="D795">
            <v>138</v>
          </cell>
          <cell r="E795">
            <v>126</v>
          </cell>
          <cell r="F795">
            <v>0</v>
          </cell>
          <cell r="G795">
            <v>0</v>
          </cell>
          <cell r="H795">
            <v>390</v>
          </cell>
        </row>
        <row r="796">
          <cell r="A796" t="str">
            <v>RTM</v>
          </cell>
          <cell r="B796" t="str">
            <v>YTN</v>
          </cell>
          <cell r="C796" t="str">
            <v>M.VSL</v>
          </cell>
          <cell r="D796">
            <v>0</v>
          </cell>
          <cell r="E796">
            <v>0</v>
          </cell>
          <cell r="F796">
            <v>30</v>
          </cell>
          <cell r="G796">
            <v>0</v>
          </cell>
          <cell r="H796">
            <v>30</v>
          </cell>
        </row>
        <row r="797">
          <cell r="A797" t="str">
            <v>SAK</v>
          </cell>
          <cell r="B797" t="str">
            <v>BSN</v>
          </cell>
          <cell r="C797" t="str">
            <v>C.FDR</v>
          </cell>
          <cell r="D797">
            <v>0</v>
          </cell>
          <cell r="E797">
            <v>1</v>
          </cell>
          <cell r="F797">
            <v>0</v>
          </cell>
          <cell r="G797">
            <v>0</v>
          </cell>
          <cell r="H797">
            <v>2</v>
          </cell>
        </row>
        <row r="798">
          <cell r="A798" t="str">
            <v>SAP</v>
          </cell>
          <cell r="B798" t="str">
            <v>SUR</v>
          </cell>
          <cell r="C798" t="str">
            <v>C.FDR</v>
          </cell>
          <cell r="D798">
            <v>1</v>
          </cell>
          <cell r="E798">
            <v>0</v>
          </cell>
          <cell r="F798">
            <v>0</v>
          </cell>
          <cell r="G798">
            <v>0</v>
          </cell>
          <cell r="H798">
            <v>1</v>
          </cell>
        </row>
        <row r="799">
          <cell r="A799" t="str">
            <v>SBU</v>
          </cell>
          <cell r="B799" t="str">
            <v>PKE</v>
          </cell>
          <cell r="C799" t="str">
            <v>C.FDR</v>
          </cell>
          <cell r="D799">
            <v>0</v>
          </cell>
          <cell r="E799">
            <v>1</v>
          </cell>
          <cell r="F799">
            <v>0</v>
          </cell>
          <cell r="G799">
            <v>0</v>
          </cell>
          <cell r="H799">
            <v>2</v>
          </cell>
        </row>
        <row r="800">
          <cell r="A800" t="str">
            <v>SBU</v>
          </cell>
          <cell r="B800" t="str">
            <v>SIN</v>
          </cell>
          <cell r="C800" t="str">
            <v>C.FDR</v>
          </cell>
          <cell r="D800">
            <v>0</v>
          </cell>
          <cell r="E800">
            <v>0</v>
          </cell>
          <cell r="F800">
            <v>2</v>
          </cell>
          <cell r="G800">
            <v>5</v>
          </cell>
          <cell r="H800">
            <v>12</v>
          </cell>
        </row>
        <row r="801">
          <cell r="A801" t="str">
            <v>SDI</v>
          </cell>
          <cell r="B801" t="str">
            <v>BSN</v>
          </cell>
          <cell r="C801" t="str">
            <v>C.FDR</v>
          </cell>
          <cell r="D801">
            <v>0</v>
          </cell>
          <cell r="E801">
            <v>5</v>
          </cell>
          <cell r="F801">
            <v>2</v>
          </cell>
          <cell r="G801">
            <v>26</v>
          </cell>
          <cell r="H801">
            <v>64</v>
          </cell>
        </row>
        <row r="802">
          <cell r="A802" t="str">
            <v>SHA</v>
          </cell>
          <cell r="B802" t="str">
            <v>ANT</v>
          </cell>
          <cell r="C802" t="str">
            <v>M.VSL</v>
          </cell>
          <cell r="D802">
            <v>128</v>
          </cell>
          <cell r="E802">
            <v>58</v>
          </cell>
          <cell r="F802">
            <v>0</v>
          </cell>
          <cell r="G802">
            <v>0</v>
          </cell>
          <cell r="H802">
            <v>244</v>
          </cell>
        </row>
        <row r="803">
          <cell r="A803" t="str">
            <v>SHA</v>
          </cell>
          <cell r="B803" t="str">
            <v>BNA</v>
          </cell>
          <cell r="C803" t="str">
            <v>M.VSL</v>
          </cell>
          <cell r="D803">
            <v>8</v>
          </cell>
          <cell r="E803">
            <v>15</v>
          </cell>
          <cell r="F803">
            <v>0</v>
          </cell>
          <cell r="G803">
            <v>0</v>
          </cell>
          <cell r="H803">
            <v>38</v>
          </cell>
        </row>
        <row r="804">
          <cell r="A804" t="str">
            <v>SHA</v>
          </cell>
          <cell r="B804" t="str">
            <v>BRS</v>
          </cell>
          <cell r="C804" t="str">
            <v>M.VSL</v>
          </cell>
          <cell r="D804">
            <v>5</v>
          </cell>
          <cell r="E804">
            <v>0</v>
          </cell>
          <cell r="F804">
            <v>0</v>
          </cell>
          <cell r="G804">
            <v>0</v>
          </cell>
          <cell r="H804">
            <v>5</v>
          </cell>
        </row>
        <row r="805">
          <cell r="A805" t="str">
            <v>SHA</v>
          </cell>
          <cell r="B805" t="str">
            <v>BRV</v>
          </cell>
          <cell r="C805" t="str">
            <v>M.VSL</v>
          </cell>
          <cell r="D805">
            <v>121</v>
          </cell>
          <cell r="E805">
            <v>105</v>
          </cell>
          <cell r="F805">
            <v>2</v>
          </cell>
          <cell r="G805">
            <v>6</v>
          </cell>
          <cell r="H805">
            <v>345</v>
          </cell>
        </row>
        <row r="806">
          <cell r="A806" t="str">
            <v>SHA</v>
          </cell>
          <cell r="B806" t="str">
            <v>BSN</v>
          </cell>
          <cell r="C806" t="str">
            <v>M.VSL</v>
          </cell>
          <cell r="D806">
            <v>179</v>
          </cell>
          <cell r="E806">
            <v>384</v>
          </cell>
          <cell r="F806">
            <v>0</v>
          </cell>
          <cell r="G806">
            <v>0</v>
          </cell>
          <cell r="H806">
            <v>947</v>
          </cell>
        </row>
        <row r="807">
          <cell r="A807" t="str">
            <v>SHA</v>
          </cell>
          <cell r="B807" t="str">
            <v>BSN</v>
          </cell>
          <cell r="C807" t="str">
            <v>C.FDR</v>
          </cell>
          <cell r="D807">
            <v>71</v>
          </cell>
          <cell r="E807">
            <v>61</v>
          </cell>
          <cell r="F807">
            <v>1</v>
          </cell>
          <cell r="G807">
            <v>0</v>
          </cell>
          <cell r="H807">
            <v>194</v>
          </cell>
        </row>
        <row r="808">
          <cell r="A808" t="str">
            <v>SHA</v>
          </cell>
          <cell r="B808" t="str">
            <v>CBO</v>
          </cell>
          <cell r="C808" t="str">
            <v>M.VSL</v>
          </cell>
          <cell r="D808">
            <v>5</v>
          </cell>
          <cell r="E808">
            <v>4</v>
          </cell>
          <cell r="F808">
            <v>0</v>
          </cell>
          <cell r="G808">
            <v>0</v>
          </cell>
          <cell r="H808">
            <v>13</v>
          </cell>
        </row>
        <row r="809">
          <cell r="A809" t="str">
            <v>SHA</v>
          </cell>
          <cell r="B809" t="str">
            <v>DXB</v>
          </cell>
          <cell r="C809" t="str">
            <v>M.VSL</v>
          </cell>
          <cell r="D809">
            <v>190</v>
          </cell>
          <cell r="E809">
            <v>150</v>
          </cell>
          <cell r="F809">
            <v>0</v>
          </cell>
          <cell r="G809">
            <v>0</v>
          </cell>
          <cell r="H809">
            <v>490</v>
          </cell>
        </row>
        <row r="810">
          <cell r="A810" t="str">
            <v>SHA</v>
          </cell>
          <cell r="B810" t="str">
            <v>HAM</v>
          </cell>
          <cell r="C810" t="str">
            <v>M.VSL</v>
          </cell>
          <cell r="D810">
            <v>67</v>
          </cell>
          <cell r="E810">
            <v>95</v>
          </cell>
          <cell r="F810">
            <v>0</v>
          </cell>
          <cell r="G810">
            <v>9</v>
          </cell>
          <cell r="H810">
            <v>275</v>
          </cell>
        </row>
        <row r="811">
          <cell r="A811" t="str">
            <v>SHA</v>
          </cell>
          <cell r="B811" t="str">
            <v>HKG</v>
          </cell>
          <cell r="C811" t="str">
            <v>M.VSL</v>
          </cell>
          <cell r="D811">
            <v>89</v>
          </cell>
          <cell r="E811">
            <v>79</v>
          </cell>
          <cell r="F811">
            <v>0</v>
          </cell>
          <cell r="G811">
            <v>0</v>
          </cell>
          <cell r="H811">
            <v>247</v>
          </cell>
        </row>
        <row r="812">
          <cell r="A812" t="str">
            <v>SHA</v>
          </cell>
          <cell r="B812" t="str">
            <v>LEH</v>
          </cell>
          <cell r="C812" t="str">
            <v>M.VSL</v>
          </cell>
          <cell r="D812">
            <v>20</v>
          </cell>
          <cell r="E812">
            <v>1</v>
          </cell>
          <cell r="F812">
            <v>0</v>
          </cell>
          <cell r="G812">
            <v>0</v>
          </cell>
          <cell r="H812">
            <v>22</v>
          </cell>
        </row>
        <row r="813">
          <cell r="A813" t="str">
            <v>SHA</v>
          </cell>
          <cell r="B813" t="str">
            <v>LOS</v>
          </cell>
          <cell r="C813" t="str">
            <v>M.VSL</v>
          </cell>
          <cell r="D813">
            <v>90</v>
          </cell>
          <cell r="E813">
            <v>563</v>
          </cell>
          <cell r="F813">
            <v>0</v>
          </cell>
          <cell r="G813">
            <v>0</v>
          </cell>
          <cell r="H813">
            <v>1216</v>
          </cell>
        </row>
        <row r="814">
          <cell r="A814" t="str">
            <v>SHA</v>
          </cell>
          <cell r="B814" t="str">
            <v>MEL</v>
          </cell>
          <cell r="C814" t="str">
            <v>M.VSL</v>
          </cell>
          <cell r="D814">
            <v>8</v>
          </cell>
          <cell r="E814">
            <v>2</v>
          </cell>
          <cell r="F814">
            <v>0</v>
          </cell>
          <cell r="G814">
            <v>0</v>
          </cell>
          <cell r="H814">
            <v>12</v>
          </cell>
        </row>
        <row r="815">
          <cell r="A815" t="str">
            <v>SHA</v>
          </cell>
          <cell r="B815" t="str">
            <v>RTM</v>
          </cell>
          <cell r="C815" t="str">
            <v>M.VSL</v>
          </cell>
          <cell r="D815">
            <v>56</v>
          </cell>
          <cell r="E815">
            <v>41</v>
          </cell>
          <cell r="F815">
            <v>3</v>
          </cell>
          <cell r="G815">
            <v>3</v>
          </cell>
          <cell r="H815">
            <v>147</v>
          </cell>
        </row>
        <row r="816">
          <cell r="A816" t="str">
            <v>SHA</v>
          </cell>
          <cell r="B816" t="str">
            <v>SIN</v>
          </cell>
          <cell r="C816" t="str">
            <v>M.VSL</v>
          </cell>
          <cell r="D816">
            <v>340</v>
          </cell>
          <cell r="E816">
            <v>326</v>
          </cell>
          <cell r="F816">
            <v>0</v>
          </cell>
          <cell r="G816">
            <v>0</v>
          </cell>
          <cell r="H816">
            <v>992</v>
          </cell>
        </row>
        <row r="817">
          <cell r="A817" t="str">
            <v>SHA</v>
          </cell>
          <cell r="B817" t="str">
            <v>SOO</v>
          </cell>
          <cell r="C817" t="str">
            <v>M.VSL</v>
          </cell>
          <cell r="D817">
            <v>63</v>
          </cell>
          <cell r="E817">
            <v>55</v>
          </cell>
          <cell r="F817">
            <v>0</v>
          </cell>
          <cell r="G817">
            <v>0</v>
          </cell>
          <cell r="H817">
            <v>173</v>
          </cell>
        </row>
        <row r="818">
          <cell r="A818" t="str">
            <v>SHA</v>
          </cell>
          <cell r="B818" t="str">
            <v>STL</v>
          </cell>
          <cell r="C818" t="str">
            <v>M.VSL</v>
          </cell>
          <cell r="D818">
            <v>10</v>
          </cell>
          <cell r="E818">
            <v>12</v>
          </cell>
          <cell r="F818">
            <v>0</v>
          </cell>
          <cell r="G818">
            <v>0</v>
          </cell>
          <cell r="H818">
            <v>34</v>
          </cell>
        </row>
        <row r="819">
          <cell r="A819" t="str">
            <v>SHA</v>
          </cell>
          <cell r="B819" t="str">
            <v>SYD</v>
          </cell>
          <cell r="C819" t="str">
            <v>M.VSL</v>
          </cell>
          <cell r="D819">
            <v>8</v>
          </cell>
          <cell r="E819">
            <v>3</v>
          </cell>
          <cell r="F819">
            <v>0</v>
          </cell>
          <cell r="G819">
            <v>0</v>
          </cell>
          <cell r="H819">
            <v>14</v>
          </cell>
        </row>
        <row r="820">
          <cell r="A820" t="str">
            <v>SHA</v>
          </cell>
          <cell r="B820" t="str">
            <v>TKY</v>
          </cell>
          <cell r="C820" t="str">
            <v>M.VSL</v>
          </cell>
          <cell r="D820">
            <v>11</v>
          </cell>
          <cell r="E820">
            <v>89</v>
          </cell>
          <cell r="F820">
            <v>0</v>
          </cell>
          <cell r="G820">
            <v>0</v>
          </cell>
          <cell r="H820">
            <v>189</v>
          </cell>
        </row>
        <row r="821">
          <cell r="A821" t="str">
            <v>SHA</v>
          </cell>
          <cell r="B821" t="str">
            <v>VCR</v>
          </cell>
          <cell r="C821" t="str">
            <v>M.VSL</v>
          </cell>
          <cell r="D821">
            <v>7</v>
          </cell>
          <cell r="E821">
            <v>19</v>
          </cell>
          <cell r="F821">
            <v>0</v>
          </cell>
          <cell r="G821">
            <v>0</v>
          </cell>
          <cell r="H821">
            <v>45</v>
          </cell>
        </row>
        <row r="822">
          <cell r="A822" t="str">
            <v>SHJ</v>
          </cell>
          <cell r="B822" t="str">
            <v>DXB</v>
          </cell>
          <cell r="C822" t="str">
            <v>M.VSL</v>
          </cell>
          <cell r="D822">
            <v>0</v>
          </cell>
          <cell r="E822">
            <v>0</v>
          </cell>
          <cell r="F822">
            <v>70</v>
          </cell>
          <cell r="G822">
            <v>101</v>
          </cell>
          <cell r="H822">
            <v>272</v>
          </cell>
        </row>
        <row r="823">
          <cell r="A823" t="str">
            <v>SHJ</v>
          </cell>
          <cell r="B823" t="str">
            <v>RHX</v>
          </cell>
          <cell r="C823" t="str">
            <v>M.VSL</v>
          </cell>
          <cell r="D823">
            <v>0</v>
          </cell>
          <cell r="E823">
            <v>0</v>
          </cell>
          <cell r="F823">
            <v>22</v>
          </cell>
          <cell r="G823">
            <v>50</v>
          </cell>
          <cell r="H823">
            <v>122</v>
          </cell>
        </row>
        <row r="824">
          <cell r="A824" t="str">
            <v>SHZ</v>
          </cell>
          <cell r="B824" t="str">
            <v>BKK</v>
          </cell>
          <cell r="C824" t="str">
            <v>M.VSL</v>
          </cell>
          <cell r="D824">
            <v>14</v>
          </cell>
          <cell r="E824">
            <v>27</v>
          </cell>
          <cell r="F824">
            <v>1</v>
          </cell>
          <cell r="G824">
            <v>0</v>
          </cell>
          <cell r="H824">
            <v>69</v>
          </cell>
        </row>
        <row r="825">
          <cell r="A825" t="str">
            <v>SHZ</v>
          </cell>
          <cell r="B825" t="str">
            <v>BSN</v>
          </cell>
          <cell r="C825" t="str">
            <v>C.FDR</v>
          </cell>
          <cell r="D825">
            <v>0</v>
          </cell>
          <cell r="E825">
            <v>1</v>
          </cell>
          <cell r="F825">
            <v>43</v>
          </cell>
          <cell r="G825">
            <v>25</v>
          </cell>
          <cell r="H825">
            <v>95</v>
          </cell>
        </row>
        <row r="826">
          <cell r="A826" t="str">
            <v>SHZ</v>
          </cell>
          <cell r="B826" t="str">
            <v>HKG</v>
          </cell>
          <cell r="C826" t="str">
            <v>M.VSL</v>
          </cell>
          <cell r="D826">
            <v>1</v>
          </cell>
          <cell r="E826">
            <v>3</v>
          </cell>
          <cell r="F826">
            <v>0</v>
          </cell>
          <cell r="G826">
            <v>0</v>
          </cell>
          <cell r="H826">
            <v>7</v>
          </cell>
        </row>
        <row r="827">
          <cell r="A827" t="str">
            <v>SHZ</v>
          </cell>
          <cell r="B827" t="str">
            <v>LCB</v>
          </cell>
          <cell r="C827" t="str">
            <v>M.VSL</v>
          </cell>
          <cell r="D827">
            <v>7</v>
          </cell>
          <cell r="E827">
            <v>7</v>
          </cell>
          <cell r="F827">
            <v>0</v>
          </cell>
          <cell r="G827">
            <v>0</v>
          </cell>
          <cell r="H827">
            <v>21</v>
          </cell>
        </row>
        <row r="828">
          <cell r="A828" t="str">
            <v>SHZ</v>
          </cell>
          <cell r="B828" t="str">
            <v>PKE</v>
          </cell>
          <cell r="C828" t="str">
            <v>M.VSL</v>
          </cell>
          <cell r="D828">
            <v>1</v>
          </cell>
          <cell r="E828">
            <v>0</v>
          </cell>
          <cell r="F828">
            <v>0</v>
          </cell>
          <cell r="G828">
            <v>0</v>
          </cell>
          <cell r="H828">
            <v>1</v>
          </cell>
        </row>
        <row r="829">
          <cell r="A829" t="str">
            <v>SHZ</v>
          </cell>
          <cell r="B829" t="str">
            <v>SIN</v>
          </cell>
          <cell r="C829" t="str">
            <v>M.VSL</v>
          </cell>
          <cell r="D829">
            <v>1</v>
          </cell>
          <cell r="E829">
            <v>0</v>
          </cell>
          <cell r="F829">
            <v>0</v>
          </cell>
          <cell r="G829">
            <v>0</v>
          </cell>
          <cell r="H829">
            <v>1</v>
          </cell>
        </row>
        <row r="830">
          <cell r="A830" t="str">
            <v>SIN</v>
          </cell>
          <cell r="B830" t="str">
            <v>ADL</v>
          </cell>
          <cell r="C830" t="str">
            <v>M.VSL</v>
          </cell>
          <cell r="D830">
            <v>19</v>
          </cell>
          <cell r="E830">
            <v>13</v>
          </cell>
          <cell r="F830">
            <v>0</v>
          </cell>
          <cell r="G830">
            <v>0</v>
          </cell>
          <cell r="H830">
            <v>45</v>
          </cell>
        </row>
        <row r="831">
          <cell r="A831" t="str">
            <v>SIN</v>
          </cell>
          <cell r="B831" t="str">
            <v>ANT</v>
          </cell>
          <cell r="C831" t="str">
            <v>M.VSL</v>
          </cell>
          <cell r="D831">
            <v>49</v>
          </cell>
          <cell r="E831">
            <v>91</v>
          </cell>
          <cell r="F831">
            <v>0</v>
          </cell>
          <cell r="G831">
            <v>0</v>
          </cell>
          <cell r="H831">
            <v>231</v>
          </cell>
        </row>
        <row r="832">
          <cell r="A832" t="str">
            <v>SIN</v>
          </cell>
          <cell r="B832" t="str">
            <v>BCN</v>
          </cell>
          <cell r="C832" t="str">
            <v>M.VSL</v>
          </cell>
          <cell r="D832">
            <v>51</v>
          </cell>
          <cell r="E832">
            <v>53</v>
          </cell>
          <cell r="F832">
            <v>0</v>
          </cell>
          <cell r="G832">
            <v>0</v>
          </cell>
          <cell r="H832">
            <v>157</v>
          </cell>
        </row>
        <row r="833">
          <cell r="A833" t="str">
            <v>SIN</v>
          </cell>
          <cell r="B833" t="str">
            <v>BEB</v>
          </cell>
          <cell r="C833" t="str">
            <v>M.VSL</v>
          </cell>
          <cell r="D833">
            <v>1</v>
          </cell>
          <cell r="E833">
            <v>0</v>
          </cell>
          <cell r="F833">
            <v>0</v>
          </cell>
          <cell r="G833">
            <v>0</v>
          </cell>
          <cell r="H833">
            <v>1</v>
          </cell>
        </row>
        <row r="834">
          <cell r="A834" t="str">
            <v>SIN</v>
          </cell>
          <cell r="B834" t="str">
            <v>BKK</v>
          </cell>
          <cell r="C834" t="str">
            <v>C.FDR</v>
          </cell>
          <cell r="D834">
            <v>202</v>
          </cell>
          <cell r="E834">
            <v>137</v>
          </cell>
          <cell r="F834">
            <v>0</v>
          </cell>
          <cell r="G834">
            <v>73</v>
          </cell>
          <cell r="H834">
            <v>622</v>
          </cell>
        </row>
        <row r="835">
          <cell r="A835" t="str">
            <v>SIN</v>
          </cell>
          <cell r="B835" t="str">
            <v>BMS</v>
          </cell>
          <cell r="C835" t="str">
            <v>C.FDR</v>
          </cell>
          <cell r="D835">
            <v>0</v>
          </cell>
          <cell r="E835">
            <v>60</v>
          </cell>
          <cell r="F835">
            <v>0</v>
          </cell>
          <cell r="G835">
            <v>0</v>
          </cell>
          <cell r="H835">
            <v>120</v>
          </cell>
        </row>
        <row r="836">
          <cell r="A836" t="str">
            <v>SIN</v>
          </cell>
          <cell r="B836" t="str">
            <v>BNA</v>
          </cell>
          <cell r="C836" t="str">
            <v>M.VSL</v>
          </cell>
          <cell r="D836">
            <v>11</v>
          </cell>
          <cell r="E836">
            <v>14</v>
          </cell>
          <cell r="F836">
            <v>0</v>
          </cell>
          <cell r="G836">
            <v>0</v>
          </cell>
          <cell r="H836">
            <v>39</v>
          </cell>
        </row>
        <row r="837">
          <cell r="A837" t="str">
            <v>SIN</v>
          </cell>
          <cell r="B837" t="str">
            <v>BOM</v>
          </cell>
          <cell r="C837" t="str">
            <v>M.VSL</v>
          </cell>
          <cell r="D837">
            <v>177</v>
          </cell>
          <cell r="E837">
            <v>72</v>
          </cell>
          <cell r="F837">
            <v>0</v>
          </cell>
          <cell r="G837">
            <v>0</v>
          </cell>
          <cell r="H837">
            <v>321</v>
          </cell>
        </row>
        <row r="838">
          <cell r="A838" t="str">
            <v>SIN</v>
          </cell>
          <cell r="B838" t="str">
            <v>BOM</v>
          </cell>
          <cell r="C838" t="str">
            <v>C.FDR</v>
          </cell>
          <cell r="D838">
            <v>17</v>
          </cell>
          <cell r="E838">
            <v>67</v>
          </cell>
          <cell r="F838">
            <v>0</v>
          </cell>
          <cell r="G838">
            <v>0</v>
          </cell>
          <cell r="H838">
            <v>151</v>
          </cell>
        </row>
        <row r="839">
          <cell r="A839" t="str">
            <v>SIN</v>
          </cell>
          <cell r="B839" t="str">
            <v>BRV</v>
          </cell>
          <cell r="C839" t="str">
            <v>M.VSL</v>
          </cell>
          <cell r="D839">
            <v>30</v>
          </cell>
          <cell r="E839">
            <v>33</v>
          </cell>
          <cell r="F839">
            <v>8</v>
          </cell>
          <cell r="G839">
            <v>4</v>
          </cell>
          <cell r="H839">
            <v>112</v>
          </cell>
        </row>
        <row r="840">
          <cell r="A840" t="str">
            <v>SIN</v>
          </cell>
          <cell r="B840" t="str">
            <v>BSN</v>
          </cell>
          <cell r="C840" t="str">
            <v>M.VSL</v>
          </cell>
          <cell r="D840">
            <v>231</v>
          </cell>
          <cell r="E840">
            <v>240</v>
          </cell>
          <cell r="F840">
            <v>0</v>
          </cell>
          <cell r="G840">
            <v>26</v>
          </cell>
          <cell r="H840">
            <v>763</v>
          </cell>
        </row>
        <row r="841">
          <cell r="A841" t="str">
            <v>SIN</v>
          </cell>
          <cell r="B841" t="str">
            <v>BWN</v>
          </cell>
          <cell r="C841" t="str">
            <v>M.VSL</v>
          </cell>
          <cell r="D841">
            <v>0</v>
          </cell>
          <cell r="E841">
            <v>1</v>
          </cell>
          <cell r="F841">
            <v>0</v>
          </cell>
          <cell r="G841">
            <v>5</v>
          </cell>
          <cell r="H841">
            <v>12</v>
          </cell>
        </row>
        <row r="842">
          <cell r="A842" t="str">
            <v>SIN</v>
          </cell>
          <cell r="B842" t="str">
            <v>BWN</v>
          </cell>
          <cell r="C842" t="str">
            <v>C.FDR</v>
          </cell>
          <cell r="D842">
            <v>19</v>
          </cell>
          <cell r="E842">
            <v>24</v>
          </cell>
          <cell r="F842">
            <v>64</v>
          </cell>
          <cell r="G842">
            <v>5</v>
          </cell>
          <cell r="H842">
            <v>141</v>
          </cell>
        </row>
        <row r="843">
          <cell r="A843" t="str">
            <v>SIN</v>
          </cell>
          <cell r="B843" t="str">
            <v>CBO</v>
          </cell>
          <cell r="C843" t="str">
            <v>M.VSL</v>
          </cell>
          <cell r="D843">
            <v>49</v>
          </cell>
          <cell r="E843">
            <v>146</v>
          </cell>
          <cell r="F843">
            <v>0</v>
          </cell>
          <cell r="G843">
            <v>0</v>
          </cell>
          <cell r="H843">
            <v>341</v>
          </cell>
        </row>
        <row r="844">
          <cell r="A844" t="str">
            <v>SIN</v>
          </cell>
          <cell r="B844" t="str">
            <v>CCT</v>
          </cell>
          <cell r="C844" t="str">
            <v>C.FDR</v>
          </cell>
          <cell r="D844">
            <v>64</v>
          </cell>
          <cell r="E844">
            <v>33</v>
          </cell>
          <cell r="F844">
            <v>0</v>
          </cell>
          <cell r="G844">
            <v>0</v>
          </cell>
          <cell r="H844">
            <v>130</v>
          </cell>
        </row>
        <row r="845">
          <cell r="A845" t="str">
            <v>SIN</v>
          </cell>
          <cell r="B845" t="str">
            <v>CEB</v>
          </cell>
          <cell r="C845" t="str">
            <v>C.FDR</v>
          </cell>
          <cell r="D845">
            <v>2</v>
          </cell>
          <cell r="E845">
            <v>0</v>
          </cell>
          <cell r="F845">
            <v>0</v>
          </cell>
          <cell r="G845">
            <v>0</v>
          </cell>
          <cell r="H845">
            <v>2</v>
          </cell>
        </row>
        <row r="846">
          <cell r="A846" t="str">
            <v>SIN</v>
          </cell>
          <cell r="B846" t="str">
            <v>CGG</v>
          </cell>
          <cell r="C846" t="str">
            <v>C.FDR</v>
          </cell>
          <cell r="D846">
            <v>219</v>
          </cell>
          <cell r="E846">
            <v>248</v>
          </cell>
          <cell r="F846">
            <v>0</v>
          </cell>
          <cell r="G846">
            <v>0</v>
          </cell>
          <cell r="H846">
            <v>715</v>
          </cell>
        </row>
        <row r="847">
          <cell r="A847" t="str">
            <v>SIN</v>
          </cell>
          <cell r="B847" t="str">
            <v>COC</v>
          </cell>
          <cell r="C847" t="str">
            <v>M.VSL</v>
          </cell>
          <cell r="D847">
            <v>78</v>
          </cell>
          <cell r="E847">
            <v>62</v>
          </cell>
          <cell r="F847">
            <v>5</v>
          </cell>
          <cell r="G847">
            <v>35</v>
          </cell>
          <cell r="H847">
            <v>277</v>
          </cell>
        </row>
        <row r="848">
          <cell r="A848" t="str">
            <v>SIN</v>
          </cell>
          <cell r="B848" t="str">
            <v>DMM</v>
          </cell>
          <cell r="C848" t="str">
            <v>M.VSL</v>
          </cell>
          <cell r="D848">
            <v>99</v>
          </cell>
          <cell r="E848">
            <v>37</v>
          </cell>
          <cell r="F848">
            <v>0</v>
          </cell>
          <cell r="G848">
            <v>0</v>
          </cell>
          <cell r="H848">
            <v>173</v>
          </cell>
        </row>
        <row r="849">
          <cell r="A849" t="str">
            <v>SIN</v>
          </cell>
          <cell r="B849" t="str">
            <v>DNG</v>
          </cell>
          <cell r="C849" t="str">
            <v>C.FDR</v>
          </cell>
          <cell r="D849">
            <v>1</v>
          </cell>
          <cell r="E849">
            <v>0</v>
          </cell>
          <cell r="F849">
            <v>0</v>
          </cell>
          <cell r="G849">
            <v>0</v>
          </cell>
          <cell r="H849">
            <v>1</v>
          </cell>
        </row>
        <row r="850">
          <cell r="A850" t="str">
            <v>SIN</v>
          </cell>
          <cell r="B850" t="str">
            <v>DVO</v>
          </cell>
          <cell r="C850" t="str">
            <v>C.FDR</v>
          </cell>
          <cell r="D850">
            <v>2</v>
          </cell>
          <cell r="E850">
            <v>0</v>
          </cell>
          <cell r="F850">
            <v>0</v>
          </cell>
          <cell r="G850">
            <v>0</v>
          </cell>
          <cell r="H850">
            <v>2</v>
          </cell>
        </row>
        <row r="851">
          <cell r="A851" t="str">
            <v>SIN</v>
          </cell>
          <cell r="B851" t="str">
            <v>DXB</v>
          </cell>
          <cell r="C851" t="str">
            <v>M.VSL</v>
          </cell>
          <cell r="D851">
            <v>158</v>
          </cell>
          <cell r="E851">
            <v>248</v>
          </cell>
          <cell r="F851">
            <v>0</v>
          </cell>
          <cell r="G851">
            <v>0</v>
          </cell>
          <cell r="H851">
            <v>654</v>
          </cell>
        </row>
        <row r="852">
          <cell r="A852" t="str">
            <v>SIN</v>
          </cell>
          <cell r="B852" t="str">
            <v>FMT</v>
          </cell>
          <cell r="C852" t="str">
            <v>M.VSL</v>
          </cell>
          <cell r="D852">
            <v>41</v>
          </cell>
          <cell r="E852">
            <v>18</v>
          </cell>
          <cell r="F852">
            <v>5</v>
          </cell>
          <cell r="G852">
            <v>0</v>
          </cell>
          <cell r="H852">
            <v>82</v>
          </cell>
        </row>
        <row r="853">
          <cell r="A853" t="str">
            <v>SIN</v>
          </cell>
          <cell r="B853" t="str">
            <v>FOS</v>
          </cell>
          <cell r="C853" t="str">
            <v>M.VSL</v>
          </cell>
          <cell r="D853">
            <v>19</v>
          </cell>
          <cell r="E853">
            <v>43</v>
          </cell>
          <cell r="F853">
            <v>0</v>
          </cell>
          <cell r="G853">
            <v>0</v>
          </cell>
          <cell r="H853">
            <v>105</v>
          </cell>
        </row>
        <row r="854">
          <cell r="A854" t="str">
            <v>SIN</v>
          </cell>
          <cell r="B854" t="str">
            <v>GEN</v>
          </cell>
          <cell r="C854" t="str">
            <v>M.VSL</v>
          </cell>
          <cell r="D854">
            <v>57</v>
          </cell>
          <cell r="E854">
            <v>55</v>
          </cell>
          <cell r="F854">
            <v>0</v>
          </cell>
          <cell r="G854">
            <v>0</v>
          </cell>
          <cell r="H854">
            <v>167</v>
          </cell>
        </row>
        <row r="855">
          <cell r="A855" t="str">
            <v>SIN</v>
          </cell>
          <cell r="B855" t="str">
            <v>HAM</v>
          </cell>
          <cell r="C855" t="str">
            <v>M.VSL</v>
          </cell>
          <cell r="D855">
            <v>376</v>
          </cell>
          <cell r="E855">
            <v>580</v>
          </cell>
          <cell r="F855">
            <v>25</v>
          </cell>
          <cell r="G855">
            <v>19</v>
          </cell>
          <cell r="H855">
            <v>1599</v>
          </cell>
        </row>
        <row r="856">
          <cell r="A856" t="str">
            <v>SIN</v>
          </cell>
          <cell r="B856" t="str">
            <v>HAT</v>
          </cell>
          <cell r="C856" t="str">
            <v>M.VSL</v>
          </cell>
          <cell r="D856">
            <v>69</v>
          </cell>
          <cell r="E856">
            <v>52</v>
          </cell>
          <cell r="F856">
            <v>0</v>
          </cell>
          <cell r="G856">
            <v>0</v>
          </cell>
          <cell r="H856">
            <v>173</v>
          </cell>
        </row>
        <row r="857">
          <cell r="A857" t="str">
            <v>SIN</v>
          </cell>
          <cell r="B857" t="str">
            <v>HKG</v>
          </cell>
          <cell r="C857" t="str">
            <v>M.VSL</v>
          </cell>
          <cell r="D857">
            <v>593</v>
          </cell>
          <cell r="E857">
            <v>415</v>
          </cell>
          <cell r="F857">
            <v>0</v>
          </cell>
          <cell r="G857">
            <v>1</v>
          </cell>
          <cell r="H857">
            <v>1425</v>
          </cell>
        </row>
        <row r="858">
          <cell r="A858" t="str">
            <v>SIN</v>
          </cell>
          <cell r="B858" t="str">
            <v>HMN</v>
          </cell>
          <cell r="C858" t="str">
            <v>C.FDR</v>
          </cell>
          <cell r="D858">
            <v>36</v>
          </cell>
          <cell r="E858">
            <v>13</v>
          </cell>
          <cell r="F858">
            <v>3</v>
          </cell>
          <cell r="G858">
            <v>45</v>
          </cell>
          <cell r="H858">
            <v>155</v>
          </cell>
        </row>
        <row r="859">
          <cell r="A859" t="str">
            <v>SIN</v>
          </cell>
          <cell r="B859" t="str">
            <v>HPO</v>
          </cell>
          <cell r="C859" t="str">
            <v>C.FDR</v>
          </cell>
          <cell r="D859">
            <v>2</v>
          </cell>
          <cell r="E859">
            <v>6</v>
          </cell>
          <cell r="F859">
            <v>0</v>
          </cell>
          <cell r="G859">
            <v>50</v>
          </cell>
          <cell r="H859">
            <v>114</v>
          </cell>
        </row>
        <row r="860">
          <cell r="A860" t="str">
            <v>SIN</v>
          </cell>
          <cell r="B860" t="str">
            <v>HZB</v>
          </cell>
          <cell r="C860" t="str">
            <v>C.FDR</v>
          </cell>
          <cell r="D860">
            <v>5</v>
          </cell>
          <cell r="E860">
            <v>0</v>
          </cell>
          <cell r="F860">
            <v>0</v>
          </cell>
          <cell r="G860">
            <v>0</v>
          </cell>
          <cell r="H860">
            <v>5</v>
          </cell>
        </row>
        <row r="861">
          <cell r="A861" t="str">
            <v>SIN</v>
          </cell>
          <cell r="B861" t="str">
            <v>INC</v>
          </cell>
          <cell r="C861" t="str">
            <v>M.VSL</v>
          </cell>
          <cell r="D861">
            <v>143</v>
          </cell>
          <cell r="E861">
            <v>185</v>
          </cell>
          <cell r="F861">
            <v>0</v>
          </cell>
          <cell r="G861">
            <v>0</v>
          </cell>
          <cell r="H861">
            <v>513</v>
          </cell>
        </row>
        <row r="862">
          <cell r="A862" t="str">
            <v>SIN</v>
          </cell>
          <cell r="B862" t="str">
            <v>JAB</v>
          </cell>
          <cell r="C862" t="str">
            <v>C.FDR</v>
          </cell>
          <cell r="D862">
            <v>0</v>
          </cell>
          <cell r="E862">
            <v>0</v>
          </cell>
          <cell r="F862">
            <v>0</v>
          </cell>
          <cell r="G862">
            <v>1</v>
          </cell>
          <cell r="H862">
            <v>2</v>
          </cell>
        </row>
        <row r="863">
          <cell r="A863" t="str">
            <v>SIN</v>
          </cell>
          <cell r="B863" t="str">
            <v>JAK</v>
          </cell>
          <cell r="C863" t="str">
            <v>M.VSL</v>
          </cell>
          <cell r="D863">
            <v>272</v>
          </cell>
          <cell r="E863">
            <v>343</v>
          </cell>
          <cell r="F863">
            <v>228</v>
          </cell>
          <cell r="G863">
            <v>285</v>
          </cell>
          <cell r="H863">
            <v>1756</v>
          </cell>
        </row>
        <row r="864">
          <cell r="A864" t="str">
            <v>SIN</v>
          </cell>
          <cell r="B864" t="str">
            <v>JAK</v>
          </cell>
          <cell r="C864" t="str">
            <v>C.FDR</v>
          </cell>
          <cell r="D864">
            <v>123</v>
          </cell>
          <cell r="E864">
            <v>217</v>
          </cell>
          <cell r="F864">
            <v>47</v>
          </cell>
          <cell r="G864">
            <v>95</v>
          </cell>
          <cell r="H864">
            <v>794</v>
          </cell>
        </row>
        <row r="865">
          <cell r="A865" t="str">
            <v>SIN</v>
          </cell>
          <cell r="B865" t="str">
            <v>KAH</v>
          </cell>
          <cell r="C865" t="str">
            <v>M.VSL</v>
          </cell>
          <cell r="D865">
            <v>24</v>
          </cell>
          <cell r="E865">
            <v>41</v>
          </cell>
          <cell r="F865">
            <v>0</v>
          </cell>
          <cell r="G865">
            <v>0</v>
          </cell>
          <cell r="H865">
            <v>106</v>
          </cell>
        </row>
        <row r="866">
          <cell r="A866" t="str">
            <v>SIN</v>
          </cell>
          <cell r="B866" t="str">
            <v>KAH</v>
          </cell>
          <cell r="C866" t="str">
            <v>C.FDR</v>
          </cell>
          <cell r="D866">
            <v>2</v>
          </cell>
          <cell r="E866">
            <v>15</v>
          </cell>
          <cell r="F866">
            <v>0</v>
          </cell>
          <cell r="G866">
            <v>0</v>
          </cell>
          <cell r="H866">
            <v>32</v>
          </cell>
        </row>
        <row r="867">
          <cell r="A867" t="str">
            <v>SIN</v>
          </cell>
          <cell r="B867" t="str">
            <v>KAO</v>
          </cell>
          <cell r="C867" t="str">
            <v>M.VSL</v>
          </cell>
          <cell r="D867">
            <v>75</v>
          </cell>
          <cell r="E867">
            <v>18</v>
          </cell>
          <cell r="F867">
            <v>4</v>
          </cell>
          <cell r="G867">
            <v>0</v>
          </cell>
          <cell r="H867">
            <v>115</v>
          </cell>
        </row>
        <row r="868">
          <cell r="A868" t="str">
            <v>SIN</v>
          </cell>
          <cell r="B868" t="str">
            <v>KEE</v>
          </cell>
          <cell r="C868" t="str">
            <v>M.VSL</v>
          </cell>
          <cell r="D868">
            <v>73</v>
          </cell>
          <cell r="E868">
            <v>41</v>
          </cell>
          <cell r="F868">
            <v>0</v>
          </cell>
          <cell r="G868">
            <v>0</v>
          </cell>
          <cell r="H868">
            <v>155</v>
          </cell>
        </row>
        <row r="869">
          <cell r="A869" t="str">
            <v>SIN</v>
          </cell>
          <cell r="B869" t="str">
            <v>KOB</v>
          </cell>
          <cell r="C869" t="str">
            <v>M.VSL</v>
          </cell>
          <cell r="D869">
            <v>111</v>
          </cell>
          <cell r="E869">
            <v>70</v>
          </cell>
          <cell r="F869">
            <v>0</v>
          </cell>
          <cell r="G869">
            <v>0</v>
          </cell>
          <cell r="H869">
            <v>251</v>
          </cell>
        </row>
        <row r="870">
          <cell r="A870" t="str">
            <v>SIN</v>
          </cell>
          <cell r="B870" t="str">
            <v>KTA</v>
          </cell>
          <cell r="C870" t="str">
            <v>C.FDR</v>
          </cell>
          <cell r="D870">
            <v>5</v>
          </cell>
          <cell r="E870">
            <v>2</v>
          </cell>
          <cell r="F870">
            <v>0</v>
          </cell>
          <cell r="G870">
            <v>5</v>
          </cell>
          <cell r="H870">
            <v>19</v>
          </cell>
        </row>
        <row r="871">
          <cell r="A871" t="str">
            <v>SIN</v>
          </cell>
          <cell r="B871" t="str">
            <v>KUA</v>
          </cell>
          <cell r="C871" t="str">
            <v>C.FDR</v>
          </cell>
          <cell r="D871">
            <v>2</v>
          </cell>
          <cell r="E871">
            <v>0</v>
          </cell>
          <cell r="F871">
            <v>0</v>
          </cell>
          <cell r="G871">
            <v>0</v>
          </cell>
          <cell r="H871">
            <v>2</v>
          </cell>
        </row>
        <row r="872">
          <cell r="A872" t="str">
            <v>SIN</v>
          </cell>
          <cell r="B872" t="str">
            <v>KUC</v>
          </cell>
          <cell r="C872" t="str">
            <v>C.FDR</v>
          </cell>
          <cell r="D872">
            <v>4</v>
          </cell>
          <cell r="E872">
            <v>3</v>
          </cell>
          <cell r="F872">
            <v>0</v>
          </cell>
          <cell r="G872">
            <v>0</v>
          </cell>
          <cell r="H872">
            <v>10</v>
          </cell>
        </row>
        <row r="873">
          <cell r="A873" t="str">
            <v>SIN</v>
          </cell>
          <cell r="B873" t="str">
            <v>KYG</v>
          </cell>
          <cell r="C873" t="str">
            <v>M.VSL</v>
          </cell>
          <cell r="D873">
            <v>3</v>
          </cell>
          <cell r="E873">
            <v>6</v>
          </cell>
          <cell r="F873">
            <v>0</v>
          </cell>
          <cell r="G873">
            <v>0</v>
          </cell>
          <cell r="H873">
            <v>15</v>
          </cell>
        </row>
        <row r="874">
          <cell r="A874" t="str">
            <v>SIN</v>
          </cell>
          <cell r="B874" t="str">
            <v>KZA</v>
          </cell>
          <cell r="C874" t="str">
            <v>C.FDR</v>
          </cell>
          <cell r="D874">
            <v>0</v>
          </cell>
          <cell r="E874">
            <v>15</v>
          </cell>
          <cell r="F874">
            <v>0</v>
          </cell>
          <cell r="G874">
            <v>335</v>
          </cell>
          <cell r="H874">
            <v>700</v>
          </cell>
        </row>
        <row r="875">
          <cell r="A875" t="str">
            <v>SIN</v>
          </cell>
          <cell r="B875" t="str">
            <v>LAB</v>
          </cell>
          <cell r="C875" t="str">
            <v>C.FDR</v>
          </cell>
          <cell r="D875">
            <v>1</v>
          </cell>
          <cell r="E875">
            <v>1</v>
          </cell>
          <cell r="F875">
            <v>0</v>
          </cell>
          <cell r="G875">
            <v>0</v>
          </cell>
          <cell r="H875">
            <v>3</v>
          </cell>
        </row>
        <row r="876">
          <cell r="A876" t="str">
            <v>SIN</v>
          </cell>
          <cell r="B876" t="str">
            <v>LCB</v>
          </cell>
          <cell r="C876" t="str">
            <v>C.FDR</v>
          </cell>
          <cell r="D876">
            <v>38</v>
          </cell>
          <cell r="E876">
            <v>69</v>
          </cell>
          <cell r="F876">
            <v>0</v>
          </cell>
          <cell r="G876">
            <v>35</v>
          </cell>
          <cell r="H876">
            <v>246</v>
          </cell>
        </row>
        <row r="877">
          <cell r="A877" t="str">
            <v>SIN</v>
          </cell>
          <cell r="B877" t="str">
            <v>LEH</v>
          </cell>
          <cell r="C877" t="str">
            <v>M.VSL</v>
          </cell>
          <cell r="D877">
            <v>151</v>
          </cell>
          <cell r="E877">
            <v>127</v>
          </cell>
          <cell r="F877">
            <v>0</v>
          </cell>
          <cell r="G877">
            <v>0</v>
          </cell>
          <cell r="H877">
            <v>405</v>
          </cell>
        </row>
        <row r="878">
          <cell r="A878" t="str">
            <v>SIN</v>
          </cell>
          <cell r="B878" t="str">
            <v>MAD</v>
          </cell>
          <cell r="C878" t="str">
            <v>C.FDR</v>
          </cell>
          <cell r="D878">
            <v>73</v>
          </cell>
          <cell r="E878">
            <v>146</v>
          </cell>
          <cell r="F878">
            <v>0</v>
          </cell>
          <cell r="G878">
            <v>0</v>
          </cell>
          <cell r="H878">
            <v>365</v>
          </cell>
        </row>
        <row r="879">
          <cell r="A879" t="str">
            <v>SIN</v>
          </cell>
          <cell r="B879" t="str">
            <v>MAN</v>
          </cell>
          <cell r="C879" t="str">
            <v>C.FDR</v>
          </cell>
          <cell r="D879">
            <v>45</v>
          </cell>
          <cell r="E879">
            <v>124</v>
          </cell>
          <cell r="F879">
            <v>0</v>
          </cell>
          <cell r="G879">
            <v>50</v>
          </cell>
          <cell r="H879">
            <v>393</v>
          </cell>
        </row>
        <row r="880">
          <cell r="A880" t="str">
            <v>SIN</v>
          </cell>
          <cell r="B880" t="str">
            <v>MEL</v>
          </cell>
          <cell r="C880" t="str">
            <v>M.VSL</v>
          </cell>
          <cell r="D880">
            <v>163</v>
          </cell>
          <cell r="E880">
            <v>34</v>
          </cell>
          <cell r="F880">
            <v>5</v>
          </cell>
          <cell r="G880">
            <v>0</v>
          </cell>
          <cell r="H880">
            <v>236</v>
          </cell>
        </row>
        <row r="881">
          <cell r="A881" t="str">
            <v>SIN</v>
          </cell>
          <cell r="B881" t="str">
            <v>MII</v>
          </cell>
          <cell r="C881" t="str">
            <v>C.FDR</v>
          </cell>
          <cell r="D881">
            <v>0</v>
          </cell>
          <cell r="E881">
            <v>2</v>
          </cell>
          <cell r="F881">
            <v>0</v>
          </cell>
          <cell r="G881">
            <v>0</v>
          </cell>
          <cell r="H881">
            <v>4</v>
          </cell>
        </row>
        <row r="882">
          <cell r="A882" t="str">
            <v>SIN</v>
          </cell>
          <cell r="B882" t="str">
            <v>MUA</v>
          </cell>
          <cell r="C882" t="str">
            <v>C.FDR</v>
          </cell>
          <cell r="D882">
            <v>11</v>
          </cell>
          <cell r="E882">
            <v>10</v>
          </cell>
          <cell r="F882">
            <v>0</v>
          </cell>
          <cell r="G882">
            <v>2</v>
          </cell>
          <cell r="H882">
            <v>35</v>
          </cell>
        </row>
        <row r="883">
          <cell r="A883" t="str">
            <v>SIN</v>
          </cell>
          <cell r="B883" t="str">
            <v>NGB</v>
          </cell>
          <cell r="C883" t="str">
            <v>M.VSL</v>
          </cell>
          <cell r="D883">
            <v>87</v>
          </cell>
          <cell r="E883">
            <v>35</v>
          </cell>
          <cell r="F883">
            <v>0</v>
          </cell>
          <cell r="G883">
            <v>40</v>
          </cell>
          <cell r="H883">
            <v>237</v>
          </cell>
        </row>
        <row r="884">
          <cell r="A884" t="str">
            <v>SIN</v>
          </cell>
          <cell r="B884" t="str">
            <v>NGO</v>
          </cell>
          <cell r="C884" t="str">
            <v>M.VSL</v>
          </cell>
          <cell r="D884">
            <v>201</v>
          </cell>
          <cell r="E884">
            <v>39</v>
          </cell>
          <cell r="F884">
            <v>0</v>
          </cell>
          <cell r="G884">
            <v>0</v>
          </cell>
          <cell r="H884">
            <v>279</v>
          </cell>
        </row>
        <row r="885">
          <cell r="A885" t="str">
            <v>SIN</v>
          </cell>
          <cell r="B885" t="str">
            <v>NSA</v>
          </cell>
          <cell r="C885" t="str">
            <v>M.VSL</v>
          </cell>
          <cell r="D885">
            <v>400</v>
          </cell>
          <cell r="E885">
            <v>240</v>
          </cell>
          <cell r="F885">
            <v>0</v>
          </cell>
          <cell r="G885">
            <v>25</v>
          </cell>
          <cell r="H885">
            <v>930</v>
          </cell>
        </row>
        <row r="886">
          <cell r="A886" t="str">
            <v>SIN</v>
          </cell>
          <cell r="B886" t="str">
            <v>OAK</v>
          </cell>
          <cell r="C886" t="str">
            <v>M.VSL</v>
          </cell>
          <cell r="D886">
            <v>16</v>
          </cell>
          <cell r="E886">
            <v>121</v>
          </cell>
          <cell r="F886">
            <v>0</v>
          </cell>
          <cell r="G886">
            <v>0</v>
          </cell>
          <cell r="H886">
            <v>258</v>
          </cell>
        </row>
        <row r="887">
          <cell r="A887" t="str">
            <v>SIN</v>
          </cell>
          <cell r="B887" t="str">
            <v>OSK</v>
          </cell>
          <cell r="C887" t="str">
            <v>M.VSL</v>
          </cell>
          <cell r="D887">
            <v>3</v>
          </cell>
          <cell r="E887">
            <v>4</v>
          </cell>
          <cell r="F887">
            <v>0</v>
          </cell>
          <cell r="G887">
            <v>0</v>
          </cell>
          <cell r="H887">
            <v>11</v>
          </cell>
        </row>
        <row r="888">
          <cell r="A888" t="str">
            <v>SIN</v>
          </cell>
          <cell r="B888" t="str">
            <v>PAB</v>
          </cell>
          <cell r="C888" t="str">
            <v>C.FDR</v>
          </cell>
          <cell r="D888">
            <v>0</v>
          </cell>
          <cell r="E888">
            <v>0</v>
          </cell>
          <cell r="F888">
            <v>8</v>
          </cell>
          <cell r="G888">
            <v>2</v>
          </cell>
          <cell r="H888">
            <v>12</v>
          </cell>
        </row>
        <row r="889">
          <cell r="A889" t="str">
            <v>SIN</v>
          </cell>
          <cell r="B889" t="str">
            <v>PAJ</v>
          </cell>
          <cell r="C889" t="str">
            <v>C.FDR</v>
          </cell>
          <cell r="D889">
            <v>6</v>
          </cell>
          <cell r="E889">
            <v>0</v>
          </cell>
          <cell r="F889">
            <v>0</v>
          </cell>
          <cell r="G889">
            <v>0</v>
          </cell>
          <cell r="H889">
            <v>6</v>
          </cell>
        </row>
        <row r="890">
          <cell r="A890" t="str">
            <v>SIN</v>
          </cell>
          <cell r="B890" t="str">
            <v>PGD</v>
          </cell>
          <cell r="C890" t="str">
            <v>C.FDR</v>
          </cell>
          <cell r="D890">
            <v>91</v>
          </cell>
          <cell r="E890">
            <v>94</v>
          </cell>
          <cell r="F890">
            <v>0</v>
          </cell>
          <cell r="G890">
            <v>70</v>
          </cell>
          <cell r="H890">
            <v>419</v>
          </cell>
        </row>
        <row r="891">
          <cell r="A891" t="str">
            <v>SIN</v>
          </cell>
          <cell r="B891" t="str">
            <v>PKE</v>
          </cell>
          <cell r="C891" t="str">
            <v>M.VSL</v>
          </cell>
          <cell r="D891">
            <v>130</v>
          </cell>
          <cell r="E891">
            <v>178</v>
          </cell>
          <cell r="F891">
            <v>0</v>
          </cell>
          <cell r="G891">
            <v>14</v>
          </cell>
          <cell r="H891">
            <v>514</v>
          </cell>
        </row>
        <row r="892">
          <cell r="A892" t="str">
            <v>SIN</v>
          </cell>
          <cell r="B892" t="str">
            <v>PKE</v>
          </cell>
          <cell r="C892" t="str">
            <v>C.FDR</v>
          </cell>
          <cell r="D892">
            <v>2</v>
          </cell>
          <cell r="E892">
            <v>22</v>
          </cell>
          <cell r="F892">
            <v>0</v>
          </cell>
          <cell r="G892">
            <v>3</v>
          </cell>
          <cell r="H892">
            <v>52</v>
          </cell>
        </row>
        <row r="893">
          <cell r="A893" t="str">
            <v>SIN</v>
          </cell>
          <cell r="B893" t="str">
            <v>PNA</v>
          </cell>
          <cell r="C893" t="str">
            <v>M.VSL</v>
          </cell>
          <cell r="D893">
            <v>34</v>
          </cell>
          <cell r="E893">
            <v>11</v>
          </cell>
          <cell r="F893">
            <v>0</v>
          </cell>
          <cell r="G893">
            <v>41</v>
          </cell>
          <cell r="H893">
            <v>138</v>
          </cell>
        </row>
        <row r="894">
          <cell r="A894" t="str">
            <v>SIN</v>
          </cell>
          <cell r="B894" t="str">
            <v>PNA</v>
          </cell>
          <cell r="C894" t="str">
            <v>C.FDR</v>
          </cell>
          <cell r="D894">
            <v>18</v>
          </cell>
          <cell r="E894">
            <v>30</v>
          </cell>
          <cell r="F894">
            <v>0</v>
          </cell>
          <cell r="G894">
            <v>8</v>
          </cell>
          <cell r="H894">
            <v>94</v>
          </cell>
        </row>
        <row r="895">
          <cell r="A895" t="str">
            <v>SIN</v>
          </cell>
          <cell r="B895" t="str">
            <v>PSA</v>
          </cell>
          <cell r="C895" t="str">
            <v>M.VSL</v>
          </cell>
          <cell r="D895">
            <v>103</v>
          </cell>
          <cell r="E895">
            <v>20</v>
          </cell>
          <cell r="F895">
            <v>0</v>
          </cell>
          <cell r="G895">
            <v>0</v>
          </cell>
          <cell r="H895">
            <v>143</v>
          </cell>
        </row>
        <row r="896">
          <cell r="A896" t="str">
            <v>SIN</v>
          </cell>
          <cell r="B896" t="str">
            <v>QDO</v>
          </cell>
          <cell r="C896" t="str">
            <v>M.VSL</v>
          </cell>
          <cell r="D896">
            <v>65</v>
          </cell>
          <cell r="E896">
            <v>112</v>
          </cell>
          <cell r="F896">
            <v>70</v>
          </cell>
          <cell r="G896">
            <v>0</v>
          </cell>
          <cell r="H896">
            <v>359</v>
          </cell>
        </row>
        <row r="897">
          <cell r="A897" t="str">
            <v>SIN</v>
          </cell>
          <cell r="B897" t="str">
            <v>QNH</v>
          </cell>
          <cell r="C897" t="str">
            <v>C.FDR</v>
          </cell>
          <cell r="D897">
            <v>0</v>
          </cell>
          <cell r="E897">
            <v>2</v>
          </cell>
          <cell r="F897">
            <v>0</v>
          </cell>
          <cell r="G897">
            <v>0</v>
          </cell>
          <cell r="H897">
            <v>4</v>
          </cell>
        </row>
        <row r="898">
          <cell r="A898" t="str">
            <v>SIN</v>
          </cell>
          <cell r="B898" t="str">
            <v>QVA</v>
          </cell>
          <cell r="C898" t="str">
            <v>C.FDR</v>
          </cell>
          <cell r="D898">
            <v>0</v>
          </cell>
          <cell r="E898">
            <v>0</v>
          </cell>
          <cell r="F898">
            <v>0</v>
          </cell>
          <cell r="G898">
            <v>10</v>
          </cell>
          <cell r="H898">
            <v>20</v>
          </cell>
        </row>
        <row r="899">
          <cell r="A899" t="str">
            <v>SIN</v>
          </cell>
          <cell r="B899" t="str">
            <v>RAN</v>
          </cell>
          <cell r="C899" t="str">
            <v>C.FDR</v>
          </cell>
          <cell r="D899">
            <v>14</v>
          </cell>
          <cell r="E899">
            <v>7</v>
          </cell>
          <cell r="F899">
            <v>31</v>
          </cell>
          <cell r="G899">
            <v>25</v>
          </cell>
          <cell r="H899">
            <v>109</v>
          </cell>
        </row>
        <row r="900">
          <cell r="A900" t="str">
            <v>SIN</v>
          </cell>
          <cell r="B900" t="str">
            <v>RHX</v>
          </cell>
          <cell r="C900" t="str">
            <v>M.VSL</v>
          </cell>
          <cell r="D900">
            <v>103</v>
          </cell>
          <cell r="E900">
            <v>48</v>
          </cell>
          <cell r="F900">
            <v>0</v>
          </cell>
          <cell r="G900">
            <v>0</v>
          </cell>
          <cell r="H900">
            <v>199</v>
          </cell>
        </row>
        <row r="901">
          <cell r="A901" t="str">
            <v>SIN</v>
          </cell>
          <cell r="B901" t="str">
            <v>RTM</v>
          </cell>
          <cell r="C901" t="str">
            <v>M.VSL</v>
          </cell>
          <cell r="D901">
            <v>263</v>
          </cell>
          <cell r="E901">
            <v>279</v>
          </cell>
          <cell r="F901">
            <v>13</v>
          </cell>
          <cell r="G901">
            <v>5</v>
          </cell>
          <cell r="H901">
            <v>844</v>
          </cell>
        </row>
        <row r="902">
          <cell r="A902" t="str">
            <v>SIN</v>
          </cell>
          <cell r="B902" t="str">
            <v>SBU</v>
          </cell>
          <cell r="C902" t="str">
            <v>C.FDR</v>
          </cell>
          <cell r="D902">
            <v>3</v>
          </cell>
          <cell r="E902">
            <v>8</v>
          </cell>
          <cell r="F902">
            <v>0</v>
          </cell>
          <cell r="G902">
            <v>0</v>
          </cell>
          <cell r="H902">
            <v>19</v>
          </cell>
        </row>
        <row r="903">
          <cell r="A903" t="str">
            <v>SIN</v>
          </cell>
          <cell r="B903" t="str">
            <v>SHA</v>
          </cell>
          <cell r="C903" t="str">
            <v>M.VSL</v>
          </cell>
          <cell r="D903">
            <v>147</v>
          </cell>
          <cell r="E903">
            <v>143</v>
          </cell>
          <cell r="F903">
            <v>0</v>
          </cell>
          <cell r="G903">
            <v>199</v>
          </cell>
          <cell r="H903">
            <v>831</v>
          </cell>
        </row>
        <row r="904">
          <cell r="A904" t="str">
            <v>SIN</v>
          </cell>
          <cell r="B904" t="str">
            <v>SHZ</v>
          </cell>
          <cell r="C904" t="str">
            <v>M.VSL</v>
          </cell>
          <cell r="D904">
            <v>1</v>
          </cell>
          <cell r="E904">
            <v>0</v>
          </cell>
          <cell r="F904">
            <v>0</v>
          </cell>
          <cell r="G904">
            <v>0</v>
          </cell>
          <cell r="H904">
            <v>1</v>
          </cell>
        </row>
        <row r="905">
          <cell r="A905" t="str">
            <v>SIN</v>
          </cell>
          <cell r="B905" t="str">
            <v>SMR</v>
          </cell>
          <cell r="C905" t="str">
            <v>C.FDR</v>
          </cell>
          <cell r="D905">
            <v>26</v>
          </cell>
          <cell r="E905">
            <v>41</v>
          </cell>
          <cell r="F905">
            <v>40</v>
          </cell>
          <cell r="G905">
            <v>7</v>
          </cell>
          <cell r="H905">
            <v>162</v>
          </cell>
        </row>
        <row r="906">
          <cell r="A906" t="str">
            <v>SIN</v>
          </cell>
          <cell r="B906" t="str">
            <v>SNK</v>
          </cell>
          <cell r="C906" t="str">
            <v>C.FDR</v>
          </cell>
          <cell r="D906">
            <v>0</v>
          </cell>
          <cell r="E906">
            <v>0</v>
          </cell>
          <cell r="F906">
            <v>0</v>
          </cell>
          <cell r="G906">
            <v>1</v>
          </cell>
          <cell r="H906">
            <v>2</v>
          </cell>
        </row>
        <row r="907">
          <cell r="A907" t="str">
            <v>SIN</v>
          </cell>
          <cell r="B907" t="str">
            <v>SOO</v>
          </cell>
          <cell r="C907" t="str">
            <v>M.VSL</v>
          </cell>
          <cell r="D907">
            <v>115</v>
          </cell>
          <cell r="E907">
            <v>166</v>
          </cell>
          <cell r="F907">
            <v>0</v>
          </cell>
          <cell r="G907">
            <v>0</v>
          </cell>
          <cell r="H907">
            <v>447</v>
          </cell>
        </row>
        <row r="908">
          <cell r="A908" t="str">
            <v>SIN</v>
          </cell>
          <cell r="B908" t="str">
            <v>SPO</v>
          </cell>
          <cell r="C908" t="str">
            <v>M.VSL</v>
          </cell>
          <cell r="D908">
            <v>444</v>
          </cell>
          <cell r="E908">
            <v>1193</v>
          </cell>
          <cell r="F908">
            <v>0</v>
          </cell>
          <cell r="G908">
            <v>0</v>
          </cell>
          <cell r="H908">
            <v>2830</v>
          </cell>
        </row>
        <row r="909">
          <cell r="A909" t="str">
            <v>SIN</v>
          </cell>
          <cell r="B909" t="str">
            <v>STL</v>
          </cell>
          <cell r="C909" t="str">
            <v>M.VSL</v>
          </cell>
          <cell r="D909">
            <v>76</v>
          </cell>
          <cell r="E909">
            <v>219</v>
          </cell>
          <cell r="F909">
            <v>0</v>
          </cell>
          <cell r="G909">
            <v>0</v>
          </cell>
          <cell r="H909">
            <v>514</v>
          </cell>
        </row>
        <row r="910">
          <cell r="A910" t="str">
            <v>SIN</v>
          </cell>
          <cell r="B910" t="str">
            <v>SUR</v>
          </cell>
          <cell r="C910" t="str">
            <v>M.VSL</v>
          </cell>
          <cell r="D910">
            <v>36</v>
          </cell>
          <cell r="E910">
            <v>78</v>
          </cell>
          <cell r="F910">
            <v>130</v>
          </cell>
          <cell r="G910">
            <v>67</v>
          </cell>
          <cell r="H910">
            <v>456</v>
          </cell>
        </row>
        <row r="911">
          <cell r="A911" t="str">
            <v>SIN</v>
          </cell>
          <cell r="B911" t="str">
            <v>SUR</v>
          </cell>
          <cell r="C911" t="str">
            <v>C.FDR</v>
          </cell>
          <cell r="D911">
            <v>23</v>
          </cell>
          <cell r="E911">
            <v>100</v>
          </cell>
          <cell r="F911">
            <v>25</v>
          </cell>
          <cell r="G911">
            <v>15</v>
          </cell>
          <cell r="H911">
            <v>278</v>
          </cell>
        </row>
        <row r="912">
          <cell r="A912" t="str">
            <v>SIN</v>
          </cell>
          <cell r="B912" t="str">
            <v>SYD</v>
          </cell>
          <cell r="C912" t="str">
            <v>M.VSL</v>
          </cell>
          <cell r="D912">
            <v>105</v>
          </cell>
          <cell r="E912">
            <v>44</v>
          </cell>
          <cell r="F912">
            <v>0</v>
          </cell>
          <cell r="G912">
            <v>0</v>
          </cell>
          <cell r="H912">
            <v>193</v>
          </cell>
        </row>
        <row r="913">
          <cell r="A913" t="str">
            <v>SIN</v>
          </cell>
          <cell r="B913" t="str">
            <v>TAW</v>
          </cell>
          <cell r="C913" t="str">
            <v>C.FDR</v>
          </cell>
          <cell r="D913">
            <v>0</v>
          </cell>
          <cell r="E913">
            <v>1</v>
          </cell>
          <cell r="F913">
            <v>0</v>
          </cell>
          <cell r="G913">
            <v>1</v>
          </cell>
          <cell r="H913">
            <v>4</v>
          </cell>
        </row>
        <row r="914">
          <cell r="A914" t="str">
            <v>SIN</v>
          </cell>
          <cell r="B914" t="str">
            <v>TKY</v>
          </cell>
          <cell r="C914" t="str">
            <v>M.VSL</v>
          </cell>
          <cell r="D914">
            <v>132</v>
          </cell>
          <cell r="E914">
            <v>151</v>
          </cell>
          <cell r="F914">
            <v>0</v>
          </cell>
          <cell r="G914">
            <v>0</v>
          </cell>
          <cell r="H914">
            <v>434</v>
          </cell>
        </row>
        <row r="915">
          <cell r="A915" t="str">
            <v>SIN</v>
          </cell>
          <cell r="B915" t="str">
            <v>TSN</v>
          </cell>
          <cell r="C915" t="str">
            <v>C.FDR</v>
          </cell>
          <cell r="D915">
            <v>2</v>
          </cell>
          <cell r="E915">
            <v>2</v>
          </cell>
          <cell r="F915">
            <v>47</v>
          </cell>
          <cell r="G915">
            <v>30</v>
          </cell>
          <cell r="H915">
            <v>113</v>
          </cell>
        </row>
        <row r="916">
          <cell r="A916" t="str">
            <v>SIN</v>
          </cell>
          <cell r="B916" t="str">
            <v>TUT</v>
          </cell>
          <cell r="C916" t="str">
            <v>C.FDR</v>
          </cell>
          <cell r="D916">
            <v>0</v>
          </cell>
          <cell r="E916">
            <v>13</v>
          </cell>
          <cell r="F916">
            <v>0</v>
          </cell>
          <cell r="G916">
            <v>0</v>
          </cell>
          <cell r="H916">
            <v>26</v>
          </cell>
        </row>
        <row r="917">
          <cell r="A917" t="str">
            <v>SIN</v>
          </cell>
          <cell r="B917" t="str">
            <v>VCR</v>
          </cell>
          <cell r="C917" t="str">
            <v>M.VSL</v>
          </cell>
          <cell r="D917">
            <v>6</v>
          </cell>
          <cell r="E917">
            <v>0</v>
          </cell>
          <cell r="F917">
            <v>0</v>
          </cell>
          <cell r="G917">
            <v>0</v>
          </cell>
          <cell r="H917">
            <v>6</v>
          </cell>
        </row>
        <row r="918">
          <cell r="A918" t="str">
            <v>SIN</v>
          </cell>
          <cell r="B918" t="str">
            <v>VIS</v>
          </cell>
          <cell r="C918" t="str">
            <v>C.FDR</v>
          </cell>
          <cell r="D918">
            <v>8</v>
          </cell>
          <cell r="E918">
            <v>0</v>
          </cell>
          <cell r="F918">
            <v>0</v>
          </cell>
          <cell r="G918">
            <v>10</v>
          </cell>
          <cell r="H918">
            <v>28</v>
          </cell>
        </row>
        <row r="919">
          <cell r="A919" t="str">
            <v>SIN</v>
          </cell>
          <cell r="B919" t="str">
            <v>XIV</v>
          </cell>
          <cell r="C919" t="str">
            <v>C.FDR</v>
          </cell>
          <cell r="D919">
            <v>52</v>
          </cell>
          <cell r="E919">
            <v>101</v>
          </cell>
          <cell r="F919">
            <v>0</v>
          </cell>
          <cell r="G919">
            <v>5</v>
          </cell>
          <cell r="H919">
            <v>264</v>
          </cell>
        </row>
        <row r="920">
          <cell r="A920" t="str">
            <v>SIN</v>
          </cell>
          <cell r="B920" t="str">
            <v>YOK</v>
          </cell>
          <cell r="C920" t="str">
            <v>M.VSL</v>
          </cell>
          <cell r="D920">
            <v>79</v>
          </cell>
          <cell r="E920">
            <v>51</v>
          </cell>
          <cell r="F920">
            <v>0</v>
          </cell>
          <cell r="G920">
            <v>0</v>
          </cell>
          <cell r="H920">
            <v>181</v>
          </cell>
        </row>
        <row r="921">
          <cell r="A921" t="str">
            <v>SIN</v>
          </cell>
          <cell r="B921" t="str">
            <v>YTN</v>
          </cell>
          <cell r="C921" t="str">
            <v>M.VSL</v>
          </cell>
          <cell r="D921">
            <v>35</v>
          </cell>
          <cell r="E921">
            <v>28</v>
          </cell>
          <cell r="F921">
            <v>0</v>
          </cell>
          <cell r="G921">
            <v>0</v>
          </cell>
          <cell r="H921">
            <v>91</v>
          </cell>
        </row>
        <row r="922">
          <cell r="A922" t="str">
            <v>SMD</v>
          </cell>
          <cell r="B922" t="str">
            <v>SUR</v>
          </cell>
          <cell r="C922" t="str">
            <v>C.FDR</v>
          </cell>
          <cell r="D922">
            <v>16</v>
          </cell>
          <cell r="E922">
            <v>28</v>
          </cell>
          <cell r="F922">
            <v>0</v>
          </cell>
          <cell r="G922">
            <v>0</v>
          </cell>
          <cell r="H922">
            <v>72</v>
          </cell>
        </row>
        <row r="923">
          <cell r="A923" t="str">
            <v>SMR</v>
          </cell>
          <cell r="B923" t="str">
            <v>SIN</v>
          </cell>
          <cell r="C923" t="str">
            <v>C.FDR</v>
          </cell>
          <cell r="D923">
            <v>47</v>
          </cell>
          <cell r="E923">
            <v>58</v>
          </cell>
          <cell r="F923">
            <v>0</v>
          </cell>
          <cell r="G923">
            <v>0</v>
          </cell>
          <cell r="H923">
            <v>163</v>
          </cell>
        </row>
        <row r="924">
          <cell r="A924" t="str">
            <v>SOO</v>
          </cell>
          <cell r="B924" t="str">
            <v>ADB</v>
          </cell>
          <cell r="C924" t="str">
            <v>M.VSL</v>
          </cell>
          <cell r="D924">
            <v>0</v>
          </cell>
          <cell r="E924">
            <v>1</v>
          </cell>
          <cell r="F924">
            <v>0</v>
          </cell>
          <cell r="G924">
            <v>0</v>
          </cell>
          <cell r="H924">
            <v>2</v>
          </cell>
        </row>
        <row r="925">
          <cell r="A925" t="str">
            <v>SOO</v>
          </cell>
          <cell r="B925" t="str">
            <v>ANT</v>
          </cell>
          <cell r="C925" t="str">
            <v>M.VSL</v>
          </cell>
          <cell r="D925">
            <v>25</v>
          </cell>
          <cell r="E925">
            <v>8</v>
          </cell>
          <cell r="F925">
            <v>0</v>
          </cell>
          <cell r="G925">
            <v>0</v>
          </cell>
          <cell r="H925">
            <v>41</v>
          </cell>
        </row>
        <row r="926">
          <cell r="A926" t="str">
            <v>SOO</v>
          </cell>
          <cell r="B926" t="str">
            <v>BSN</v>
          </cell>
          <cell r="C926" t="str">
            <v>M.VSL</v>
          </cell>
          <cell r="D926">
            <v>40</v>
          </cell>
          <cell r="E926">
            <v>56</v>
          </cell>
          <cell r="F926">
            <v>130</v>
          </cell>
          <cell r="G926">
            <v>144</v>
          </cell>
          <cell r="H926">
            <v>570</v>
          </cell>
        </row>
        <row r="927">
          <cell r="A927" t="str">
            <v>SOO</v>
          </cell>
          <cell r="B927" t="str">
            <v>CBO</v>
          </cell>
          <cell r="C927" t="str">
            <v>M.VSL</v>
          </cell>
          <cell r="D927">
            <v>76</v>
          </cell>
          <cell r="E927">
            <v>34</v>
          </cell>
          <cell r="F927">
            <v>0</v>
          </cell>
          <cell r="G927">
            <v>0</v>
          </cell>
          <cell r="H927">
            <v>144</v>
          </cell>
        </row>
        <row r="928">
          <cell r="A928" t="str">
            <v>SOO</v>
          </cell>
          <cell r="B928" t="str">
            <v>HAT</v>
          </cell>
          <cell r="C928" t="str">
            <v>M.VSL</v>
          </cell>
          <cell r="D928">
            <v>6</v>
          </cell>
          <cell r="E928">
            <v>0</v>
          </cell>
          <cell r="F928">
            <v>0</v>
          </cell>
          <cell r="G928">
            <v>9</v>
          </cell>
          <cell r="H928">
            <v>24</v>
          </cell>
        </row>
        <row r="929">
          <cell r="A929" t="str">
            <v>SOO</v>
          </cell>
          <cell r="B929" t="str">
            <v>HKG</v>
          </cell>
          <cell r="C929" t="str">
            <v>M.VSL</v>
          </cell>
          <cell r="D929">
            <v>75</v>
          </cell>
          <cell r="E929">
            <v>135</v>
          </cell>
          <cell r="F929">
            <v>0</v>
          </cell>
          <cell r="G929">
            <v>120</v>
          </cell>
          <cell r="H929">
            <v>585</v>
          </cell>
        </row>
        <row r="930">
          <cell r="A930" t="str">
            <v>SOO</v>
          </cell>
          <cell r="B930" t="str">
            <v>KAO</v>
          </cell>
          <cell r="C930" t="str">
            <v>M.VSL</v>
          </cell>
          <cell r="D930">
            <v>31</v>
          </cell>
          <cell r="E930">
            <v>44</v>
          </cell>
          <cell r="F930">
            <v>0</v>
          </cell>
          <cell r="G930">
            <v>0</v>
          </cell>
          <cell r="H930">
            <v>119</v>
          </cell>
        </row>
        <row r="931">
          <cell r="A931" t="str">
            <v>SOO</v>
          </cell>
          <cell r="B931" t="str">
            <v>KOB</v>
          </cell>
          <cell r="C931" t="str">
            <v>M.VSL</v>
          </cell>
          <cell r="D931">
            <v>12</v>
          </cell>
          <cell r="E931">
            <v>25</v>
          </cell>
          <cell r="F931">
            <v>0</v>
          </cell>
          <cell r="G931">
            <v>0</v>
          </cell>
          <cell r="H931">
            <v>62</v>
          </cell>
        </row>
        <row r="932">
          <cell r="A932" t="str">
            <v>SOO</v>
          </cell>
          <cell r="B932" t="str">
            <v>KYG</v>
          </cell>
          <cell r="C932" t="str">
            <v>M.VSL</v>
          </cell>
          <cell r="D932">
            <v>0</v>
          </cell>
          <cell r="E932">
            <v>11</v>
          </cell>
          <cell r="F932">
            <v>204</v>
          </cell>
          <cell r="G932">
            <v>0</v>
          </cell>
          <cell r="H932">
            <v>226</v>
          </cell>
        </row>
        <row r="933">
          <cell r="A933" t="str">
            <v>SOO</v>
          </cell>
          <cell r="B933" t="str">
            <v>LEH</v>
          </cell>
          <cell r="C933" t="str">
            <v>M.VSL</v>
          </cell>
          <cell r="D933">
            <v>12</v>
          </cell>
          <cell r="E933">
            <v>13</v>
          </cell>
          <cell r="F933">
            <v>0</v>
          </cell>
          <cell r="G933">
            <v>0</v>
          </cell>
          <cell r="H933">
            <v>38</v>
          </cell>
        </row>
        <row r="934">
          <cell r="A934" t="str">
            <v>SOO</v>
          </cell>
          <cell r="B934" t="str">
            <v>NGO</v>
          </cell>
          <cell r="C934" t="str">
            <v>M.VSL</v>
          </cell>
          <cell r="D934">
            <v>14</v>
          </cell>
          <cell r="E934">
            <v>0</v>
          </cell>
          <cell r="F934">
            <v>0</v>
          </cell>
          <cell r="G934">
            <v>108</v>
          </cell>
          <cell r="H934">
            <v>230</v>
          </cell>
        </row>
        <row r="935">
          <cell r="A935" t="str">
            <v>SOO</v>
          </cell>
          <cell r="B935" t="str">
            <v>QDO</v>
          </cell>
          <cell r="C935" t="str">
            <v>M.VSL</v>
          </cell>
          <cell r="D935">
            <v>0</v>
          </cell>
          <cell r="E935">
            <v>0</v>
          </cell>
          <cell r="F935">
            <v>15</v>
          </cell>
          <cell r="G935">
            <v>25</v>
          </cell>
          <cell r="H935">
            <v>65</v>
          </cell>
        </row>
        <row r="936">
          <cell r="A936" t="str">
            <v>SOO</v>
          </cell>
          <cell r="B936" t="str">
            <v>SHA</v>
          </cell>
          <cell r="C936" t="str">
            <v>M.VSL</v>
          </cell>
          <cell r="D936">
            <v>10</v>
          </cell>
          <cell r="E936">
            <v>32</v>
          </cell>
          <cell r="F936">
            <v>0</v>
          </cell>
          <cell r="G936">
            <v>61</v>
          </cell>
          <cell r="H936">
            <v>196</v>
          </cell>
        </row>
        <row r="937">
          <cell r="A937" t="str">
            <v>SOO</v>
          </cell>
          <cell r="B937" t="str">
            <v>SIN</v>
          </cell>
          <cell r="C937" t="str">
            <v>M.VSL</v>
          </cell>
          <cell r="D937">
            <v>92</v>
          </cell>
          <cell r="E937">
            <v>150</v>
          </cell>
          <cell r="F937">
            <v>62</v>
          </cell>
          <cell r="G937">
            <v>40</v>
          </cell>
          <cell r="H937">
            <v>534</v>
          </cell>
        </row>
        <row r="938">
          <cell r="A938" t="str">
            <v>SOO</v>
          </cell>
          <cell r="B938" t="str">
            <v>TKY</v>
          </cell>
          <cell r="C938" t="str">
            <v>M.VSL</v>
          </cell>
          <cell r="D938">
            <v>32</v>
          </cell>
          <cell r="E938">
            <v>31</v>
          </cell>
          <cell r="F938">
            <v>0</v>
          </cell>
          <cell r="G938">
            <v>0</v>
          </cell>
          <cell r="H938">
            <v>94</v>
          </cell>
        </row>
        <row r="939">
          <cell r="A939" t="str">
            <v>SOO</v>
          </cell>
          <cell r="B939" t="str">
            <v>YTN</v>
          </cell>
          <cell r="C939" t="str">
            <v>M.VSL</v>
          </cell>
          <cell r="D939">
            <v>0</v>
          </cell>
          <cell r="E939">
            <v>0</v>
          </cell>
          <cell r="F939">
            <v>30</v>
          </cell>
          <cell r="G939">
            <v>0</v>
          </cell>
          <cell r="H939">
            <v>30</v>
          </cell>
        </row>
        <row r="940">
          <cell r="A940" t="str">
            <v>SPO</v>
          </cell>
          <cell r="B940" t="str">
            <v>BSN</v>
          </cell>
          <cell r="C940" t="str">
            <v>M.VSL</v>
          </cell>
          <cell r="D940">
            <v>0</v>
          </cell>
          <cell r="E940">
            <v>34</v>
          </cell>
          <cell r="F940">
            <v>0</v>
          </cell>
          <cell r="G940">
            <v>0</v>
          </cell>
          <cell r="H940">
            <v>68</v>
          </cell>
        </row>
        <row r="941">
          <cell r="A941" t="str">
            <v>SPO</v>
          </cell>
          <cell r="B941" t="str">
            <v>HAT</v>
          </cell>
          <cell r="C941" t="str">
            <v>M.VSL</v>
          </cell>
          <cell r="D941">
            <v>2</v>
          </cell>
          <cell r="E941">
            <v>55</v>
          </cell>
          <cell r="F941">
            <v>0</v>
          </cell>
          <cell r="G941">
            <v>0</v>
          </cell>
          <cell r="H941">
            <v>112</v>
          </cell>
        </row>
        <row r="942">
          <cell r="A942" t="str">
            <v>SPO</v>
          </cell>
          <cell r="B942" t="str">
            <v>HKG</v>
          </cell>
          <cell r="C942" t="str">
            <v>M.VSL</v>
          </cell>
          <cell r="D942">
            <v>89</v>
          </cell>
          <cell r="E942">
            <v>705</v>
          </cell>
          <cell r="F942">
            <v>0</v>
          </cell>
          <cell r="G942">
            <v>9</v>
          </cell>
          <cell r="H942">
            <v>1517</v>
          </cell>
        </row>
        <row r="943">
          <cell r="A943" t="str">
            <v>SPO</v>
          </cell>
          <cell r="B943" t="str">
            <v>KAO</v>
          </cell>
          <cell r="C943" t="str">
            <v>M.VSL</v>
          </cell>
          <cell r="D943">
            <v>106</v>
          </cell>
          <cell r="E943">
            <v>226</v>
          </cell>
          <cell r="F943">
            <v>195</v>
          </cell>
          <cell r="G943">
            <v>27</v>
          </cell>
          <cell r="H943">
            <v>807</v>
          </cell>
        </row>
        <row r="944">
          <cell r="A944" t="str">
            <v>SPO</v>
          </cell>
          <cell r="B944" t="str">
            <v>KOB</v>
          </cell>
          <cell r="C944" t="str">
            <v>M.VSL</v>
          </cell>
          <cell r="D944">
            <v>68</v>
          </cell>
          <cell r="E944">
            <v>120</v>
          </cell>
          <cell r="F944">
            <v>0</v>
          </cell>
          <cell r="G944">
            <v>0</v>
          </cell>
          <cell r="H944">
            <v>308</v>
          </cell>
        </row>
        <row r="945">
          <cell r="A945" t="str">
            <v>SPO</v>
          </cell>
          <cell r="B945" t="str">
            <v>LCB</v>
          </cell>
          <cell r="C945" t="str">
            <v>M.VSL</v>
          </cell>
          <cell r="D945">
            <v>26</v>
          </cell>
          <cell r="E945">
            <v>16</v>
          </cell>
          <cell r="F945">
            <v>20</v>
          </cell>
          <cell r="G945">
            <v>750</v>
          </cell>
          <cell r="H945">
            <v>1578</v>
          </cell>
        </row>
        <row r="946">
          <cell r="A946" t="str">
            <v>SPO</v>
          </cell>
          <cell r="B946" t="str">
            <v>NGO</v>
          </cell>
          <cell r="C946" t="str">
            <v>M.VSL</v>
          </cell>
          <cell r="D946">
            <v>0</v>
          </cell>
          <cell r="E946">
            <v>6</v>
          </cell>
          <cell r="F946">
            <v>0</v>
          </cell>
          <cell r="G946">
            <v>0</v>
          </cell>
          <cell r="H946">
            <v>12</v>
          </cell>
        </row>
        <row r="947">
          <cell r="A947" t="str">
            <v>SPO</v>
          </cell>
          <cell r="B947" t="str">
            <v>OAK</v>
          </cell>
          <cell r="C947" t="str">
            <v>M.VSL</v>
          </cell>
          <cell r="D947">
            <v>0</v>
          </cell>
          <cell r="E947">
            <v>1</v>
          </cell>
          <cell r="F947">
            <v>0</v>
          </cell>
          <cell r="G947">
            <v>0</v>
          </cell>
          <cell r="H947">
            <v>2</v>
          </cell>
        </row>
        <row r="948">
          <cell r="A948" t="str">
            <v>SPO</v>
          </cell>
          <cell r="B948" t="str">
            <v>QDO</v>
          </cell>
          <cell r="C948" t="str">
            <v>M.VSL</v>
          </cell>
          <cell r="D948">
            <v>18</v>
          </cell>
          <cell r="E948">
            <v>15</v>
          </cell>
          <cell r="F948">
            <v>74</v>
          </cell>
          <cell r="G948">
            <v>232</v>
          </cell>
          <cell r="H948">
            <v>586</v>
          </cell>
        </row>
        <row r="949">
          <cell r="A949" t="str">
            <v>SPO</v>
          </cell>
          <cell r="B949" t="str">
            <v>SIN</v>
          </cell>
          <cell r="C949" t="str">
            <v>M.VSL</v>
          </cell>
          <cell r="D949">
            <v>193</v>
          </cell>
          <cell r="E949">
            <v>739</v>
          </cell>
          <cell r="F949">
            <v>0</v>
          </cell>
          <cell r="G949">
            <v>30</v>
          </cell>
          <cell r="H949">
            <v>1731</v>
          </cell>
        </row>
        <row r="950">
          <cell r="A950" t="str">
            <v>SPO</v>
          </cell>
          <cell r="B950" t="str">
            <v>YOK</v>
          </cell>
          <cell r="C950" t="str">
            <v>M.VSL</v>
          </cell>
          <cell r="D950">
            <v>29</v>
          </cell>
          <cell r="E950">
            <v>141</v>
          </cell>
          <cell r="F950">
            <v>0</v>
          </cell>
          <cell r="G950">
            <v>0</v>
          </cell>
          <cell r="H950">
            <v>311</v>
          </cell>
        </row>
        <row r="951">
          <cell r="A951" t="str">
            <v>SPO</v>
          </cell>
          <cell r="B951" t="str">
            <v>YTN</v>
          </cell>
          <cell r="C951" t="str">
            <v>M.VSL</v>
          </cell>
          <cell r="D951">
            <v>1</v>
          </cell>
          <cell r="E951">
            <v>0</v>
          </cell>
          <cell r="F951">
            <v>44</v>
          </cell>
          <cell r="G951">
            <v>1230</v>
          </cell>
          <cell r="H951">
            <v>2505</v>
          </cell>
        </row>
        <row r="952">
          <cell r="A952" t="str">
            <v>STL</v>
          </cell>
          <cell r="B952" t="str">
            <v>HKG</v>
          </cell>
          <cell r="C952" t="str">
            <v>M.VSL</v>
          </cell>
          <cell r="D952">
            <v>6</v>
          </cell>
          <cell r="E952">
            <v>36</v>
          </cell>
          <cell r="F952">
            <v>0</v>
          </cell>
          <cell r="G952">
            <v>2</v>
          </cell>
          <cell r="H952">
            <v>82</v>
          </cell>
        </row>
        <row r="953">
          <cell r="A953" t="str">
            <v>STL</v>
          </cell>
          <cell r="B953" t="str">
            <v>KAO</v>
          </cell>
          <cell r="C953" t="str">
            <v>M.VSL</v>
          </cell>
          <cell r="D953">
            <v>2</v>
          </cell>
          <cell r="E953">
            <v>1</v>
          </cell>
          <cell r="F953">
            <v>0</v>
          </cell>
          <cell r="G953">
            <v>0</v>
          </cell>
          <cell r="H953">
            <v>4</v>
          </cell>
        </row>
        <row r="954">
          <cell r="A954" t="str">
            <v>STL</v>
          </cell>
          <cell r="B954" t="str">
            <v>KOB</v>
          </cell>
          <cell r="C954" t="str">
            <v>M.VSL</v>
          </cell>
          <cell r="D954">
            <v>14</v>
          </cell>
          <cell r="E954">
            <v>44</v>
          </cell>
          <cell r="F954">
            <v>0</v>
          </cell>
          <cell r="G954">
            <v>0</v>
          </cell>
          <cell r="H954">
            <v>102</v>
          </cell>
        </row>
        <row r="955">
          <cell r="A955" t="str">
            <v>STL</v>
          </cell>
          <cell r="B955" t="str">
            <v>NGO</v>
          </cell>
          <cell r="C955" t="str">
            <v>M.VSL</v>
          </cell>
          <cell r="D955">
            <v>35</v>
          </cell>
          <cell r="E955">
            <v>41</v>
          </cell>
          <cell r="F955">
            <v>0</v>
          </cell>
          <cell r="G955">
            <v>0</v>
          </cell>
          <cell r="H955">
            <v>117</v>
          </cell>
        </row>
        <row r="956">
          <cell r="A956" t="str">
            <v>STL</v>
          </cell>
          <cell r="B956" t="str">
            <v>SHA</v>
          </cell>
          <cell r="C956" t="str">
            <v>M.VSL</v>
          </cell>
          <cell r="D956">
            <v>12</v>
          </cell>
          <cell r="E956">
            <v>24</v>
          </cell>
          <cell r="F956">
            <v>0</v>
          </cell>
          <cell r="G956">
            <v>73</v>
          </cell>
          <cell r="H956">
            <v>206</v>
          </cell>
        </row>
        <row r="957">
          <cell r="A957" t="str">
            <v>STL</v>
          </cell>
          <cell r="B957" t="str">
            <v>SIN</v>
          </cell>
          <cell r="C957" t="str">
            <v>M.VSL</v>
          </cell>
          <cell r="D957">
            <v>53</v>
          </cell>
          <cell r="E957">
            <v>108</v>
          </cell>
          <cell r="F957">
            <v>0</v>
          </cell>
          <cell r="G957">
            <v>20</v>
          </cell>
          <cell r="H957">
            <v>309</v>
          </cell>
        </row>
        <row r="958">
          <cell r="A958" t="str">
            <v>STL</v>
          </cell>
          <cell r="B958" t="str">
            <v>TKY</v>
          </cell>
          <cell r="C958" t="str">
            <v>M.VSL</v>
          </cell>
          <cell r="D958">
            <v>36</v>
          </cell>
          <cell r="E958">
            <v>58</v>
          </cell>
          <cell r="F958">
            <v>0</v>
          </cell>
          <cell r="G958">
            <v>0</v>
          </cell>
          <cell r="H958">
            <v>152</v>
          </cell>
        </row>
        <row r="959">
          <cell r="A959" t="str">
            <v>STL</v>
          </cell>
          <cell r="B959" t="str">
            <v>YOK</v>
          </cell>
          <cell r="C959" t="str">
            <v>M.VSL</v>
          </cell>
          <cell r="D959">
            <v>54</v>
          </cell>
          <cell r="E959">
            <v>17</v>
          </cell>
          <cell r="F959">
            <v>0</v>
          </cell>
          <cell r="G959">
            <v>0</v>
          </cell>
          <cell r="H959">
            <v>88</v>
          </cell>
        </row>
        <row r="960">
          <cell r="A960" t="str">
            <v>STL</v>
          </cell>
          <cell r="B960" t="str">
            <v>YTN</v>
          </cell>
          <cell r="C960" t="str">
            <v>M.VSL</v>
          </cell>
          <cell r="D960">
            <v>0</v>
          </cell>
          <cell r="E960">
            <v>0</v>
          </cell>
          <cell r="F960">
            <v>0</v>
          </cell>
          <cell r="G960">
            <v>195</v>
          </cell>
          <cell r="H960">
            <v>390</v>
          </cell>
        </row>
        <row r="961">
          <cell r="A961" t="str">
            <v>SUR</v>
          </cell>
          <cell r="B961" t="str">
            <v>BSN</v>
          </cell>
          <cell r="C961" t="str">
            <v>M.VSL</v>
          </cell>
          <cell r="D961">
            <v>13</v>
          </cell>
          <cell r="E961">
            <v>76</v>
          </cell>
          <cell r="F961">
            <v>1</v>
          </cell>
          <cell r="G961">
            <v>0</v>
          </cell>
          <cell r="H961">
            <v>166</v>
          </cell>
        </row>
        <row r="962">
          <cell r="A962" t="str">
            <v>SUR</v>
          </cell>
          <cell r="B962" t="str">
            <v>HKG</v>
          </cell>
          <cell r="C962" t="str">
            <v>M.VSL</v>
          </cell>
          <cell r="D962">
            <v>129</v>
          </cell>
          <cell r="E962">
            <v>69</v>
          </cell>
          <cell r="F962">
            <v>0</v>
          </cell>
          <cell r="G962">
            <v>65</v>
          </cell>
          <cell r="H962">
            <v>397</v>
          </cell>
        </row>
        <row r="963">
          <cell r="A963" t="str">
            <v>SUR</v>
          </cell>
          <cell r="B963" t="str">
            <v>SIN</v>
          </cell>
          <cell r="C963" t="str">
            <v>M.VSL</v>
          </cell>
          <cell r="D963">
            <v>15</v>
          </cell>
          <cell r="E963">
            <v>0</v>
          </cell>
          <cell r="F963">
            <v>0</v>
          </cell>
          <cell r="G963">
            <v>0</v>
          </cell>
          <cell r="H963">
            <v>15</v>
          </cell>
        </row>
        <row r="964">
          <cell r="A964" t="str">
            <v>SUR</v>
          </cell>
          <cell r="B964" t="str">
            <v>SIN</v>
          </cell>
          <cell r="C964" t="str">
            <v>C.FDR</v>
          </cell>
          <cell r="D964">
            <v>87</v>
          </cell>
          <cell r="E964">
            <v>67</v>
          </cell>
          <cell r="F964">
            <v>0</v>
          </cell>
          <cell r="G964">
            <v>0</v>
          </cell>
          <cell r="H964">
            <v>221</v>
          </cell>
        </row>
        <row r="965">
          <cell r="A965" t="str">
            <v>SUR</v>
          </cell>
          <cell r="B965" t="str">
            <v>SMD</v>
          </cell>
          <cell r="C965" t="str">
            <v>C.FDR</v>
          </cell>
          <cell r="D965">
            <v>1</v>
          </cell>
          <cell r="E965">
            <v>0</v>
          </cell>
          <cell r="F965">
            <v>0</v>
          </cell>
          <cell r="G965">
            <v>5</v>
          </cell>
          <cell r="H965">
            <v>11</v>
          </cell>
        </row>
        <row r="966">
          <cell r="A966" t="str">
            <v>SUR</v>
          </cell>
          <cell r="B966" t="str">
            <v>XIA</v>
          </cell>
          <cell r="C966" t="str">
            <v>M.VSL</v>
          </cell>
          <cell r="D966">
            <v>0</v>
          </cell>
          <cell r="E966">
            <v>0</v>
          </cell>
          <cell r="F966">
            <v>0</v>
          </cell>
          <cell r="G966">
            <v>20</v>
          </cell>
          <cell r="H966">
            <v>40</v>
          </cell>
        </row>
        <row r="967">
          <cell r="A967" t="str">
            <v>SVN</v>
          </cell>
          <cell r="B967" t="str">
            <v>BRV</v>
          </cell>
          <cell r="C967" t="str">
            <v>M.VSL</v>
          </cell>
          <cell r="D967">
            <v>3</v>
          </cell>
          <cell r="E967">
            <v>4</v>
          </cell>
          <cell r="F967">
            <v>0</v>
          </cell>
          <cell r="G967">
            <v>0</v>
          </cell>
          <cell r="H967">
            <v>11</v>
          </cell>
        </row>
        <row r="968">
          <cell r="A968" t="str">
            <v>SVN</v>
          </cell>
          <cell r="B968" t="str">
            <v>FEL</v>
          </cell>
          <cell r="C968" t="str">
            <v>M.VSL</v>
          </cell>
          <cell r="D968">
            <v>0</v>
          </cell>
          <cell r="E968">
            <v>5</v>
          </cell>
          <cell r="F968">
            <v>0</v>
          </cell>
          <cell r="G968">
            <v>0</v>
          </cell>
          <cell r="H968">
            <v>10</v>
          </cell>
        </row>
        <row r="969">
          <cell r="A969" t="str">
            <v>SVN</v>
          </cell>
          <cell r="B969" t="str">
            <v>HKG</v>
          </cell>
          <cell r="C969" t="str">
            <v>M.VSL</v>
          </cell>
          <cell r="D969">
            <v>3</v>
          </cell>
          <cell r="E969">
            <v>82</v>
          </cell>
          <cell r="F969">
            <v>0</v>
          </cell>
          <cell r="G969">
            <v>23</v>
          </cell>
          <cell r="H969">
            <v>213</v>
          </cell>
        </row>
        <row r="970">
          <cell r="A970" t="str">
            <v>SVN</v>
          </cell>
          <cell r="B970" t="str">
            <v>KAO</v>
          </cell>
          <cell r="C970" t="str">
            <v>M.VSL</v>
          </cell>
          <cell r="D970">
            <v>0</v>
          </cell>
          <cell r="E970">
            <v>23</v>
          </cell>
          <cell r="F970">
            <v>5</v>
          </cell>
          <cell r="G970">
            <v>36</v>
          </cell>
          <cell r="H970">
            <v>123</v>
          </cell>
        </row>
        <row r="971">
          <cell r="A971" t="str">
            <v>SVN</v>
          </cell>
          <cell r="B971" t="str">
            <v>RTM</v>
          </cell>
          <cell r="C971" t="str">
            <v>M.VSL</v>
          </cell>
          <cell r="D971">
            <v>1</v>
          </cell>
          <cell r="E971">
            <v>4</v>
          </cell>
          <cell r="F971">
            <v>0</v>
          </cell>
          <cell r="G971">
            <v>0</v>
          </cell>
          <cell r="H971">
            <v>9</v>
          </cell>
        </row>
        <row r="972">
          <cell r="A972" t="str">
            <v>SYD</v>
          </cell>
          <cell r="B972" t="str">
            <v>BSN</v>
          </cell>
          <cell r="C972" t="str">
            <v>M.VSL</v>
          </cell>
          <cell r="D972">
            <v>6</v>
          </cell>
          <cell r="E972">
            <v>8</v>
          </cell>
          <cell r="F972">
            <v>56</v>
          </cell>
          <cell r="G972">
            <v>15</v>
          </cell>
          <cell r="H972">
            <v>108</v>
          </cell>
        </row>
        <row r="973">
          <cell r="A973" t="str">
            <v>SYD</v>
          </cell>
          <cell r="B973" t="str">
            <v>HAT</v>
          </cell>
          <cell r="C973" t="str">
            <v>M.VSL</v>
          </cell>
          <cell r="D973">
            <v>5</v>
          </cell>
          <cell r="E973">
            <v>0</v>
          </cell>
          <cell r="F973">
            <v>0</v>
          </cell>
          <cell r="G973">
            <v>0</v>
          </cell>
          <cell r="H973">
            <v>5</v>
          </cell>
        </row>
        <row r="974">
          <cell r="A974" t="str">
            <v>SYD</v>
          </cell>
          <cell r="B974" t="str">
            <v>HKG</v>
          </cell>
          <cell r="C974" t="str">
            <v>M.VSL</v>
          </cell>
          <cell r="D974">
            <v>11</v>
          </cell>
          <cell r="E974">
            <v>2</v>
          </cell>
          <cell r="F974">
            <v>0</v>
          </cell>
          <cell r="G974">
            <v>0</v>
          </cell>
          <cell r="H974">
            <v>15</v>
          </cell>
        </row>
        <row r="975">
          <cell r="A975" t="str">
            <v>SYD</v>
          </cell>
          <cell r="B975" t="str">
            <v>KAO</v>
          </cell>
          <cell r="C975" t="str">
            <v>M.VSL</v>
          </cell>
          <cell r="D975">
            <v>0</v>
          </cell>
          <cell r="E975">
            <v>1</v>
          </cell>
          <cell r="F975">
            <v>30</v>
          </cell>
          <cell r="G975">
            <v>0</v>
          </cell>
          <cell r="H975">
            <v>32</v>
          </cell>
        </row>
        <row r="976">
          <cell r="A976" t="str">
            <v>SYD</v>
          </cell>
          <cell r="B976" t="str">
            <v>PKE</v>
          </cell>
          <cell r="C976" t="str">
            <v>M.VSL</v>
          </cell>
          <cell r="D976">
            <v>14</v>
          </cell>
          <cell r="E976">
            <v>4</v>
          </cell>
          <cell r="F976">
            <v>0</v>
          </cell>
          <cell r="G976">
            <v>0</v>
          </cell>
          <cell r="H976">
            <v>22</v>
          </cell>
        </row>
        <row r="977">
          <cell r="A977" t="str">
            <v>SYD</v>
          </cell>
          <cell r="B977" t="str">
            <v>SHA</v>
          </cell>
          <cell r="C977" t="str">
            <v>M.VSL</v>
          </cell>
          <cell r="D977">
            <v>0</v>
          </cell>
          <cell r="E977">
            <v>0</v>
          </cell>
          <cell r="F977">
            <v>0</v>
          </cell>
          <cell r="G977">
            <v>47</v>
          </cell>
          <cell r="H977">
            <v>94</v>
          </cell>
        </row>
        <row r="978">
          <cell r="A978" t="str">
            <v>SYD</v>
          </cell>
          <cell r="B978" t="str">
            <v>SIN</v>
          </cell>
          <cell r="C978" t="str">
            <v>M.VSL</v>
          </cell>
          <cell r="D978">
            <v>55</v>
          </cell>
          <cell r="E978">
            <v>21</v>
          </cell>
          <cell r="F978">
            <v>12</v>
          </cell>
          <cell r="G978">
            <v>12</v>
          </cell>
          <cell r="H978">
            <v>133</v>
          </cell>
        </row>
        <row r="979">
          <cell r="A979" t="str">
            <v>SYD</v>
          </cell>
          <cell r="B979" t="str">
            <v>YOK</v>
          </cell>
          <cell r="C979" t="str">
            <v>M.VSL</v>
          </cell>
          <cell r="D979">
            <v>5</v>
          </cell>
          <cell r="E979">
            <v>1</v>
          </cell>
          <cell r="F979">
            <v>0</v>
          </cell>
          <cell r="G979">
            <v>0</v>
          </cell>
          <cell r="H979">
            <v>7</v>
          </cell>
        </row>
        <row r="980">
          <cell r="A980" t="str">
            <v>TAW</v>
          </cell>
          <cell r="B980" t="str">
            <v>SIN</v>
          </cell>
          <cell r="C980" t="str">
            <v>C.FDR</v>
          </cell>
          <cell r="D980">
            <v>0</v>
          </cell>
          <cell r="E980">
            <v>3</v>
          </cell>
          <cell r="F980">
            <v>0</v>
          </cell>
          <cell r="G980">
            <v>0</v>
          </cell>
          <cell r="H980">
            <v>6</v>
          </cell>
        </row>
        <row r="981">
          <cell r="A981" t="str">
            <v>TCM</v>
          </cell>
          <cell r="B981" t="str">
            <v>BSN</v>
          </cell>
          <cell r="C981" t="str">
            <v>M.VSL</v>
          </cell>
          <cell r="D981">
            <v>580</v>
          </cell>
          <cell r="E981">
            <v>1210</v>
          </cell>
          <cell r="F981">
            <v>18</v>
          </cell>
          <cell r="G981">
            <v>76</v>
          </cell>
          <cell r="H981">
            <v>3170</v>
          </cell>
        </row>
        <row r="982">
          <cell r="A982" t="str">
            <v>TCM</v>
          </cell>
          <cell r="B982" t="str">
            <v>HKG</v>
          </cell>
          <cell r="C982" t="str">
            <v>M.VSL</v>
          </cell>
          <cell r="D982">
            <v>54</v>
          </cell>
          <cell r="E982">
            <v>342</v>
          </cell>
          <cell r="F982">
            <v>4</v>
          </cell>
          <cell r="G982">
            <v>86</v>
          </cell>
          <cell r="H982">
            <v>914</v>
          </cell>
        </row>
        <row r="983">
          <cell r="A983" t="str">
            <v>TCM</v>
          </cell>
          <cell r="B983" t="str">
            <v>KAO</v>
          </cell>
          <cell r="C983" t="str">
            <v>M.VSL</v>
          </cell>
          <cell r="D983">
            <v>87</v>
          </cell>
          <cell r="E983">
            <v>152</v>
          </cell>
          <cell r="F983">
            <v>0</v>
          </cell>
          <cell r="G983">
            <v>0</v>
          </cell>
          <cell r="H983">
            <v>391</v>
          </cell>
        </row>
        <row r="984">
          <cell r="A984" t="str">
            <v>TCM</v>
          </cell>
          <cell r="B984" t="str">
            <v>KYG</v>
          </cell>
          <cell r="C984" t="str">
            <v>M.VSL</v>
          </cell>
          <cell r="D984">
            <v>47</v>
          </cell>
          <cell r="E984">
            <v>385</v>
          </cell>
          <cell r="F984">
            <v>13</v>
          </cell>
          <cell r="G984">
            <v>0</v>
          </cell>
          <cell r="H984">
            <v>830</v>
          </cell>
        </row>
        <row r="985">
          <cell r="A985" t="str">
            <v>TCM</v>
          </cell>
          <cell r="B985" t="str">
            <v>YOK</v>
          </cell>
          <cell r="C985" t="str">
            <v>M.VSL</v>
          </cell>
          <cell r="D985">
            <v>11</v>
          </cell>
          <cell r="E985">
            <v>52</v>
          </cell>
          <cell r="F985">
            <v>0</v>
          </cell>
          <cell r="G985">
            <v>0</v>
          </cell>
          <cell r="H985">
            <v>115</v>
          </cell>
        </row>
        <row r="986">
          <cell r="A986" t="str">
            <v>TCM</v>
          </cell>
          <cell r="B986" t="str">
            <v>YTN</v>
          </cell>
          <cell r="C986" t="str">
            <v>M.VSL</v>
          </cell>
          <cell r="D986">
            <v>0</v>
          </cell>
          <cell r="E986">
            <v>34</v>
          </cell>
          <cell r="F986">
            <v>2</v>
          </cell>
          <cell r="G986">
            <v>96</v>
          </cell>
          <cell r="H986">
            <v>262</v>
          </cell>
        </row>
        <row r="987">
          <cell r="A987" t="str">
            <v>THS</v>
          </cell>
          <cell r="B987" t="str">
            <v>PSA</v>
          </cell>
          <cell r="C987" t="str">
            <v>C.FDR</v>
          </cell>
          <cell r="D987">
            <v>2</v>
          </cell>
          <cell r="E987">
            <v>0</v>
          </cell>
          <cell r="F987">
            <v>0</v>
          </cell>
          <cell r="G987">
            <v>0</v>
          </cell>
          <cell r="H987">
            <v>2</v>
          </cell>
        </row>
        <row r="988">
          <cell r="A988" t="str">
            <v>TKH</v>
          </cell>
          <cell r="B988" t="str">
            <v>BSN</v>
          </cell>
          <cell r="C988" t="str">
            <v>C.FDR</v>
          </cell>
          <cell r="D988">
            <v>0</v>
          </cell>
          <cell r="E988">
            <v>0</v>
          </cell>
          <cell r="F988">
            <v>4</v>
          </cell>
          <cell r="G988">
            <v>9</v>
          </cell>
          <cell r="H988">
            <v>22</v>
          </cell>
        </row>
        <row r="989">
          <cell r="A989" t="str">
            <v>TKJ</v>
          </cell>
          <cell r="B989" t="str">
            <v>BSN</v>
          </cell>
          <cell r="C989" t="str">
            <v>C.FDR</v>
          </cell>
          <cell r="D989">
            <v>0</v>
          </cell>
          <cell r="E989">
            <v>0</v>
          </cell>
          <cell r="F989">
            <v>3</v>
          </cell>
          <cell r="G989">
            <v>7</v>
          </cell>
          <cell r="H989">
            <v>17</v>
          </cell>
        </row>
        <row r="990">
          <cell r="A990" t="str">
            <v>TKY</v>
          </cell>
          <cell r="B990" t="str">
            <v>BKK</v>
          </cell>
          <cell r="C990" t="str">
            <v>M.VSL</v>
          </cell>
          <cell r="D990">
            <v>54</v>
          </cell>
          <cell r="E990">
            <v>16</v>
          </cell>
          <cell r="F990">
            <v>15</v>
          </cell>
          <cell r="G990">
            <v>55</v>
          </cell>
          <cell r="H990">
            <v>211</v>
          </cell>
        </row>
        <row r="991">
          <cell r="A991" t="str">
            <v>TKY</v>
          </cell>
          <cell r="B991" t="str">
            <v>BSN</v>
          </cell>
          <cell r="C991" t="str">
            <v>M.VSL</v>
          </cell>
          <cell r="D991">
            <v>6</v>
          </cell>
          <cell r="E991">
            <v>11</v>
          </cell>
          <cell r="F991">
            <v>280</v>
          </cell>
          <cell r="G991">
            <v>50</v>
          </cell>
          <cell r="H991">
            <v>408</v>
          </cell>
        </row>
        <row r="992">
          <cell r="A992" t="str">
            <v>TKY</v>
          </cell>
          <cell r="B992" t="str">
            <v>BSN</v>
          </cell>
          <cell r="C992" t="str">
            <v>C.FDR</v>
          </cell>
          <cell r="D992">
            <v>0</v>
          </cell>
          <cell r="E992">
            <v>0</v>
          </cell>
          <cell r="F992">
            <v>10</v>
          </cell>
          <cell r="G992">
            <v>20</v>
          </cell>
          <cell r="H992">
            <v>50</v>
          </cell>
        </row>
        <row r="993">
          <cell r="A993" t="str">
            <v>TKY</v>
          </cell>
          <cell r="B993" t="str">
            <v>CST</v>
          </cell>
          <cell r="C993" t="str">
            <v>M.VSL</v>
          </cell>
          <cell r="D993">
            <v>4</v>
          </cell>
          <cell r="E993">
            <v>59</v>
          </cell>
          <cell r="F993">
            <v>0</v>
          </cell>
          <cell r="G993">
            <v>0</v>
          </cell>
          <cell r="H993">
            <v>122</v>
          </cell>
        </row>
        <row r="994">
          <cell r="A994" t="str">
            <v>TKY</v>
          </cell>
          <cell r="B994" t="str">
            <v>HAM</v>
          </cell>
          <cell r="C994" t="str">
            <v>M.VSL</v>
          </cell>
          <cell r="D994">
            <v>40</v>
          </cell>
          <cell r="E994">
            <v>33</v>
          </cell>
          <cell r="F994">
            <v>0</v>
          </cell>
          <cell r="G994">
            <v>0</v>
          </cell>
          <cell r="H994">
            <v>106</v>
          </cell>
        </row>
        <row r="995">
          <cell r="A995" t="str">
            <v>TKY</v>
          </cell>
          <cell r="B995" t="str">
            <v>HKG</v>
          </cell>
          <cell r="C995" t="str">
            <v>M.VSL</v>
          </cell>
          <cell r="D995">
            <v>94</v>
          </cell>
          <cell r="E995">
            <v>40</v>
          </cell>
          <cell r="F995">
            <v>0</v>
          </cell>
          <cell r="G995">
            <v>0</v>
          </cell>
          <cell r="H995">
            <v>174</v>
          </cell>
        </row>
        <row r="996">
          <cell r="A996" t="str">
            <v>TKY</v>
          </cell>
          <cell r="B996" t="str">
            <v>HMN</v>
          </cell>
          <cell r="C996" t="str">
            <v>M.VSL</v>
          </cell>
          <cell r="D996">
            <v>10</v>
          </cell>
          <cell r="E996">
            <v>7</v>
          </cell>
          <cell r="F996">
            <v>4</v>
          </cell>
          <cell r="G996">
            <v>3</v>
          </cell>
          <cell r="H996">
            <v>34</v>
          </cell>
        </row>
        <row r="997">
          <cell r="A997" t="str">
            <v>TKY</v>
          </cell>
          <cell r="B997" t="str">
            <v>KOB</v>
          </cell>
          <cell r="C997" t="str">
            <v>M.VSL</v>
          </cell>
          <cell r="D997">
            <v>0</v>
          </cell>
          <cell r="E997">
            <v>0</v>
          </cell>
          <cell r="F997">
            <v>30</v>
          </cell>
          <cell r="G997">
            <v>0</v>
          </cell>
          <cell r="H997">
            <v>30</v>
          </cell>
        </row>
        <row r="998">
          <cell r="A998" t="str">
            <v>TKY</v>
          </cell>
          <cell r="B998" t="str">
            <v>LCB</v>
          </cell>
          <cell r="C998" t="str">
            <v>M.VSL</v>
          </cell>
          <cell r="D998">
            <v>8</v>
          </cell>
          <cell r="E998">
            <v>26</v>
          </cell>
          <cell r="F998">
            <v>0</v>
          </cell>
          <cell r="G998">
            <v>15</v>
          </cell>
          <cell r="H998">
            <v>90</v>
          </cell>
        </row>
        <row r="999">
          <cell r="A999" t="str">
            <v>TKY</v>
          </cell>
          <cell r="B999" t="str">
            <v>LEH</v>
          </cell>
          <cell r="C999" t="str">
            <v>M.VSL</v>
          </cell>
          <cell r="D999">
            <v>11</v>
          </cell>
          <cell r="E999">
            <v>21</v>
          </cell>
          <cell r="F999">
            <v>0</v>
          </cell>
          <cell r="G999">
            <v>0</v>
          </cell>
          <cell r="H999">
            <v>53</v>
          </cell>
        </row>
        <row r="1000">
          <cell r="A1000" t="str">
            <v>TKY</v>
          </cell>
          <cell r="B1000" t="str">
            <v>LOS</v>
          </cell>
          <cell r="C1000" t="str">
            <v>M.VSL</v>
          </cell>
          <cell r="D1000">
            <v>85</v>
          </cell>
          <cell r="E1000">
            <v>286</v>
          </cell>
          <cell r="F1000">
            <v>0</v>
          </cell>
          <cell r="G1000">
            <v>33</v>
          </cell>
          <cell r="H1000">
            <v>723</v>
          </cell>
        </row>
        <row r="1001">
          <cell r="A1001" t="str">
            <v>TKY</v>
          </cell>
          <cell r="B1001" t="str">
            <v>MAI</v>
          </cell>
          <cell r="C1001" t="str">
            <v>M.VSL</v>
          </cell>
          <cell r="D1001">
            <v>5</v>
          </cell>
          <cell r="E1001">
            <v>7</v>
          </cell>
          <cell r="F1001">
            <v>0</v>
          </cell>
          <cell r="G1001">
            <v>0</v>
          </cell>
          <cell r="H1001">
            <v>19</v>
          </cell>
        </row>
        <row r="1002">
          <cell r="A1002" t="str">
            <v>TKY</v>
          </cell>
          <cell r="B1002" t="str">
            <v>NGO</v>
          </cell>
          <cell r="C1002" t="str">
            <v>M.VSL</v>
          </cell>
          <cell r="D1002">
            <v>0</v>
          </cell>
          <cell r="E1002">
            <v>0</v>
          </cell>
          <cell r="F1002">
            <v>0</v>
          </cell>
          <cell r="G1002">
            <v>90</v>
          </cell>
          <cell r="H1002">
            <v>180</v>
          </cell>
        </row>
        <row r="1003">
          <cell r="A1003" t="str">
            <v>TKY</v>
          </cell>
          <cell r="B1003" t="str">
            <v>NRF</v>
          </cell>
          <cell r="C1003" t="str">
            <v>M.VSL</v>
          </cell>
          <cell r="D1003">
            <v>10</v>
          </cell>
          <cell r="E1003">
            <v>24</v>
          </cell>
          <cell r="F1003">
            <v>0</v>
          </cell>
          <cell r="G1003">
            <v>0</v>
          </cell>
          <cell r="H1003">
            <v>58</v>
          </cell>
        </row>
        <row r="1004">
          <cell r="A1004" t="str">
            <v>TKY</v>
          </cell>
          <cell r="B1004" t="str">
            <v>NYC</v>
          </cell>
          <cell r="C1004" t="str">
            <v>M.VSL</v>
          </cell>
          <cell r="D1004">
            <v>22</v>
          </cell>
          <cell r="E1004">
            <v>73</v>
          </cell>
          <cell r="F1004">
            <v>0</v>
          </cell>
          <cell r="G1004">
            <v>0</v>
          </cell>
          <cell r="H1004">
            <v>168</v>
          </cell>
        </row>
        <row r="1005">
          <cell r="A1005" t="str">
            <v>TKY</v>
          </cell>
          <cell r="B1005" t="str">
            <v>PKE</v>
          </cell>
          <cell r="C1005" t="str">
            <v>M.VSL</v>
          </cell>
          <cell r="D1005">
            <v>3</v>
          </cell>
          <cell r="E1005">
            <v>2</v>
          </cell>
          <cell r="F1005">
            <v>0</v>
          </cell>
          <cell r="G1005">
            <v>0</v>
          </cell>
          <cell r="H1005">
            <v>7</v>
          </cell>
        </row>
        <row r="1006">
          <cell r="A1006" t="str">
            <v>TKY</v>
          </cell>
          <cell r="B1006" t="str">
            <v>QDO</v>
          </cell>
          <cell r="C1006" t="str">
            <v>C.FDR</v>
          </cell>
          <cell r="D1006">
            <v>0</v>
          </cell>
          <cell r="E1006">
            <v>0</v>
          </cell>
          <cell r="F1006">
            <v>48</v>
          </cell>
          <cell r="G1006">
            <v>40</v>
          </cell>
          <cell r="H1006">
            <v>128</v>
          </cell>
        </row>
        <row r="1007">
          <cell r="A1007" t="str">
            <v>TKY</v>
          </cell>
          <cell r="B1007" t="str">
            <v>RTM</v>
          </cell>
          <cell r="C1007" t="str">
            <v>M.VSL</v>
          </cell>
          <cell r="D1007">
            <v>78</v>
          </cell>
          <cell r="E1007">
            <v>96</v>
          </cell>
          <cell r="F1007">
            <v>0</v>
          </cell>
          <cell r="G1007">
            <v>0</v>
          </cell>
          <cell r="H1007">
            <v>270</v>
          </cell>
        </row>
        <row r="1008">
          <cell r="A1008" t="str">
            <v>TKY</v>
          </cell>
          <cell r="B1008" t="str">
            <v>SHA</v>
          </cell>
          <cell r="C1008" t="str">
            <v>M.VSL</v>
          </cell>
          <cell r="D1008">
            <v>2</v>
          </cell>
          <cell r="E1008">
            <v>1</v>
          </cell>
          <cell r="F1008">
            <v>0</v>
          </cell>
          <cell r="G1008">
            <v>347</v>
          </cell>
          <cell r="H1008">
            <v>698</v>
          </cell>
        </row>
        <row r="1009">
          <cell r="A1009" t="str">
            <v>TKY</v>
          </cell>
          <cell r="B1009" t="str">
            <v>SIN</v>
          </cell>
          <cell r="C1009" t="str">
            <v>M.VSL</v>
          </cell>
          <cell r="D1009">
            <v>48</v>
          </cell>
          <cell r="E1009">
            <v>10</v>
          </cell>
          <cell r="F1009">
            <v>15</v>
          </cell>
          <cell r="G1009">
            <v>0</v>
          </cell>
          <cell r="H1009">
            <v>83</v>
          </cell>
        </row>
        <row r="1010">
          <cell r="A1010" t="str">
            <v>TKY</v>
          </cell>
          <cell r="B1010" t="str">
            <v>SOO</v>
          </cell>
          <cell r="C1010" t="str">
            <v>M.VSL</v>
          </cell>
          <cell r="D1010">
            <v>6</v>
          </cell>
          <cell r="E1010">
            <v>4</v>
          </cell>
          <cell r="F1010">
            <v>0</v>
          </cell>
          <cell r="G1010">
            <v>0</v>
          </cell>
          <cell r="H1010">
            <v>14</v>
          </cell>
        </row>
        <row r="1011">
          <cell r="A1011" t="str">
            <v>TKY</v>
          </cell>
          <cell r="B1011" t="str">
            <v>SPO</v>
          </cell>
          <cell r="C1011" t="str">
            <v>M.VSL</v>
          </cell>
          <cell r="D1011">
            <v>1</v>
          </cell>
          <cell r="E1011">
            <v>1</v>
          </cell>
          <cell r="F1011">
            <v>0</v>
          </cell>
          <cell r="G1011">
            <v>0</v>
          </cell>
          <cell r="H1011">
            <v>3</v>
          </cell>
        </row>
        <row r="1012">
          <cell r="A1012" t="str">
            <v>TKY</v>
          </cell>
          <cell r="B1012" t="str">
            <v>STL</v>
          </cell>
          <cell r="C1012" t="str">
            <v>M.VSL</v>
          </cell>
          <cell r="D1012">
            <v>61</v>
          </cell>
          <cell r="E1012">
            <v>74</v>
          </cell>
          <cell r="F1012">
            <v>0</v>
          </cell>
          <cell r="G1012">
            <v>109</v>
          </cell>
          <cell r="H1012">
            <v>427</v>
          </cell>
        </row>
        <row r="1013">
          <cell r="A1013" t="str">
            <v>TKY</v>
          </cell>
          <cell r="B1013" t="str">
            <v>VCR</v>
          </cell>
          <cell r="C1013" t="str">
            <v>M.VSL</v>
          </cell>
          <cell r="D1013">
            <v>25</v>
          </cell>
          <cell r="E1013">
            <v>29</v>
          </cell>
          <cell r="F1013">
            <v>0</v>
          </cell>
          <cell r="G1013">
            <v>0</v>
          </cell>
          <cell r="H1013">
            <v>83</v>
          </cell>
        </row>
        <row r="1014">
          <cell r="A1014" t="str">
            <v>TKY</v>
          </cell>
          <cell r="B1014" t="str">
            <v>XIN</v>
          </cell>
          <cell r="C1014" t="str">
            <v>C.FDR</v>
          </cell>
          <cell r="D1014">
            <v>0</v>
          </cell>
          <cell r="E1014">
            <v>0</v>
          </cell>
          <cell r="F1014">
            <v>55</v>
          </cell>
          <cell r="G1014">
            <v>20</v>
          </cell>
          <cell r="H1014">
            <v>95</v>
          </cell>
        </row>
        <row r="1015">
          <cell r="A1015" t="str">
            <v>TKY</v>
          </cell>
          <cell r="B1015" t="str">
            <v>YTN</v>
          </cell>
          <cell r="C1015" t="str">
            <v>M.VSL</v>
          </cell>
          <cell r="D1015">
            <v>4</v>
          </cell>
          <cell r="E1015">
            <v>0</v>
          </cell>
          <cell r="F1015">
            <v>0</v>
          </cell>
          <cell r="G1015">
            <v>190</v>
          </cell>
          <cell r="H1015">
            <v>384</v>
          </cell>
        </row>
        <row r="1016">
          <cell r="A1016" t="str">
            <v>TMA</v>
          </cell>
          <cell r="B1016" t="str">
            <v>BSN</v>
          </cell>
          <cell r="C1016" t="str">
            <v>C.FDR</v>
          </cell>
          <cell r="D1016">
            <v>1</v>
          </cell>
          <cell r="E1016">
            <v>12</v>
          </cell>
          <cell r="F1016">
            <v>12</v>
          </cell>
          <cell r="G1016">
            <v>158</v>
          </cell>
          <cell r="H1016">
            <v>353</v>
          </cell>
        </row>
        <row r="1017">
          <cell r="A1017" t="str">
            <v>TOY</v>
          </cell>
          <cell r="B1017" t="str">
            <v>BSN</v>
          </cell>
          <cell r="C1017" t="str">
            <v>C.FDR</v>
          </cell>
          <cell r="D1017">
            <v>2</v>
          </cell>
          <cell r="E1017">
            <v>0</v>
          </cell>
          <cell r="F1017">
            <v>0</v>
          </cell>
          <cell r="G1017">
            <v>4</v>
          </cell>
          <cell r="H1017">
            <v>10</v>
          </cell>
        </row>
        <row r="1018">
          <cell r="A1018" t="str">
            <v>TSN</v>
          </cell>
          <cell r="B1018" t="str">
            <v>SIN</v>
          </cell>
          <cell r="C1018" t="str">
            <v>C.FDR</v>
          </cell>
          <cell r="D1018">
            <v>33</v>
          </cell>
          <cell r="E1018">
            <v>20</v>
          </cell>
          <cell r="F1018">
            <v>1</v>
          </cell>
          <cell r="G1018">
            <v>0</v>
          </cell>
          <cell r="H1018">
            <v>74</v>
          </cell>
        </row>
        <row r="1019">
          <cell r="A1019" t="str">
            <v>TUT</v>
          </cell>
          <cell r="B1019" t="str">
            <v>CBO</v>
          </cell>
          <cell r="C1019" t="str">
            <v>C.FDR</v>
          </cell>
          <cell r="D1019">
            <v>132</v>
          </cell>
          <cell r="E1019">
            <v>74</v>
          </cell>
          <cell r="F1019">
            <v>0</v>
          </cell>
          <cell r="G1019">
            <v>0</v>
          </cell>
          <cell r="H1019">
            <v>280</v>
          </cell>
        </row>
        <row r="1020">
          <cell r="A1020" t="str">
            <v>TUT</v>
          </cell>
          <cell r="B1020" t="str">
            <v>PKE</v>
          </cell>
          <cell r="C1020" t="str">
            <v>C.FDR</v>
          </cell>
          <cell r="D1020">
            <v>0</v>
          </cell>
          <cell r="E1020">
            <v>0</v>
          </cell>
          <cell r="F1020">
            <v>0</v>
          </cell>
          <cell r="G1020">
            <v>30</v>
          </cell>
          <cell r="H1020">
            <v>60</v>
          </cell>
        </row>
        <row r="1021">
          <cell r="A1021" t="str">
            <v>TUT</v>
          </cell>
          <cell r="B1021" t="str">
            <v>SIN</v>
          </cell>
          <cell r="C1021" t="str">
            <v>C.FDR</v>
          </cell>
          <cell r="D1021">
            <v>7</v>
          </cell>
          <cell r="E1021">
            <v>5</v>
          </cell>
          <cell r="F1021">
            <v>0</v>
          </cell>
          <cell r="G1021">
            <v>0</v>
          </cell>
          <cell r="H1021">
            <v>17</v>
          </cell>
        </row>
        <row r="1022">
          <cell r="A1022" t="str">
            <v>TYA</v>
          </cell>
          <cell r="B1022" t="str">
            <v>BSN</v>
          </cell>
          <cell r="C1022" t="str">
            <v>C.FDR</v>
          </cell>
          <cell r="D1022">
            <v>6</v>
          </cell>
          <cell r="E1022">
            <v>14</v>
          </cell>
          <cell r="F1022">
            <v>15</v>
          </cell>
          <cell r="G1022">
            <v>0</v>
          </cell>
          <cell r="H1022">
            <v>49</v>
          </cell>
        </row>
        <row r="1023">
          <cell r="A1023" t="str">
            <v>ULS</v>
          </cell>
          <cell r="B1023" t="str">
            <v>HKG</v>
          </cell>
          <cell r="C1023" t="str">
            <v>M.VSL</v>
          </cell>
          <cell r="D1023">
            <v>8</v>
          </cell>
          <cell r="E1023">
            <v>109</v>
          </cell>
          <cell r="F1023">
            <v>0</v>
          </cell>
          <cell r="G1023">
            <v>0</v>
          </cell>
          <cell r="H1023">
            <v>226</v>
          </cell>
        </row>
        <row r="1024">
          <cell r="A1024" t="str">
            <v>ULS</v>
          </cell>
          <cell r="B1024" t="str">
            <v>JAK</v>
          </cell>
          <cell r="C1024" t="str">
            <v>M.VSL</v>
          </cell>
          <cell r="D1024">
            <v>6</v>
          </cell>
          <cell r="E1024">
            <v>285</v>
          </cell>
          <cell r="F1024">
            <v>0</v>
          </cell>
          <cell r="G1024">
            <v>0</v>
          </cell>
          <cell r="H1024">
            <v>576</v>
          </cell>
        </row>
        <row r="1025">
          <cell r="A1025" t="str">
            <v>ULS</v>
          </cell>
          <cell r="B1025" t="str">
            <v>KEE</v>
          </cell>
          <cell r="C1025" t="str">
            <v>M.VSL</v>
          </cell>
          <cell r="D1025">
            <v>1</v>
          </cell>
          <cell r="E1025">
            <v>0</v>
          </cell>
          <cell r="F1025">
            <v>0</v>
          </cell>
          <cell r="G1025">
            <v>0</v>
          </cell>
          <cell r="H1025">
            <v>1</v>
          </cell>
        </row>
        <row r="1026">
          <cell r="A1026" t="str">
            <v>ULS</v>
          </cell>
          <cell r="B1026" t="str">
            <v>NGB</v>
          </cell>
          <cell r="C1026" t="str">
            <v>M.VSL</v>
          </cell>
          <cell r="D1026">
            <v>170</v>
          </cell>
          <cell r="E1026">
            <v>0</v>
          </cell>
          <cell r="F1026">
            <v>0</v>
          </cell>
          <cell r="G1026">
            <v>0</v>
          </cell>
          <cell r="H1026">
            <v>170</v>
          </cell>
        </row>
        <row r="1027">
          <cell r="A1027" t="str">
            <v>ULS</v>
          </cell>
          <cell r="B1027" t="str">
            <v>SHA</v>
          </cell>
          <cell r="C1027" t="str">
            <v>M.VSL</v>
          </cell>
          <cell r="D1027">
            <v>16</v>
          </cell>
          <cell r="E1027">
            <v>0</v>
          </cell>
          <cell r="F1027">
            <v>0</v>
          </cell>
          <cell r="G1027">
            <v>0</v>
          </cell>
          <cell r="H1027">
            <v>16</v>
          </cell>
        </row>
        <row r="1028">
          <cell r="A1028" t="str">
            <v>ULS</v>
          </cell>
          <cell r="B1028" t="str">
            <v>SIN</v>
          </cell>
          <cell r="C1028" t="str">
            <v>M.VSL</v>
          </cell>
          <cell r="D1028">
            <v>37</v>
          </cell>
          <cell r="E1028">
            <v>0</v>
          </cell>
          <cell r="F1028">
            <v>0</v>
          </cell>
          <cell r="G1028">
            <v>0</v>
          </cell>
          <cell r="H1028">
            <v>37</v>
          </cell>
        </row>
        <row r="1029">
          <cell r="A1029" t="str">
            <v>ULS</v>
          </cell>
          <cell r="B1029" t="str">
            <v>XIA</v>
          </cell>
          <cell r="C1029" t="str">
            <v>M.VSL</v>
          </cell>
          <cell r="D1029">
            <v>110</v>
          </cell>
          <cell r="E1029">
            <v>0</v>
          </cell>
          <cell r="F1029">
            <v>0</v>
          </cell>
          <cell r="G1029">
            <v>0</v>
          </cell>
          <cell r="H1029">
            <v>110</v>
          </cell>
        </row>
        <row r="1030">
          <cell r="A1030" t="str">
            <v>UQR</v>
          </cell>
          <cell r="B1030" t="str">
            <v>DXB</v>
          </cell>
          <cell r="C1030" t="str">
            <v>C.FDR</v>
          </cell>
          <cell r="D1030">
            <v>0</v>
          </cell>
          <cell r="E1030">
            <v>0</v>
          </cell>
          <cell r="F1030">
            <v>0</v>
          </cell>
          <cell r="G1030">
            <v>9</v>
          </cell>
          <cell r="H1030">
            <v>18</v>
          </cell>
        </row>
        <row r="1031">
          <cell r="A1031" t="str">
            <v>VCR</v>
          </cell>
          <cell r="B1031" t="str">
            <v>BSN</v>
          </cell>
          <cell r="C1031" t="str">
            <v>M.VSL</v>
          </cell>
          <cell r="D1031">
            <v>53</v>
          </cell>
          <cell r="E1031">
            <v>399</v>
          </cell>
          <cell r="F1031">
            <v>53</v>
          </cell>
          <cell r="G1031">
            <v>7</v>
          </cell>
          <cell r="H1031">
            <v>918</v>
          </cell>
        </row>
        <row r="1032">
          <cell r="A1032" t="str">
            <v>VCR</v>
          </cell>
          <cell r="B1032" t="str">
            <v>HKG</v>
          </cell>
          <cell r="C1032" t="str">
            <v>M.VSL</v>
          </cell>
          <cell r="D1032">
            <v>62</v>
          </cell>
          <cell r="E1032">
            <v>57</v>
          </cell>
          <cell r="F1032">
            <v>0</v>
          </cell>
          <cell r="G1032">
            <v>4</v>
          </cell>
          <cell r="H1032">
            <v>184</v>
          </cell>
        </row>
        <row r="1033">
          <cell r="A1033" t="str">
            <v>VCR</v>
          </cell>
          <cell r="B1033" t="str">
            <v>KAO</v>
          </cell>
          <cell r="C1033" t="str">
            <v>M.VSL</v>
          </cell>
          <cell r="D1033">
            <v>29</v>
          </cell>
          <cell r="E1033">
            <v>74</v>
          </cell>
          <cell r="F1033">
            <v>0</v>
          </cell>
          <cell r="G1033">
            <v>0</v>
          </cell>
          <cell r="H1033">
            <v>177</v>
          </cell>
        </row>
        <row r="1034">
          <cell r="A1034" t="str">
            <v>VCR</v>
          </cell>
          <cell r="B1034" t="str">
            <v>KOB</v>
          </cell>
          <cell r="C1034" t="str">
            <v>M.VSL</v>
          </cell>
          <cell r="D1034">
            <v>1</v>
          </cell>
          <cell r="E1034">
            <v>57</v>
          </cell>
          <cell r="F1034">
            <v>0</v>
          </cell>
          <cell r="G1034">
            <v>0</v>
          </cell>
          <cell r="H1034">
            <v>115</v>
          </cell>
        </row>
        <row r="1035">
          <cell r="A1035" t="str">
            <v>VCR</v>
          </cell>
          <cell r="B1035" t="str">
            <v>NGO</v>
          </cell>
          <cell r="C1035" t="str">
            <v>M.VSL</v>
          </cell>
          <cell r="D1035">
            <v>23</v>
          </cell>
          <cell r="E1035">
            <v>88</v>
          </cell>
          <cell r="F1035">
            <v>0</v>
          </cell>
          <cell r="G1035">
            <v>0</v>
          </cell>
          <cell r="H1035">
            <v>199</v>
          </cell>
        </row>
        <row r="1036">
          <cell r="A1036" t="str">
            <v>VCR</v>
          </cell>
          <cell r="B1036" t="str">
            <v>SHA</v>
          </cell>
          <cell r="C1036" t="str">
            <v>M.VSL</v>
          </cell>
          <cell r="D1036">
            <v>4</v>
          </cell>
          <cell r="E1036">
            <v>8</v>
          </cell>
          <cell r="F1036">
            <v>9</v>
          </cell>
          <cell r="G1036">
            <v>20</v>
          </cell>
          <cell r="H1036">
            <v>69</v>
          </cell>
        </row>
        <row r="1037">
          <cell r="A1037" t="str">
            <v>VCR</v>
          </cell>
          <cell r="B1037" t="str">
            <v>SIN</v>
          </cell>
          <cell r="C1037" t="str">
            <v>M.VSL</v>
          </cell>
          <cell r="D1037">
            <v>52</v>
          </cell>
          <cell r="E1037">
            <v>4</v>
          </cell>
          <cell r="F1037">
            <v>0</v>
          </cell>
          <cell r="G1037">
            <v>0</v>
          </cell>
          <cell r="H1037">
            <v>60</v>
          </cell>
        </row>
        <row r="1038">
          <cell r="A1038" t="str">
            <v>VCR</v>
          </cell>
          <cell r="B1038" t="str">
            <v>SPO</v>
          </cell>
          <cell r="C1038" t="str">
            <v>M.VSL</v>
          </cell>
          <cell r="D1038">
            <v>3</v>
          </cell>
          <cell r="E1038">
            <v>3</v>
          </cell>
          <cell r="F1038">
            <v>0</v>
          </cell>
          <cell r="G1038">
            <v>0</v>
          </cell>
          <cell r="H1038">
            <v>9</v>
          </cell>
        </row>
        <row r="1039">
          <cell r="A1039" t="str">
            <v>VCR</v>
          </cell>
          <cell r="B1039" t="str">
            <v>TKY</v>
          </cell>
          <cell r="C1039" t="str">
            <v>M.VSL</v>
          </cell>
          <cell r="D1039">
            <v>5</v>
          </cell>
          <cell r="E1039">
            <v>109</v>
          </cell>
          <cell r="F1039">
            <v>0</v>
          </cell>
          <cell r="G1039">
            <v>0</v>
          </cell>
          <cell r="H1039">
            <v>223</v>
          </cell>
        </row>
        <row r="1040">
          <cell r="A1040" t="str">
            <v>VCR</v>
          </cell>
          <cell r="B1040" t="str">
            <v>YOK</v>
          </cell>
          <cell r="C1040" t="str">
            <v>M.VSL</v>
          </cell>
          <cell r="D1040">
            <v>26</v>
          </cell>
          <cell r="E1040">
            <v>100</v>
          </cell>
          <cell r="F1040">
            <v>0</v>
          </cell>
          <cell r="G1040">
            <v>0</v>
          </cell>
          <cell r="H1040">
            <v>226</v>
          </cell>
        </row>
        <row r="1041">
          <cell r="A1041" t="str">
            <v>VGB</v>
          </cell>
          <cell r="B1041" t="str">
            <v>BSN</v>
          </cell>
          <cell r="C1041" t="str">
            <v>C.FDR</v>
          </cell>
          <cell r="D1041">
            <v>0</v>
          </cell>
          <cell r="E1041">
            <v>0</v>
          </cell>
          <cell r="F1041">
            <v>0</v>
          </cell>
          <cell r="G1041">
            <v>40</v>
          </cell>
          <cell r="H1041">
            <v>80</v>
          </cell>
        </row>
        <row r="1042">
          <cell r="A1042" t="str">
            <v>VIS</v>
          </cell>
          <cell r="B1042" t="str">
            <v>SIN</v>
          </cell>
          <cell r="C1042" t="str">
            <v>C.FDR</v>
          </cell>
          <cell r="D1042">
            <v>0</v>
          </cell>
          <cell r="E1042">
            <v>9</v>
          </cell>
          <cell r="F1042">
            <v>0</v>
          </cell>
          <cell r="G1042">
            <v>0</v>
          </cell>
          <cell r="H1042">
            <v>18</v>
          </cell>
        </row>
        <row r="1043">
          <cell r="A1043" t="str">
            <v>VLA</v>
          </cell>
          <cell r="B1043" t="str">
            <v>BSN</v>
          </cell>
          <cell r="C1043" t="str">
            <v>M.VSL</v>
          </cell>
          <cell r="D1043">
            <v>2</v>
          </cell>
          <cell r="E1043">
            <v>6</v>
          </cell>
          <cell r="F1043">
            <v>12</v>
          </cell>
          <cell r="G1043">
            <v>40</v>
          </cell>
          <cell r="H1043">
            <v>106</v>
          </cell>
        </row>
        <row r="1044">
          <cell r="A1044" t="str">
            <v>VOS</v>
          </cell>
          <cell r="B1044" t="str">
            <v>BSN</v>
          </cell>
          <cell r="C1044" t="str">
            <v>M.VSL</v>
          </cell>
          <cell r="D1044">
            <v>2</v>
          </cell>
          <cell r="E1044">
            <v>15</v>
          </cell>
          <cell r="F1044">
            <v>0</v>
          </cell>
          <cell r="G1044">
            <v>0</v>
          </cell>
          <cell r="H1044">
            <v>32</v>
          </cell>
        </row>
        <row r="1045">
          <cell r="A1045" t="str">
            <v>VOS</v>
          </cell>
          <cell r="B1045" t="str">
            <v>KOB</v>
          </cell>
          <cell r="C1045" t="str">
            <v>M.VSL</v>
          </cell>
          <cell r="D1045">
            <v>0</v>
          </cell>
          <cell r="E1045">
            <v>5</v>
          </cell>
          <cell r="F1045">
            <v>0</v>
          </cell>
          <cell r="G1045">
            <v>0</v>
          </cell>
          <cell r="H1045">
            <v>10</v>
          </cell>
        </row>
        <row r="1046">
          <cell r="A1046" t="str">
            <v>VOS</v>
          </cell>
          <cell r="B1046" t="str">
            <v>MOJ</v>
          </cell>
          <cell r="C1046" t="str">
            <v>M.VSL</v>
          </cell>
          <cell r="D1046">
            <v>0</v>
          </cell>
          <cell r="E1046">
            <v>1</v>
          </cell>
          <cell r="F1046">
            <v>0</v>
          </cell>
          <cell r="G1046">
            <v>0</v>
          </cell>
          <cell r="H1046">
            <v>2</v>
          </cell>
        </row>
        <row r="1047">
          <cell r="A1047" t="str">
            <v>VOS</v>
          </cell>
          <cell r="B1047" t="str">
            <v>YOK</v>
          </cell>
          <cell r="C1047" t="str">
            <v>M.VSL</v>
          </cell>
          <cell r="D1047">
            <v>0</v>
          </cell>
          <cell r="E1047">
            <v>5</v>
          </cell>
          <cell r="F1047">
            <v>0</v>
          </cell>
          <cell r="G1047">
            <v>0</v>
          </cell>
          <cell r="H1047">
            <v>10</v>
          </cell>
        </row>
        <row r="1048">
          <cell r="A1048" t="str">
            <v>XIA</v>
          </cell>
          <cell r="B1048" t="str">
            <v>ANT</v>
          </cell>
          <cell r="C1048" t="str">
            <v>M.VSL</v>
          </cell>
          <cell r="D1048">
            <v>22</v>
          </cell>
          <cell r="E1048">
            <v>29</v>
          </cell>
          <cell r="F1048">
            <v>0</v>
          </cell>
          <cell r="G1048">
            <v>0</v>
          </cell>
          <cell r="H1048">
            <v>80</v>
          </cell>
        </row>
        <row r="1049">
          <cell r="A1049" t="str">
            <v>XIA</v>
          </cell>
          <cell r="B1049" t="str">
            <v>BRV</v>
          </cell>
          <cell r="C1049" t="str">
            <v>M.VSL</v>
          </cell>
          <cell r="D1049">
            <v>82</v>
          </cell>
          <cell r="E1049">
            <v>127</v>
          </cell>
          <cell r="F1049">
            <v>0</v>
          </cell>
          <cell r="G1049">
            <v>0</v>
          </cell>
          <cell r="H1049">
            <v>336</v>
          </cell>
        </row>
        <row r="1050">
          <cell r="A1050" t="str">
            <v>XIA</v>
          </cell>
          <cell r="B1050" t="str">
            <v>HKG</v>
          </cell>
          <cell r="C1050" t="str">
            <v>M.VSL</v>
          </cell>
          <cell r="D1050">
            <v>6</v>
          </cell>
          <cell r="E1050">
            <v>7</v>
          </cell>
          <cell r="F1050">
            <v>0</v>
          </cell>
          <cell r="G1050">
            <v>0</v>
          </cell>
          <cell r="H1050">
            <v>20</v>
          </cell>
        </row>
        <row r="1051">
          <cell r="A1051" t="str">
            <v>XIA</v>
          </cell>
          <cell r="B1051" t="str">
            <v>HKG</v>
          </cell>
          <cell r="C1051" t="str">
            <v>C.FDR</v>
          </cell>
          <cell r="D1051">
            <v>0</v>
          </cell>
          <cell r="E1051">
            <v>4</v>
          </cell>
          <cell r="F1051">
            <v>0</v>
          </cell>
          <cell r="G1051">
            <v>0</v>
          </cell>
          <cell r="H1051">
            <v>8</v>
          </cell>
        </row>
        <row r="1052">
          <cell r="A1052" t="str">
            <v>XIA</v>
          </cell>
          <cell r="B1052" t="str">
            <v>JAK</v>
          </cell>
          <cell r="C1052" t="str">
            <v>M.VSL</v>
          </cell>
          <cell r="D1052">
            <v>34</v>
          </cell>
          <cell r="E1052">
            <v>56</v>
          </cell>
          <cell r="F1052">
            <v>0</v>
          </cell>
          <cell r="G1052">
            <v>0</v>
          </cell>
          <cell r="H1052">
            <v>146</v>
          </cell>
        </row>
        <row r="1053">
          <cell r="A1053" t="str">
            <v>XIA</v>
          </cell>
          <cell r="B1053" t="str">
            <v>KAO</v>
          </cell>
          <cell r="C1053" t="str">
            <v>C.FDR</v>
          </cell>
          <cell r="D1053">
            <v>19</v>
          </cell>
          <cell r="E1053">
            <v>160</v>
          </cell>
          <cell r="F1053">
            <v>1</v>
          </cell>
          <cell r="G1053">
            <v>0</v>
          </cell>
          <cell r="H1053">
            <v>340</v>
          </cell>
        </row>
        <row r="1054">
          <cell r="A1054" t="str">
            <v>XIA</v>
          </cell>
          <cell r="B1054" t="str">
            <v>RTM</v>
          </cell>
          <cell r="C1054" t="str">
            <v>M.VSL</v>
          </cell>
          <cell r="D1054">
            <v>20</v>
          </cell>
          <cell r="E1054">
            <v>20</v>
          </cell>
          <cell r="F1054">
            <v>0</v>
          </cell>
          <cell r="G1054">
            <v>0</v>
          </cell>
          <cell r="H1054">
            <v>60</v>
          </cell>
        </row>
        <row r="1055">
          <cell r="A1055" t="str">
            <v>XIA</v>
          </cell>
          <cell r="B1055" t="str">
            <v>SIN</v>
          </cell>
          <cell r="C1055" t="str">
            <v>M.VSL</v>
          </cell>
          <cell r="D1055">
            <v>145</v>
          </cell>
          <cell r="E1055">
            <v>147</v>
          </cell>
          <cell r="F1055">
            <v>0</v>
          </cell>
          <cell r="G1055">
            <v>0</v>
          </cell>
          <cell r="H1055">
            <v>439</v>
          </cell>
        </row>
        <row r="1056">
          <cell r="A1056" t="str">
            <v>XIA</v>
          </cell>
          <cell r="B1056" t="str">
            <v>SOO</v>
          </cell>
          <cell r="C1056" t="str">
            <v>M.VSL</v>
          </cell>
          <cell r="D1056">
            <v>11</v>
          </cell>
          <cell r="E1056">
            <v>18</v>
          </cell>
          <cell r="F1056">
            <v>0</v>
          </cell>
          <cell r="G1056">
            <v>0</v>
          </cell>
          <cell r="H1056">
            <v>47</v>
          </cell>
        </row>
        <row r="1057">
          <cell r="A1057" t="str">
            <v>XIA</v>
          </cell>
          <cell r="B1057" t="str">
            <v>SUR</v>
          </cell>
          <cell r="C1057" t="str">
            <v>M.VSL</v>
          </cell>
          <cell r="D1057">
            <v>25</v>
          </cell>
          <cell r="E1057">
            <v>10</v>
          </cell>
          <cell r="F1057">
            <v>0</v>
          </cell>
          <cell r="G1057">
            <v>0</v>
          </cell>
          <cell r="H1057">
            <v>45</v>
          </cell>
        </row>
        <row r="1058">
          <cell r="A1058" t="str">
            <v>XIN</v>
          </cell>
          <cell r="B1058" t="str">
            <v>BSN</v>
          </cell>
          <cell r="C1058" t="str">
            <v>M.VSL</v>
          </cell>
          <cell r="D1058">
            <v>467</v>
          </cell>
          <cell r="E1058">
            <v>761</v>
          </cell>
          <cell r="F1058">
            <v>3</v>
          </cell>
          <cell r="G1058">
            <v>6</v>
          </cell>
          <cell r="H1058">
            <v>2004</v>
          </cell>
        </row>
        <row r="1059">
          <cell r="A1059" t="str">
            <v>XIN</v>
          </cell>
          <cell r="B1059" t="str">
            <v>BSN</v>
          </cell>
          <cell r="C1059" t="str">
            <v>C.FDR</v>
          </cell>
          <cell r="D1059">
            <v>33</v>
          </cell>
          <cell r="E1059">
            <v>223</v>
          </cell>
          <cell r="F1059">
            <v>0</v>
          </cell>
          <cell r="G1059">
            <v>0</v>
          </cell>
          <cell r="H1059">
            <v>479</v>
          </cell>
        </row>
        <row r="1060">
          <cell r="A1060" t="str">
            <v>XIN</v>
          </cell>
          <cell r="B1060" t="str">
            <v>HKG</v>
          </cell>
          <cell r="C1060" t="str">
            <v>C.FDR</v>
          </cell>
          <cell r="D1060">
            <v>0</v>
          </cell>
          <cell r="E1060">
            <v>6</v>
          </cell>
          <cell r="F1060">
            <v>0</v>
          </cell>
          <cell r="G1060">
            <v>0</v>
          </cell>
          <cell r="H1060">
            <v>12</v>
          </cell>
        </row>
        <row r="1061">
          <cell r="A1061" t="str">
            <v>XIN</v>
          </cell>
          <cell r="B1061" t="str">
            <v>KYG</v>
          </cell>
          <cell r="C1061" t="str">
            <v>M.VSL</v>
          </cell>
          <cell r="D1061">
            <v>6</v>
          </cell>
          <cell r="E1061">
            <v>34</v>
          </cell>
          <cell r="F1061">
            <v>0</v>
          </cell>
          <cell r="G1061">
            <v>0</v>
          </cell>
          <cell r="H1061">
            <v>74</v>
          </cell>
        </row>
        <row r="1062">
          <cell r="A1062" t="str">
            <v>XIN</v>
          </cell>
          <cell r="B1062" t="str">
            <v>KYG</v>
          </cell>
          <cell r="C1062" t="str">
            <v>C.FDR</v>
          </cell>
          <cell r="D1062">
            <v>11</v>
          </cell>
          <cell r="E1062">
            <v>0</v>
          </cell>
          <cell r="F1062">
            <v>0</v>
          </cell>
          <cell r="G1062">
            <v>0</v>
          </cell>
          <cell r="H1062">
            <v>11</v>
          </cell>
        </row>
        <row r="1063">
          <cell r="A1063" t="str">
            <v>XIV</v>
          </cell>
          <cell r="B1063" t="str">
            <v>HKG</v>
          </cell>
          <cell r="C1063" t="str">
            <v>C.FDR</v>
          </cell>
          <cell r="D1063">
            <v>0</v>
          </cell>
          <cell r="E1063">
            <v>2</v>
          </cell>
          <cell r="F1063">
            <v>0</v>
          </cell>
          <cell r="G1063">
            <v>0</v>
          </cell>
          <cell r="H1063">
            <v>4</v>
          </cell>
        </row>
        <row r="1064">
          <cell r="A1064" t="str">
            <v>XIV</v>
          </cell>
          <cell r="B1064" t="str">
            <v>LCB</v>
          </cell>
          <cell r="C1064" t="str">
            <v>C.FDR</v>
          </cell>
          <cell r="D1064">
            <v>0</v>
          </cell>
          <cell r="E1064">
            <v>0</v>
          </cell>
          <cell r="F1064">
            <v>14</v>
          </cell>
          <cell r="G1064">
            <v>2</v>
          </cell>
          <cell r="H1064">
            <v>18</v>
          </cell>
        </row>
        <row r="1065">
          <cell r="A1065" t="str">
            <v>XIV</v>
          </cell>
          <cell r="B1065" t="str">
            <v>SIN</v>
          </cell>
          <cell r="C1065" t="str">
            <v>C.FDR</v>
          </cell>
          <cell r="D1065">
            <v>37</v>
          </cell>
          <cell r="E1065">
            <v>94</v>
          </cell>
          <cell r="F1065">
            <v>0</v>
          </cell>
          <cell r="G1065">
            <v>0</v>
          </cell>
          <cell r="H1065">
            <v>225</v>
          </cell>
        </row>
        <row r="1066">
          <cell r="A1066" t="str">
            <v>XIW</v>
          </cell>
          <cell r="B1066" t="str">
            <v>CST</v>
          </cell>
          <cell r="C1066" t="str">
            <v>M.VSL</v>
          </cell>
          <cell r="D1066">
            <v>1</v>
          </cell>
          <cell r="E1066">
            <v>2</v>
          </cell>
          <cell r="F1066">
            <v>0</v>
          </cell>
          <cell r="G1066">
            <v>0</v>
          </cell>
          <cell r="H1066">
            <v>5</v>
          </cell>
        </row>
        <row r="1067">
          <cell r="A1067" t="str">
            <v>XIW</v>
          </cell>
          <cell r="B1067" t="str">
            <v>HAM</v>
          </cell>
          <cell r="C1067" t="str">
            <v>M.VSL</v>
          </cell>
          <cell r="D1067">
            <v>4</v>
          </cell>
          <cell r="E1067">
            <v>5</v>
          </cell>
          <cell r="F1067">
            <v>0</v>
          </cell>
          <cell r="G1067">
            <v>6</v>
          </cell>
          <cell r="H1067">
            <v>26</v>
          </cell>
        </row>
        <row r="1068">
          <cell r="A1068" t="str">
            <v>XIW</v>
          </cell>
          <cell r="B1068" t="str">
            <v>HKG</v>
          </cell>
          <cell r="C1068" t="str">
            <v>M.VSL</v>
          </cell>
          <cell r="D1068">
            <v>2</v>
          </cell>
          <cell r="E1068">
            <v>22</v>
          </cell>
          <cell r="F1068">
            <v>0</v>
          </cell>
          <cell r="G1068">
            <v>0</v>
          </cell>
          <cell r="H1068">
            <v>46</v>
          </cell>
        </row>
        <row r="1069">
          <cell r="A1069" t="str">
            <v>XIW</v>
          </cell>
          <cell r="B1069" t="str">
            <v>LEH</v>
          </cell>
          <cell r="C1069" t="str">
            <v>M.VSL</v>
          </cell>
          <cell r="D1069">
            <v>1</v>
          </cell>
          <cell r="E1069">
            <v>0</v>
          </cell>
          <cell r="F1069">
            <v>0</v>
          </cell>
          <cell r="G1069">
            <v>0</v>
          </cell>
          <cell r="H1069">
            <v>1</v>
          </cell>
        </row>
        <row r="1070">
          <cell r="A1070" t="str">
            <v>XIW</v>
          </cell>
          <cell r="B1070" t="str">
            <v>MEL</v>
          </cell>
          <cell r="C1070" t="str">
            <v>M.VSL</v>
          </cell>
          <cell r="D1070">
            <v>2</v>
          </cell>
          <cell r="E1070">
            <v>0</v>
          </cell>
          <cell r="F1070">
            <v>0</v>
          </cell>
          <cell r="G1070">
            <v>0</v>
          </cell>
          <cell r="H1070">
            <v>2</v>
          </cell>
        </row>
        <row r="1071">
          <cell r="A1071" t="str">
            <v>XIW</v>
          </cell>
          <cell r="B1071" t="str">
            <v>SOO</v>
          </cell>
          <cell r="C1071" t="str">
            <v>M.VSL</v>
          </cell>
          <cell r="D1071">
            <v>5</v>
          </cell>
          <cell r="E1071">
            <v>0</v>
          </cell>
          <cell r="F1071">
            <v>0</v>
          </cell>
          <cell r="G1071">
            <v>0</v>
          </cell>
          <cell r="H1071">
            <v>5</v>
          </cell>
        </row>
        <row r="1072">
          <cell r="A1072" t="str">
            <v>XIW</v>
          </cell>
          <cell r="B1072" t="str">
            <v>SYD</v>
          </cell>
          <cell r="C1072" t="str">
            <v>M.VSL</v>
          </cell>
          <cell r="D1072">
            <v>1</v>
          </cell>
          <cell r="E1072">
            <v>0</v>
          </cell>
          <cell r="F1072">
            <v>0</v>
          </cell>
          <cell r="G1072">
            <v>0</v>
          </cell>
          <cell r="H1072">
            <v>1</v>
          </cell>
        </row>
        <row r="1073">
          <cell r="A1073" t="str">
            <v>YOK</v>
          </cell>
          <cell r="B1073" t="str">
            <v>BCN</v>
          </cell>
          <cell r="C1073" t="str">
            <v>M.VSL</v>
          </cell>
          <cell r="D1073">
            <v>4</v>
          </cell>
          <cell r="E1073">
            <v>1</v>
          </cell>
          <cell r="F1073">
            <v>0</v>
          </cell>
          <cell r="G1073">
            <v>0</v>
          </cell>
          <cell r="H1073">
            <v>6</v>
          </cell>
        </row>
        <row r="1074">
          <cell r="A1074" t="str">
            <v>YOK</v>
          </cell>
          <cell r="B1074" t="str">
            <v>BKK</v>
          </cell>
          <cell r="C1074" t="str">
            <v>M.VSL</v>
          </cell>
          <cell r="D1074">
            <v>81</v>
          </cell>
          <cell r="E1074">
            <v>70</v>
          </cell>
          <cell r="F1074">
            <v>0</v>
          </cell>
          <cell r="G1074">
            <v>0</v>
          </cell>
          <cell r="H1074">
            <v>221</v>
          </cell>
        </row>
        <row r="1075">
          <cell r="A1075" t="str">
            <v>YOK</v>
          </cell>
          <cell r="B1075" t="str">
            <v>BSN</v>
          </cell>
          <cell r="C1075" t="str">
            <v>M.VSL</v>
          </cell>
          <cell r="D1075">
            <v>4</v>
          </cell>
          <cell r="E1075">
            <v>5</v>
          </cell>
          <cell r="F1075">
            <v>3</v>
          </cell>
          <cell r="G1075">
            <v>25</v>
          </cell>
          <cell r="H1075">
            <v>67</v>
          </cell>
        </row>
        <row r="1076">
          <cell r="A1076" t="str">
            <v>YOK</v>
          </cell>
          <cell r="B1076" t="str">
            <v>FOS</v>
          </cell>
          <cell r="C1076" t="str">
            <v>M.VSL</v>
          </cell>
          <cell r="D1076">
            <v>2</v>
          </cell>
          <cell r="E1076">
            <v>3</v>
          </cell>
          <cell r="F1076">
            <v>0</v>
          </cell>
          <cell r="G1076">
            <v>0</v>
          </cell>
          <cell r="H1076">
            <v>8</v>
          </cell>
        </row>
        <row r="1077">
          <cell r="A1077" t="str">
            <v>YOK</v>
          </cell>
          <cell r="B1077" t="str">
            <v>GEN</v>
          </cell>
          <cell r="C1077" t="str">
            <v>M.VSL</v>
          </cell>
          <cell r="D1077">
            <v>16</v>
          </cell>
          <cell r="E1077">
            <v>20</v>
          </cell>
          <cell r="F1077">
            <v>0</v>
          </cell>
          <cell r="G1077">
            <v>0</v>
          </cell>
          <cell r="H1077">
            <v>56</v>
          </cell>
        </row>
        <row r="1078">
          <cell r="A1078" t="str">
            <v>YOK</v>
          </cell>
          <cell r="B1078" t="str">
            <v>HKG</v>
          </cell>
          <cell r="C1078" t="str">
            <v>M.VSL</v>
          </cell>
          <cell r="D1078">
            <v>61</v>
          </cell>
          <cell r="E1078">
            <v>23</v>
          </cell>
          <cell r="F1078">
            <v>0</v>
          </cell>
          <cell r="G1078">
            <v>0</v>
          </cell>
          <cell r="H1078">
            <v>107</v>
          </cell>
        </row>
        <row r="1079">
          <cell r="A1079" t="str">
            <v>YOK</v>
          </cell>
          <cell r="B1079" t="str">
            <v>HMN</v>
          </cell>
          <cell r="C1079" t="str">
            <v>M.VSL</v>
          </cell>
          <cell r="D1079">
            <v>4</v>
          </cell>
          <cell r="E1079">
            <v>12</v>
          </cell>
          <cell r="F1079">
            <v>0</v>
          </cell>
          <cell r="G1079">
            <v>0</v>
          </cell>
          <cell r="H1079">
            <v>28</v>
          </cell>
        </row>
        <row r="1080">
          <cell r="A1080" t="str">
            <v>YOK</v>
          </cell>
          <cell r="B1080" t="str">
            <v>KAO</v>
          </cell>
          <cell r="C1080" t="str">
            <v>M.VSL</v>
          </cell>
          <cell r="D1080">
            <v>6</v>
          </cell>
          <cell r="E1080">
            <v>11</v>
          </cell>
          <cell r="F1080">
            <v>0</v>
          </cell>
          <cell r="G1080">
            <v>0</v>
          </cell>
          <cell r="H1080">
            <v>28</v>
          </cell>
        </row>
        <row r="1081">
          <cell r="A1081" t="str">
            <v>YOK</v>
          </cell>
          <cell r="B1081" t="str">
            <v>LCB</v>
          </cell>
          <cell r="C1081" t="str">
            <v>M.VSL</v>
          </cell>
          <cell r="D1081">
            <v>56</v>
          </cell>
          <cell r="E1081">
            <v>22</v>
          </cell>
          <cell r="F1081">
            <v>0</v>
          </cell>
          <cell r="G1081">
            <v>0</v>
          </cell>
          <cell r="H1081">
            <v>100</v>
          </cell>
        </row>
        <row r="1082">
          <cell r="A1082" t="str">
            <v>YOK</v>
          </cell>
          <cell r="B1082" t="str">
            <v>MEL</v>
          </cell>
          <cell r="C1082" t="str">
            <v>M.VSL</v>
          </cell>
          <cell r="D1082">
            <v>4</v>
          </cell>
          <cell r="E1082">
            <v>0</v>
          </cell>
          <cell r="F1082">
            <v>0</v>
          </cell>
          <cell r="G1082">
            <v>0</v>
          </cell>
          <cell r="H1082">
            <v>4</v>
          </cell>
        </row>
        <row r="1083">
          <cell r="A1083" t="str">
            <v>YOK</v>
          </cell>
          <cell r="B1083" t="str">
            <v>OAK</v>
          </cell>
          <cell r="C1083" t="str">
            <v>M.VSL</v>
          </cell>
          <cell r="D1083">
            <v>58</v>
          </cell>
          <cell r="E1083">
            <v>80</v>
          </cell>
          <cell r="F1083">
            <v>0</v>
          </cell>
          <cell r="G1083">
            <v>35</v>
          </cell>
          <cell r="H1083">
            <v>288</v>
          </cell>
        </row>
        <row r="1084">
          <cell r="A1084" t="str">
            <v>YOK</v>
          </cell>
          <cell r="B1084" t="str">
            <v>PKE</v>
          </cell>
          <cell r="C1084" t="str">
            <v>M.VSL</v>
          </cell>
          <cell r="D1084">
            <v>23</v>
          </cell>
          <cell r="E1084">
            <v>57</v>
          </cell>
          <cell r="F1084">
            <v>0</v>
          </cell>
          <cell r="G1084">
            <v>0</v>
          </cell>
          <cell r="H1084">
            <v>137</v>
          </cell>
        </row>
        <row r="1085">
          <cell r="A1085" t="str">
            <v>YOK</v>
          </cell>
          <cell r="B1085" t="str">
            <v>PSA</v>
          </cell>
          <cell r="C1085" t="str">
            <v>M.VSL</v>
          </cell>
          <cell r="D1085">
            <v>4</v>
          </cell>
          <cell r="E1085">
            <v>2</v>
          </cell>
          <cell r="F1085">
            <v>0</v>
          </cell>
          <cell r="G1085">
            <v>0</v>
          </cell>
          <cell r="H1085">
            <v>8</v>
          </cell>
        </row>
        <row r="1086">
          <cell r="A1086" t="str">
            <v>YOK</v>
          </cell>
          <cell r="B1086" t="str">
            <v>SIN</v>
          </cell>
          <cell r="C1086" t="str">
            <v>M.VSL</v>
          </cell>
          <cell r="D1086">
            <v>128</v>
          </cell>
          <cell r="E1086">
            <v>91</v>
          </cell>
          <cell r="F1086">
            <v>15</v>
          </cell>
          <cell r="G1086">
            <v>0</v>
          </cell>
          <cell r="H1086">
            <v>325</v>
          </cell>
        </row>
        <row r="1087">
          <cell r="A1087" t="str">
            <v>YOK</v>
          </cell>
          <cell r="B1087" t="str">
            <v>SPO</v>
          </cell>
          <cell r="C1087" t="str">
            <v>M.VSL</v>
          </cell>
          <cell r="D1087">
            <v>29</v>
          </cell>
          <cell r="E1087">
            <v>41</v>
          </cell>
          <cell r="F1087">
            <v>0</v>
          </cell>
          <cell r="G1087">
            <v>0</v>
          </cell>
          <cell r="H1087">
            <v>111</v>
          </cell>
        </row>
        <row r="1088">
          <cell r="A1088" t="str">
            <v>YOK</v>
          </cell>
          <cell r="B1088" t="str">
            <v>YTN</v>
          </cell>
          <cell r="C1088" t="str">
            <v>M.VSL</v>
          </cell>
          <cell r="D1088">
            <v>0</v>
          </cell>
          <cell r="E1088">
            <v>0</v>
          </cell>
          <cell r="F1088">
            <v>0</v>
          </cell>
          <cell r="G1088">
            <v>100</v>
          </cell>
          <cell r="H1088">
            <v>200</v>
          </cell>
        </row>
        <row r="1089">
          <cell r="A1089" t="str">
            <v>YTI</v>
          </cell>
          <cell r="B1089" t="str">
            <v>BSN</v>
          </cell>
          <cell r="C1089" t="str">
            <v>C.FDR</v>
          </cell>
          <cell r="D1089">
            <v>0</v>
          </cell>
          <cell r="E1089">
            <v>1</v>
          </cell>
          <cell r="F1089">
            <v>0</v>
          </cell>
          <cell r="G1089">
            <v>0</v>
          </cell>
          <cell r="H1089">
            <v>2</v>
          </cell>
        </row>
        <row r="1090">
          <cell r="A1090" t="str">
            <v>YTN</v>
          </cell>
          <cell r="B1090" t="str">
            <v>ANT</v>
          </cell>
          <cell r="C1090" t="str">
            <v>M.VSL</v>
          </cell>
          <cell r="D1090">
            <v>12</v>
          </cell>
          <cell r="E1090">
            <v>39</v>
          </cell>
          <cell r="F1090">
            <v>0</v>
          </cell>
          <cell r="G1090">
            <v>0</v>
          </cell>
          <cell r="H1090">
            <v>90</v>
          </cell>
        </row>
        <row r="1091">
          <cell r="A1091" t="str">
            <v>YTN</v>
          </cell>
          <cell r="B1091" t="str">
            <v>BRV</v>
          </cell>
          <cell r="C1091" t="str">
            <v>M.VSL</v>
          </cell>
          <cell r="D1091">
            <v>13</v>
          </cell>
          <cell r="E1091">
            <v>77</v>
          </cell>
          <cell r="F1091">
            <v>0</v>
          </cell>
          <cell r="G1091">
            <v>0</v>
          </cell>
          <cell r="H1091">
            <v>167</v>
          </cell>
        </row>
        <row r="1092">
          <cell r="A1092" t="str">
            <v>YTN</v>
          </cell>
          <cell r="B1092" t="str">
            <v>BSN</v>
          </cell>
          <cell r="C1092" t="str">
            <v>M.VSL</v>
          </cell>
          <cell r="D1092">
            <v>24</v>
          </cell>
          <cell r="E1092">
            <v>53</v>
          </cell>
          <cell r="F1092">
            <v>0</v>
          </cell>
          <cell r="G1092">
            <v>0</v>
          </cell>
          <cell r="H1092">
            <v>130</v>
          </cell>
        </row>
        <row r="1093">
          <cell r="A1093" t="str">
            <v>YTN</v>
          </cell>
          <cell r="B1093" t="str">
            <v>CBO</v>
          </cell>
          <cell r="C1093" t="str">
            <v>M.VSL</v>
          </cell>
          <cell r="D1093">
            <v>15</v>
          </cell>
          <cell r="E1093">
            <v>10</v>
          </cell>
          <cell r="F1093">
            <v>0</v>
          </cell>
          <cell r="G1093">
            <v>0</v>
          </cell>
          <cell r="H1093">
            <v>35</v>
          </cell>
        </row>
        <row r="1094">
          <cell r="A1094" t="str">
            <v>YTN</v>
          </cell>
          <cell r="B1094" t="str">
            <v>DMM</v>
          </cell>
          <cell r="C1094" t="str">
            <v>M.VSL</v>
          </cell>
          <cell r="D1094">
            <v>55</v>
          </cell>
          <cell r="E1094">
            <v>30</v>
          </cell>
          <cell r="F1094">
            <v>0</v>
          </cell>
          <cell r="G1094">
            <v>0</v>
          </cell>
          <cell r="H1094">
            <v>115</v>
          </cell>
        </row>
        <row r="1095">
          <cell r="A1095" t="str">
            <v>YTN</v>
          </cell>
          <cell r="B1095" t="str">
            <v>DXB</v>
          </cell>
          <cell r="C1095" t="str">
            <v>M.VSL</v>
          </cell>
          <cell r="D1095">
            <v>82</v>
          </cell>
          <cell r="E1095">
            <v>96</v>
          </cell>
          <cell r="F1095">
            <v>0</v>
          </cell>
          <cell r="G1095">
            <v>0</v>
          </cell>
          <cell r="H1095">
            <v>274</v>
          </cell>
        </row>
        <row r="1096">
          <cell r="A1096" t="str">
            <v>YTN</v>
          </cell>
          <cell r="B1096" t="str">
            <v>HAM</v>
          </cell>
          <cell r="C1096" t="str">
            <v>M.VSL</v>
          </cell>
          <cell r="D1096">
            <v>33</v>
          </cell>
          <cell r="E1096">
            <v>98</v>
          </cell>
          <cell r="F1096">
            <v>0</v>
          </cell>
          <cell r="G1096">
            <v>0</v>
          </cell>
          <cell r="H1096">
            <v>229</v>
          </cell>
        </row>
        <row r="1097">
          <cell r="A1097" t="str">
            <v>YTN</v>
          </cell>
          <cell r="B1097" t="str">
            <v>HKG</v>
          </cell>
          <cell r="C1097" t="str">
            <v>M.VSL</v>
          </cell>
          <cell r="D1097">
            <v>4</v>
          </cell>
          <cell r="E1097">
            <v>86</v>
          </cell>
          <cell r="F1097">
            <v>0</v>
          </cell>
          <cell r="G1097">
            <v>0</v>
          </cell>
          <cell r="H1097">
            <v>176</v>
          </cell>
        </row>
        <row r="1098">
          <cell r="A1098" t="str">
            <v>YTN</v>
          </cell>
          <cell r="B1098" t="str">
            <v>KAH</v>
          </cell>
          <cell r="C1098" t="str">
            <v>M.VSL</v>
          </cell>
          <cell r="D1098">
            <v>0</v>
          </cell>
          <cell r="E1098">
            <v>10</v>
          </cell>
          <cell r="F1098">
            <v>0</v>
          </cell>
          <cell r="G1098">
            <v>0</v>
          </cell>
          <cell r="H1098">
            <v>20</v>
          </cell>
        </row>
        <row r="1099">
          <cell r="A1099" t="str">
            <v>YTN</v>
          </cell>
          <cell r="B1099" t="str">
            <v>KAO</v>
          </cell>
          <cell r="C1099" t="str">
            <v>M.VSL</v>
          </cell>
          <cell r="D1099">
            <v>22</v>
          </cell>
          <cell r="E1099">
            <v>350</v>
          </cell>
          <cell r="F1099">
            <v>0</v>
          </cell>
          <cell r="G1099">
            <v>0</v>
          </cell>
          <cell r="H1099">
            <v>722</v>
          </cell>
        </row>
        <row r="1100">
          <cell r="A1100" t="str">
            <v>YTN</v>
          </cell>
          <cell r="B1100" t="str">
            <v>LBH</v>
          </cell>
          <cell r="C1100" t="str">
            <v>M.VSL</v>
          </cell>
          <cell r="D1100">
            <v>61</v>
          </cell>
          <cell r="E1100">
            <v>915</v>
          </cell>
          <cell r="F1100">
            <v>0</v>
          </cell>
          <cell r="G1100">
            <v>0</v>
          </cell>
          <cell r="H1100">
            <v>1891</v>
          </cell>
        </row>
        <row r="1101">
          <cell r="A1101" t="str">
            <v>YTN</v>
          </cell>
          <cell r="B1101" t="str">
            <v>LEH</v>
          </cell>
          <cell r="C1101" t="str">
            <v>M.VSL</v>
          </cell>
          <cell r="D1101">
            <v>9</v>
          </cell>
          <cell r="E1101">
            <v>51</v>
          </cell>
          <cell r="F1101">
            <v>0</v>
          </cell>
          <cell r="G1101">
            <v>0</v>
          </cell>
          <cell r="H1101">
            <v>111</v>
          </cell>
        </row>
        <row r="1102">
          <cell r="A1102" t="str">
            <v>YTN</v>
          </cell>
          <cell r="B1102" t="str">
            <v>OAK</v>
          </cell>
          <cell r="C1102" t="str">
            <v>M.VSL</v>
          </cell>
          <cell r="D1102">
            <v>23</v>
          </cell>
          <cell r="E1102">
            <v>110</v>
          </cell>
          <cell r="F1102">
            <v>0</v>
          </cell>
          <cell r="G1102">
            <v>0</v>
          </cell>
          <cell r="H1102">
            <v>243</v>
          </cell>
        </row>
        <row r="1103">
          <cell r="A1103" t="str">
            <v>YTN</v>
          </cell>
          <cell r="B1103" t="str">
            <v>PKE</v>
          </cell>
          <cell r="C1103" t="str">
            <v>M.VSL</v>
          </cell>
          <cell r="D1103">
            <v>10</v>
          </cell>
          <cell r="E1103">
            <v>67</v>
          </cell>
          <cell r="F1103">
            <v>0</v>
          </cell>
          <cell r="G1103">
            <v>0</v>
          </cell>
          <cell r="H1103">
            <v>144</v>
          </cell>
        </row>
        <row r="1104">
          <cell r="A1104" t="str">
            <v>YTN</v>
          </cell>
          <cell r="B1104" t="str">
            <v>RHX</v>
          </cell>
          <cell r="C1104" t="str">
            <v>M.VSL</v>
          </cell>
          <cell r="D1104">
            <v>30</v>
          </cell>
          <cell r="E1104">
            <v>51</v>
          </cell>
          <cell r="F1104">
            <v>0</v>
          </cell>
          <cell r="G1104">
            <v>0</v>
          </cell>
          <cell r="H1104">
            <v>132</v>
          </cell>
        </row>
        <row r="1105">
          <cell r="A1105" t="str">
            <v>YTN</v>
          </cell>
          <cell r="B1105" t="str">
            <v>RTM</v>
          </cell>
          <cell r="C1105" t="str">
            <v>M.VSL</v>
          </cell>
          <cell r="D1105">
            <v>21</v>
          </cell>
          <cell r="E1105">
            <v>153</v>
          </cell>
          <cell r="F1105">
            <v>0</v>
          </cell>
          <cell r="G1105">
            <v>0</v>
          </cell>
          <cell r="H1105">
            <v>327</v>
          </cell>
        </row>
        <row r="1106">
          <cell r="A1106" t="str">
            <v>YTN</v>
          </cell>
          <cell r="B1106" t="str">
            <v>SIN</v>
          </cell>
          <cell r="C1106" t="str">
            <v>M.VSL</v>
          </cell>
          <cell r="D1106">
            <v>180</v>
          </cell>
          <cell r="E1106">
            <v>313</v>
          </cell>
          <cell r="F1106">
            <v>0</v>
          </cell>
          <cell r="G1106">
            <v>0</v>
          </cell>
          <cell r="H1106">
            <v>806</v>
          </cell>
        </row>
        <row r="1107">
          <cell r="A1107" t="str">
            <v>YTN</v>
          </cell>
          <cell r="B1107" t="str">
            <v>SOO</v>
          </cell>
          <cell r="C1107" t="str">
            <v>M.VSL</v>
          </cell>
          <cell r="D1107">
            <v>34</v>
          </cell>
          <cell r="E1107">
            <v>113</v>
          </cell>
          <cell r="F1107">
            <v>0</v>
          </cell>
          <cell r="G1107">
            <v>0</v>
          </cell>
          <cell r="H1107">
            <v>260</v>
          </cell>
        </row>
        <row r="1108">
          <cell r="A1108" t="str">
            <v>YTN</v>
          </cell>
          <cell r="B1108" t="str">
            <v>SPO</v>
          </cell>
          <cell r="C1108" t="str">
            <v>M.VSL</v>
          </cell>
          <cell r="D1108">
            <v>83</v>
          </cell>
          <cell r="E1108">
            <v>726</v>
          </cell>
          <cell r="F1108">
            <v>0</v>
          </cell>
          <cell r="G1108">
            <v>0</v>
          </cell>
          <cell r="H1108">
            <v>1535</v>
          </cell>
        </row>
        <row r="1109">
          <cell r="A1109" t="str">
            <v>YTN</v>
          </cell>
          <cell r="B1109" t="str">
            <v>STL</v>
          </cell>
          <cell r="C1109" t="str">
            <v>M.VSL</v>
          </cell>
          <cell r="D1109">
            <v>11</v>
          </cell>
          <cell r="E1109">
            <v>245</v>
          </cell>
          <cell r="F1109">
            <v>0</v>
          </cell>
          <cell r="G1109">
            <v>0</v>
          </cell>
          <cell r="H1109">
            <v>501</v>
          </cell>
        </row>
        <row r="1110">
          <cell r="A1110" t="str">
            <v>YTN</v>
          </cell>
          <cell r="B1110" t="str">
            <v>TCM</v>
          </cell>
          <cell r="C1110" t="str">
            <v>M.VSL</v>
          </cell>
          <cell r="D1110">
            <v>0</v>
          </cell>
          <cell r="E1110">
            <v>11</v>
          </cell>
          <cell r="F1110">
            <v>0</v>
          </cell>
          <cell r="G1110">
            <v>0</v>
          </cell>
          <cell r="H1110">
            <v>22</v>
          </cell>
        </row>
        <row r="1111">
          <cell r="A1111" t="str">
            <v>YTN</v>
          </cell>
          <cell r="B1111" t="str">
            <v>TKY</v>
          </cell>
          <cell r="C1111" t="str">
            <v>M.VSL</v>
          </cell>
          <cell r="D1111">
            <v>3</v>
          </cell>
          <cell r="E1111">
            <v>19</v>
          </cell>
          <cell r="F1111">
            <v>0</v>
          </cell>
          <cell r="G1111">
            <v>0</v>
          </cell>
          <cell r="H1111">
            <v>41</v>
          </cell>
        </row>
        <row r="1112">
          <cell r="A1112" t="str">
            <v>YTN</v>
          </cell>
          <cell r="B1112" t="str">
            <v>VCR</v>
          </cell>
          <cell r="C1112" t="str">
            <v>M.VSL</v>
          </cell>
          <cell r="D1112">
            <v>3</v>
          </cell>
          <cell r="E1112">
            <v>8</v>
          </cell>
          <cell r="F1112">
            <v>0</v>
          </cell>
          <cell r="G1112">
            <v>0</v>
          </cell>
          <cell r="H1112">
            <v>19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기실공문"/>
      <sheetName val="전신전화가입권"/>
      <sheetName val="2000년"/>
      <sheetName val="2001년"/>
      <sheetName val="법인수정"/>
      <sheetName val="Config"/>
      <sheetName val="조회서"/>
      <sheetName val="주소"/>
      <sheetName val="9-1차이내역"/>
      <sheetName val="전체_월별"/>
      <sheetName val="회사정보"/>
      <sheetName val="RECIMAKE"/>
      <sheetName val="지방,해외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입"/>
      <sheetName val="종기실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정산"/>
      <sheetName val="비용정산 (2)"/>
      <sheetName val="지점비용"/>
      <sheetName val="수입"/>
      <sheetName val="인원계획"/>
      <sheetName val="태국법인"/>
      <sheetName val="9-1차이내역"/>
      <sheetName val="첨부1"/>
      <sheetName val="필요면적"/>
      <sheetName val="TOEIC기준점수"/>
      <sheetName val="출금실적"/>
      <sheetName val="종기실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정산"/>
      <sheetName val="비용정산 (2)"/>
      <sheetName val="지점비용"/>
      <sheetName val="#REF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(2)"/>
      <sheetName val="현지법인현황"/>
      <sheetName val="인원계획"/>
      <sheetName val="COMM 현황"/>
      <sheetName val="일반관리비 분석"/>
      <sheetName val="현지법인 사업계획(총괄)"/>
      <sheetName val="수입"/>
      <sheetName val="현지법인 사업계획_총괄_"/>
      <sheetName val="지급어음"/>
      <sheetName val="지점비용"/>
      <sheetName val="경영전략"/>
      <sheetName val="템플릿"/>
      <sheetName val="#REF"/>
      <sheetName val="2.대외공문"/>
      <sheetName val="필요면적"/>
      <sheetName val="불변현금흐름표"/>
      <sheetName val="감독11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"/>
      <sheetName val="1"/>
      <sheetName val="21"/>
      <sheetName val="22"/>
      <sheetName val="31"/>
      <sheetName val="32"/>
      <sheetName val="41"/>
      <sheetName val="42"/>
      <sheetName val="43"/>
      <sheetName val="51"/>
      <sheetName val="5111"/>
      <sheetName val="5112"/>
      <sheetName val="5113"/>
      <sheetName val="5114"/>
      <sheetName val="5121"/>
      <sheetName val="5122"/>
      <sheetName val="5131"/>
      <sheetName val="5132"/>
      <sheetName val="5141"/>
      <sheetName val="5142"/>
      <sheetName val="515"/>
      <sheetName val="516"/>
      <sheetName val="517"/>
      <sheetName val="52"/>
      <sheetName val="521"/>
      <sheetName val="522"/>
      <sheetName val="5231"/>
      <sheetName val="5232"/>
      <sheetName val="524"/>
      <sheetName val="525"/>
      <sheetName val="526"/>
      <sheetName val="527"/>
      <sheetName val="53"/>
      <sheetName val="531"/>
      <sheetName val="532"/>
      <sheetName val="5331"/>
      <sheetName val="5332"/>
      <sheetName val="534"/>
      <sheetName val="535"/>
      <sheetName val="536"/>
      <sheetName val="537"/>
      <sheetName val="54"/>
      <sheetName val="61"/>
      <sheetName val="62"/>
      <sheetName val="63"/>
      <sheetName val="64"/>
      <sheetName val="71"/>
      <sheetName val="72"/>
      <sheetName val="73"/>
      <sheetName val="8"/>
      <sheetName val="9"/>
      <sheetName val="10"/>
      <sheetName val="미주운송비"/>
      <sheetName val="미주용대선료"/>
      <sheetName val="구주용대선수입"/>
      <sheetName val="5341(대리점비)"/>
      <sheetName val="5342(대리점비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>
        <row r="6">
          <cell r="A6" t="str">
            <v>AED</v>
          </cell>
          <cell r="B6" t="str">
            <v>현지화</v>
          </cell>
          <cell r="F6">
            <v>0</v>
          </cell>
          <cell r="H6">
            <v>286575</v>
          </cell>
          <cell r="I6">
            <v>4211</v>
          </cell>
          <cell r="J6">
            <v>290786</v>
          </cell>
          <cell r="K6">
            <v>312090</v>
          </cell>
          <cell r="L6">
            <v>20684313</v>
          </cell>
          <cell r="M6">
            <v>1271520</v>
          </cell>
          <cell r="N6">
            <v>22267923</v>
          </cell>
          <cell r="O6">
            <v>312090</v>
          </cell>
          <cell r="P6">
            <v>20970888</v>
          </cell>
          <cell r="Q6">
            <v>1275731</v>
          </cell>
          <cell r="R6">
            <v>22558709</v>
          </cell>
          <cell r="S6">
            <v>3.673</v>
          </cell>
          <cell r="T6">
            <v>3.6720999999999999</v>
          </cell>
        </row>
        <row r="7">
          <cell r="B7" t="str">
            <v>환차손(USD)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-19.122531395129045</v>
          </cell>
          <cell r="I7">
            <v>-0.28099094374920242</v>
          </cell>
          <cell r="J7">
            <v>-19.403522338878247</v>
          </cell>
          <cell r="K7">
            <v>-20.825092290368048</v>
          </cell>
          <cell r="L7">
            <v>-1380.2195750828832</v>
          </cell>
          <cell r="M7">
            <v>-84.845785988145508</v>
          </cell>
          <cell r="N7">
            <v>-1485.8904533613968</v>
          </cell>
          <cell r="O7">
            <v>-20.825092290368048</v>
          </cell>
          <cell r="P7">
            <v>-1399.3421064780123</v>
          </cell>
          <cell r="Q7">
            <v>-85.12677693189471</v>
          </cell>
          <cell r="R7">
            <v>-1505.293975700275</v>
          </cell>
          <cell r="S7">
            <v>3.673</v>
          </cell>
          <cell r="T7">
            <v>3.6720999999999999</v>
          </cell>
        </row>
        <row r="8">
          <cell r="A8" t="str">
            <v>AUD</v>
          </cell>
          <cell r="B8" t="str">
            <v>현지화</v>
          </cell>
          <cell r="D8">
            <v>6990</v>
          </cell>
          <cell r="F8">
            <v>6990</v>
          </cell>
          <cell r="J8">
            <v>0</v>
          </cell>
          <cell r="K8">
            <v>368020</v>
          </cell>
          <cell r="L8">
            <v>8109492</v>
          </cell>
          <cell r="M8">
            <v>0</v>
          </cell>
          <cell r="N8">
            <v>8477512</v>
          </cell>
          <cell r="O8">
            <v>368020</v>
          </cell>
          <cell r="P8">
            <v>8116482</v>
          </cell>
          <cell r="Q8">
            <v>0</v>
          </cell>
          <cell r="R8">
            <v>8484502</v>
          </cell>
          <cell r="S8">
            <v>1.4888300000000001</v>
          </cell>
          <cell r="T8">
            <v>1.6182000000000001</v>
          </cell>
        </row>
        <row r="9">
          <cell r="B9" t="str">
            <v>환차손(USD)</v>
          </cell>
          <cell r="C9">
            <v>0</v>
          </cell>
          <cell r="D9">
            <v>375.34742929869299</v>
          </cell>
          <cell r="E9">
            <v>0</v>
          </cell>
          <cell r="F9">
            <v>375.34742929869299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19761.854210372665</v>
          </cell>
          <cell r="L9">
            <v>435461.65595397912</v>
          </cell>
          <cell r="M9">
            <v>0</v>
          </cell>
          <cell r="N9">
            <v>455223.51016435178</v>
          </cell>
          <cell r="O9">
            <v>19761.854210372665</v>
          </cell>
          <cell r="P9">
            <v>435837.0033832778</v>
          </cell>
          <cell r="Q9">
            <v>0</v>
          </cell>
          <cell r="R9">
            <v>455598.85759365046</v>
          </cell>
          <cell r="S9">
            <v>1.4888300000000001</v>
          </cell>
          <cell r="T9">
            <v>1.6182000000000001</v>
          </cell>
        </row>
        <row r="10">
          <cell r="A10" t="str">
            <v>CHF</v>
          </cell>
          <cell r="B10" t="str">
            <v>현지화</v>
          </cell>
          <cell r="I10">
            <v>59624</v>
          </cell>
          <cell r="J10">
            <v>59624</v>
          </cell>
          <cell r="N10">
            <v>0</v>
          </cell>
          <cell r="R10">
            <v>59624</v>
          </cell>
          <cell r="S10">
            <v>1.2917000000000001</v>
          </cell>
          <cell r="T10">
            <v>1.363</v>
          </cell>
        </row>
        <row r="11">
          <cell r="B11" t="str">
            <v>환차손(USD)</v>
          </cell>
          <cell r="G11">
            <v>0</v>
          </cell>
          <cell r="H11">
            <v>0</v>
          </cell>
          <cell r="I11">
            <v>2414.6440695833808</v>
          </cell>
          <cell r="J11">
            <v>2414.6440695833808</v>
          </cell>
          <cell r="N11">
            <v>0</v>
          </cell>
          <cell r="R11">
            <v>2414.6440695833808</v>
          </cell>
          <cell r="S11">
            <v>1.2917000000000001</v>
          </cell>
          <cell r="T11">
            <v>1.363</v>
          </cell>
        </row>
        <row r="12">
          <cell r="A12" t="str">
            <v>CND</v>
          </cell>
          <cell r="B12" t="str">
            <v>현지화</v>
          </cell>
          <cell r="C12">
            <v>1252316</v>
          </cell>
          <cell r="D12">
            <v>10944216</v>
          </cell>
          <cell r="E12">
            <v>24494959</v>
          </cell>
          <cell r="F12">
            <v>36691491</v>
          </cell>
          <cell r="J12">
            <v>0</v>
          </cell>
          <cell r="N12">
            <v>0</v>
          </cell>
          <cell r="O12">
            <v>1252316</v>
          </cell>
          <cell r="P12">
            <v>10944216</v>
          </cell>
          <cell r="Q12">
            <v>24494959</v>
          </cell>
          <cell r="R12">
            <v>36691491</v>
          </cell>
          <cell r="S12">
            <v>1.3487</v>
          </cell>
          <cell r="T12">
            <v>1.4503999999999999</v>
          </cell>
        </row>
        <row r="13">
          <cell r="B13" t="str">
            <v>환차손(USD)</v>
          </cell>
          <cell r="C13">
            <v>65107.607043386437</v>
          </cell>
          <cell r="D13">
            <v>568987.15238481481</v>
          </cell>
          <cell r="E13">
            <v>1273487.0153506473</v>
          </cell>
          <cell r="F13">
            <v>1907581.7747788485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65107.607043386437</v>
          </cell>
          <cell r="P13">
            <v>568987.15238481481</v>
          </cell>
          <cell r="Q13">
            <v>1273487.0153506473</v>
          </cell>
          <cell r="R13">
            <v>1907581.7747788485</v>
          </cell>
          <cell r="S13">
            <v>1.3487</v>
          </cell>
          <cell r="T13">
            <v>1.4503999999999999</v>
          </cell>
        </row>
        <row r="14">
          <cell r="A14" t="str">
            <v>DEM</v>
          </cell>
          <cell r="B14" t="str">
            <v>현지화</v>
          </cell>
          <cell r="I14">
            <v>4173466</v>
          </cell>
          <cell r="J14">
            <v>4173466</v>
          </cell>
          <cell r="N14">
            <v>0</v>
          </cell>
          <cell r="R14">
            <v>4173466</v>
          </cell>
          <cell r="S14">
            <v>1.6652</v>
          </cell>
          <cell r="T14">
            <v>1.7781</v>
          </cell>
        </row>
        <row r="15">
          <cell r="B15" t="str">
            <v>환차손(USD)</v>
          </cell>
          <cell r="G15">
            <v>0</v>
          </cell>
          <cell r="H15">
            <v>0</v>
          </cell>
          <cell r="I15">
            <v>159135.92670846777</v>
          </cell>
          <cell r="J15">
            <v>159135.92670846777</v>
          </cell>
          <cell r="N15">
            <v>0</v>
          </cell>
          <cell r="R15">
            <v>159135.92670846777</v>
          </cell>
          <cell r="S15">
            <v>1.6652</v>
          </cell>
          <cell r="T15">
            <v>1.7781</v>
          </cell>
        </row>
        <row r="16">
          <cell r="A16" t="str">
            <v>DKK</v>
          </cell>
          <cell r="B16" t="str">
            <v>현지화</v>
          </cell>
          <cell r="F16">
            <v>0</v>
          </cell>
          <cell r="H16">
            <v>316145</v>
          </cell>
          <cell r="I16">
            <v>6586761</v>
          </cell>
          <cell r="J16">
            <v>6902906</v>
          </cell>
          <cell r="N16">
            <v>0</v>
          </cell>
          <cell r="O16">
            <v>0</v>
          </cell>
          <cell r="P16">
            <v>316145</v>
          </cell>
          <cell r="Q16">
            <v>6586761</v>
          </cell>
          <cell r="R16">
            <v>6902906</v>
          </cell>
          <cell r="S16">
            <v>6.3251999999999997</v>
          </cell>
          <cell r="T16">
            <v>6.7530999999999999</v>
          </cell>
        </row>
        <row r="17">
          <cell r="B17" t="str">
            <v>환차손(USD)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3167.0225890332003</v>
          </cell>
          <cell r="I17">
            <v>65983.712775982334</v>
          </cell>
          <cell r="J17">
            <v>69150.735365015542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3167.0225890332003</v>
          </cell>
          <cell r="Q17">
            <v>65983.712775982334</v>
          </cell>
          <cell r="R17">
            <v>69150.735365015542</v>
          </cell>
          <cell r="S17">
            <v>6.3251999999999997</v>
          </cell>
          <cell r="T17">
            <v>6.7530999999999999</v>
          </cell>
        </row>
        <row r="18">
          <cell r="A18" t="str">
            <v>EUR</v>
          </cell>
          <cell r="B18" t="str">
            <v>현지화</v>
          </cell>
          <cell r="F18">
            <v>0</v>
          </cell>
          <cell r="G18">
            <v>6110468</v>
          </cell>
          <cell r="H18">
            <v>28582783</v>
          </cell>
          <cell r="I18">
            <v>17409551</v>
          </cell>
          <cell r="J18">
            <v>52102802</v>
          </cell>
          <cell r="N18">
            <v>0</v>
          </cell>
          <cell r="O18">
            <v>6110468</v>
          </cell>
          <cell r="P18">
            <v>28582783</v>
          </cell>
          <cell r="Q18">
            <v>17409551</v>
          </cell>
          <cell r="R18">
            <v>52102802</v>
          </cell>
          <cell r="S18">
            <v>0.84745762711864414</v>
          </cell>
          <cell r="T18">
            <v>0.90900000000000003</v>
          </cell>
        </row>
        <row r="19">
          <cell r="B19" t="str">
            <v>환차손(USD)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488165.2212981293</v>
          </cell>
          <cell r="H19">
            <v>2283478.2194279432</v>
          </cell>
          <cell r="I19">
            <v>1390848.8378657885</v>
          </cell>
          <cell r="J19">
            <v>4162492.278591861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488165.2212981293</v>
          </cell>
          <cell r="P19">
            <v>2283478.2194279432</v>
          </cell>
          <cell r="Q19">
            <v>1390848.8378657885</v>
          </cell>
          <cell r="R19">
            <v>4162492.278591861</v>
          </cell>
          <cell r="S19">
            <v>0.84745762711864414</v>
          </cell>
          <cell r="T19">
            <v>1.909</v>
          </cell>
        </row>
        <row r="20">
          <cell r="A20" t="str">
            <v>FRF</v>
          </cell>
          <cell r="B20" t="str">
            <v>현지화</v>
          </cell>
          <cell r="H20">
            <v>433422</v>
          </cell>
          <cell r="I20">
            <v>1173875</v>
          </cell>
          <cell r="J20">
            <v>1607297</v>
          </cell>
          <cell r="N20">
            <v>0</v>
          </cell>
          <cell r="R20">
            <v>1607297</v>
          </cell>
          <cell r="S20">
            <v>5.59</v>
          </cell>
          <cell r="T20">
            <v>5.9638999999999998</v>
          </cell>
        </row>
        <row r="21">
          <cell r="B21" t="str">
            <v>환차손(USD)</v>
          </cell>
          <cell r="G21">
            <v>0</v>
          </cell>
          <cell r="H21">
            <v>4860.984724400696</v>
          </cell>
          <cell r="I21">
            <v>13165.433326771279</v>
          </cell>
          <cell r="J21">
            <v>18026.418051171975</v>
          </cell>
          <cell r="N21">
            <v>0</v>
          </cell>
          <cell r="R21">
            <v>18026.418051171975</v>
          </cell>
          <cell r="S21">
            <v>5.59</v>
          </cell>
          <cell r="T21">
            <v>5.9638999999999998</v>
          </cell>
        </row>
        <row r="22">
          <cell r="A22" t="str">
            <v>GBP</v>
          </cell>
          <cell r="B22" t="str">
            <v>현지화</v>
          </cell>
          <cell r="F22">
            <v>0</v>
          </cell>
          <cell r="G22">
            <v>1263704</v>
          </cell>
          <cell r="H22">
            <v>5837551</v>
          </cell>
          <cell r="I22">
            <v>6907180</v>
          </cell>
          <cell r="J22">
            <v>14008435</v>
          </cell>
          <cell r="N22">
            <v>0</v>
          </cell>
          <cell r="O22">
            <v>1263704</v>
          </cell>
          <cell r="P22">
            <v>5837551</v>
          </cell>
          <cell r="Q22">
            <v>6907180</v>
          </cell>
          <cell r="R22">
            <v>14008435</v>
          </cell>
          <cell r="S22">
            <v>0.58997050147492625</v>
          </cell>
          <cell r="T22">
            <v>0.62139999999999995</v>
          </cell>
        </row>
        <row r="23">
          <cell r="B23" t="str">
            <v>환차손(USD)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108338.11263598339</v>
          </cell>
          <cell r="H23">
            <v>500456.79823463038</v>
          </cell>
          <cell r="I23">
            <v>592156.74306404777</v>
          </cell>
          <cell r="J23">
            <v>1200951.6539346615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108338.11263598339</v>
          </cell>
          <cell r="P23">
            <v>500456.79823463038</v>
          </cell>
          <cell r="Q23">
            <v>592156.74306404777</v>
          </cell>
          <cell r="R23">
            <v>1200951.6539346615</v>
          </cell>
          <cell r="S23">
            <v>0.58997050147492625</v>
          </cell>
          <cell r="T23">
            <v>1.6214</v>
          </cell>
        </row>
        <row r="24">
          <cell r="A24" t="str">
            <v>INR</v>
          </cell>
          <cell r="B24" t="str">
            <v>현지화</v>
          </cell>
          <cell r="D24">
            <v>36767582</v>
          </cell>
          <cell r="E24">
            <v>15762458</v>
          </cell>
          <cell r="F24">
            <v>52530040</v>
          </cell>
          <cell r="H24">
            <v>44387571</v>
          </cell>
          <cell r="I24">
            <v>26486619</v>
          </cell>
          <cell r="J24">
            <v>70874190</v>
          </cell>
          <cell r="K24">
            <v>34816698</v>
          </cell>
          <cell r="L24">
            <v>150960062</v>
          </cell>
          <cell r="M24">
            <v>106055369</v>
          </cell>
          <cell r="N24">
            <v>291832129</v>
          </cell>
          <cell r="O24">
            <v>34816698</v>
          </cell>
          <cell r="P24">
            <v>232115215</v>
          </cell>
          <cell r="Q24">
            <v>148304446</v>
          </cell>
          <cell r="R24">
            <v>415236359</v>
          </cell>
          <cell r="S24">
            <v>44.601900000000001</v>
          </cell>
          <cell r="T24">
            <v>47.094000000000001</v>
          </cell>
        </row>
        <row r="25">
          <cell r="B25" t="str">
            <v>환차손(USD)</v>
          </cell>
          <cell r="C25">
            <v>0</v>
          </cell>
          <cell r="D25">
            <v>43622.604905914166</v>
          </cell>
          <cell r="E25">
            <v>18701.242787194031</v>
          </cell>
          <cell r="F25">
            <v>62323.847693108197</v>
          </cell>
          <cell r="G25">
            <v>0</v>
          </cell>
          <cell r="H25">
            <v>52663.280181606999</v>
          </cell>
          <cell r="I25">
            <v>31424.838215645403</v>
          </cell>
          <cell r="J25">
            <v>84088.118397252401</v>
          </cell>
          <cell r="K25">
            <v>41307.9941178218</v>
          </cell>
          <cell r="L25">
            <v>179105.36355636036</v>
          </cell>
          <cell r="M25">
            <v>125828.54809538275</v>
          </cell>
          <cell r="N25">
            <v>346241.90576956491</v>
          </cell>
          <cell r="O25">
            <v>41307.9941178218</v>
          </cell>
          <cell r="P25">
            <v>275391.24864388152</v>
          </cell>
          <cell r="Q25">
            <v>175954.62909822218</v>
          </cell>
          <cell r="R25">
            <v>492653.87185992551</v>
          </cell>
          <cell r="S25">
            <v>44.601900000000001</v>
          </cell>
          <cell r="T25">
            <v>47.094000000000001</v>
          </cell>
        </row>
        <row r="26">
          <cell r="A26" t="str">
            <v>JPY</v>
          </cell>
          <cell r="B26" t="str">
            <v>현지화</v>
          </cell>
          <cell r="C26">
            <v>398410832</v>
          </cell>
          <cell r="D26">
            <v>1618078043</v>
          </cell>
          <cell r="E26">
            <v>287598200</v>
          </cell>
          <cell r="F26">
            <v>2304087075</v>
          </cell>
          <cell r="G26">
            <v>143568464</v>
          </cell>
          <cell r="H26">
            <v>890310599</v>
          </cell>
          <cell r="I26">
            <v>157792900</v>
          </cell>
          <cell r="J26">
            <v>1191671963</v>
          </cell>
          <cell r="K26">
            <v>34979000</v>
          </cell>
          <cell r="L26">
            <v>1472059581</v>
          </cell>
          <cell r="M26">
            <v>14813600</v>
          </cell>
          <cell r="N26">
            <v>1521852181</v>
          </cell>
          <cell r="O26">
            <v>576958296</v>
          </cell>
          <cell r="P26">
            <v>3980448223</v>
          </cell>
          <cell r="Q26">
            <v>460204700</v>
          </cell>
          <cell r="R26">
            <v>5017611219</v>
          </cell>
          <cell r="S26">
            <v>110</v>
          </cell>
          <cell r="T26">
            <v>119.0219</v>
          </cell>
        </row>
        <row r="27">
          <cell r="B27" t="str">
            <v>환차손(USD)</v>
          </cell>
          <cell r="C27">
            <v>274542.49903289787</v>
          </cell>
          <cell r="D27">
            <v>1115007.8107200675</v>
          </cell>
          <cell r="E27">
            <v>198182.18332317611</v>
          </cell>
          <cell r="F27">
            <v>1587732.4930761415</v>
          </cell>
          <cell r="G27">
            <v>98932.161786390934</v>
          </cell>
          <cell r="H27">
            <v>613507.65875998046</v>
          </cell>
          <cell r="I27">
            <v>108734.13475778233</v>
          </cell>
          <cell r="J27">
            <v>821173.95530415373</v>
          </cell>
          <cell r="K27">
            <v>24103.817723690125</v>
          </cell>
          <cell r="L27">
            <v>1014387.3701030817</v>
          </cell>
          <cell r="M27">
            <v>10207.962326872017</v>
          </cell>
          <cell r="N27">
            <v>1048699.1501536437</v>
          </cell>
          <cell r="O27">
            <v>397578.47854297893</v>
          </cell>
          <cell r="P27">
            <v>2742902.8395831296</v>
          </cell>
          <cell r="Q27">
            <v>317124.28040783049</v>
          </cell>
          <cell r="R27">
            <v>3457605.5985339386</v>
          </cell>
          <cell r="S27">
            <v>110</v>
          </cell>
          <cell r="T27">
            <v>119.0219</v>
          </cell>
        </row>
        <row r="28">
          <cell r="A28" t="str">
            <v>KRW</v>
          </cell>
          <cell r="B28" t="str">
            <v>현지화</v>
          </cell>
          <cell r="C28">
            <v>3882427137</v>
          </cell>
          <cell r="D28">
            <v>30044157601</v>
          </cell>
          <cell r="E28">
            <v>7979557774</v>
          </cell>
          <cell r="F28">
            <v>41906142512</v>
          </cell>
          <cell r="G28">
            <v>637661856</v>
          </cell>
          <cell r="H28">
            <v>9215533696</v>
          </cell>
          <cell r="I28">
            <v>153926391</v>
          </cell>
          <cell r="J28">
            <v>10007121943</v>
          </cell>
          <cell r="K28">
            <v>2038729586</v>
          </cell>
          <cell r="L28">
            <v>24242655530</v>
          </cell>
          <cell r="M28">
            <v>281968384</v>
          </cell>
          <cell r="N28">
            <v>26563353500</v>
          </cell>
          <cell r="O28">
            <v>6558818579</v>
          </cell>
          <cell r="P28">
            <v>63502346827</v>
          </cell>
          <cell r="Q28">
            <v>8415452549</v>
          </cell>
          <cell r="R28">
            <v>78476617955</v>
          </cell>
          <cell r="S28">
            <v>1140</v>
          </cell>
          <cell r="T28">
            <v>1197.9314999999999</v>
          </cell>
        </row>
        <row r="29">
          <cell r="B29" t="str">
            <v>환차손(USD)</v>
          </cell>
          <cell r="C29">
            <v>164695.31730108894</v>
          </cell>
          <cell r="D29">
            <v>1274494.5093712956</v>
          </cell>
          <cell r="E29">
            <v>338498.50960159861</v>
          </cell>
          <cell r="F29">
            <v>1777688.3362739831</v>
          </cell>
          <cell r="G29">
            <v>27050.068938543322</v>
          </cell>
          <cell r="H29">
            <v>390929.4862734722</v>
          </cell>
          <cell r="I29">
            <v>6529.6668584347062</v>
          </cell>
          <cell r="J29">
            <v>424509.2220704502</v>
          </cell>
          <cell r="K29">
            <v>86484.357390114572</v>
          </cell>
          <cell r="L29">
            <v>1028390.6700228564</v>
          </cell>
          <cell r="M29">
            <v>11961.299164944328</v>
          </cell>
          <cell r="N29">
            <v>1126836.3265779153</v>
          </cell>
          <cell r="O29">
            <v>278229.74362974684</v>
          </cell>
          <cell r="P29">
            <v>2693814.6656676242</v>
          </cell>
          <cell r="Q29">
            <v>356989.47562497761</v>
          </cell>
          <cell r="R29">
            <v>3329033.8849223484</v>
          </cell>
          <cell r="S29">
            <v>1140</v>
          </cell>
          <cell r="T29">
            <v>1197.9314999999999</v>
          </cell>
        </row>
        <row r="30">
          <cell r="A30" t="str">
            <v>MRT</v>
          </cell>
          <cell r="B30" t="str">
            <v>현지화</v>
          </cell>
          <cell r="G30">
            <v>979160</v>
          </cell>
          <cell r="H30">
            <v>740364</v>
          </cell>
          <cell r="J30">
            <v>1719524</v>
          </cell>
          <cell r="K30">
            <v>485326</v>
          </cell>
          <cell r="L30">
            <v>2714519</v>
          </cell>
          <cell r="N30">
            <v>3199845</v>
          </cell>
          <cell r="R30">
            <v>4919369</v>
          </cell>
          <cell r="S30">
            <v>3.8</v>
          </cell>
          <cell r="T30">
            <v>3.7993000000000001</v>
          </cell>
        </row>
        <row r="31">
          <cell r="B31" t="str">
            <v>환차손(USD)</v>
          </cell>
          <cell r="G31">
            <v>-47.474950371717568</v>
          </cell>
          <cell r="H31">
            <v>-35.896834181330632</v>
          </cell>
          <cell r="I31">
            <v>0</v>
          </cell>
          <cell r="J31">
            <v>-83.371784553048201</v>
          </cell>
          <cell r="K31">
            <v>-23.531218354619341</v>
          </cell>
          <cell r="L31">
            <v>-131.61450100911316</v>
          </cell>
          <cell r="M31">
            <v>0</v>
          </cell>
          <cell r="N31">
            <v>-155.1457193637325</v>
          </cell>
          <cell r="R31">
            <v>-238.5175039167807</v>
          </cell>
          <cell r="S31">
            <v>3.8</v>
          </cell>
          <cell r="T31">
            <v>3.7993000000000001</v>
          </cell>
        </row>
        <row r="32">
          <cell r="A32" t="str">
            <v>NOK</v>
          </cell>
          <cell r="B32" t="str">
            <v>현지화</v>
          </cell>
          <cell r="H32">
            <v>854500</v>
          </cell>
          <cell r="J32">
            <v>854500</v>
          </cell>
          <cell r="N32">
            <v>0</v>
          </cell>
          <cell r="R32">
            <v>854500</v>
          </cell>
          <cell r="S32">
            <v>6.8026</v>
          </cell>
          <cell r="T32">
            <v>7.1078999999999999</v>
          </cell>
        </row>
        <row r="33">
          <cell r="B33" t="str">
            <v>환차손(USD)</v>
          </cell>
          <cell r="G33">
            <v>0</v>
          </cell>
          <cell r="H33">
            <v>5395.3873264606518</v>
          </cell>
          <cell r="I33">
            <v>0</v>
          </cell>
          <cell r="J33">
            <v>5395.3873264606518</v>
          </cell>
          <cell r="N33">
            <v>0</v>
          </cell>
          <cell r="R33">
            <v>5395.3873264606518</v>
          </cell>
          <cell r="S33">
            <v>6.8026</v>
          </cell>
          <cell r="T33">
            <v>7.1078999999999999</v>
          </cell>
        </row>
        <row r="34">
          <cell r="A34" t="str">
            <v>NTD</v>
          </cell>
          <cell r="B34" t="str">
            <v>현지화</v>
          </cell>
          <cell r="C34">
            <v>48675404</v>
          </cell>
          <cell r="D34">
            <v>280540602</v>
          </cell>
          <cell r="E34">
            <v>98522188</v>
          </cell>
          <cell r="F34">
            <v>427738194</v>
          </cell>
          <cell r="G34">
            <v>35886760</v>
          </cell>
          <cell r="H34">
            <v>91031909</v>
          </cell>
          <cell r="I34">
            <v>49556867</v>
          </cell>
          <cell r="J34">
            <v>176475536</v>
          </cell>
          <cell r="K34">
            <v>17816002</v>
          </cell>
          <cell r="L34">
            <v>79952949</v>
          </cell>
          <cell r="M34">
            <v>13954071</v>
          </cell>
          <cell r="N34">
            <v>111723022</v>
          </cell>
          <cell r="O34">
            <v>102378166</v>
          </cell>
          <cell r="P34">
            <v>451525460</v>
          </cell>
          <cell r="Q34">
            <v>162033126</v>
          </cell>
          <cell r="R34">
            <v>715936752</v>
          </cell>
          <cell r="S34">
            <v>32.883000000000003</v>
          </cell>
          <cell r="T34">
            <v>34.536099999999998</v>
          </cell>
        </row>
        <row r="35">
          <cell r="B35" t="str">
            <v>환차손(USD)</v>
          </cell>
          <cell r="C35">
            <v>70853.933447169373</v>
          </cell>
          <cell r="D35">
            <v>408366.51593763568</v>
          </cell>
          <cell r="E35">
            <v>143412.97612283845</v>
          </cell>
          <cell r="F35">
            <v>622633.42550764349</v>
          </cell>
          <cell r="G35">
            <v>52238.25373230665</v>
          </cell>
          <cell r="H35">
            <v>132509.81587856496</v>
          </cell>
          <cell r="I35">
            <v>72137.027486576699</v>
          </cell>
          <cell r="J35">
            <v>256885.09709744831</v>
          </cell>
          <cell r="K35">
            <v>25933.710175320448</v>
          </cell>
          <cell r="L35">
            <v>116382.82298285468</v>
          </cell>
          <cell r="M35">
            <v>20312.123510080739</v>
          </cell>
          <cell r="N35">
            <v>162628.65666825586</v>
          </cell>
          <cell r="O35">
            <v>149025.89735479647</v>
          </cell>
          <cell r="P35">
            <v>657259.15479905531</v>
          </cell>
          <cell r="Q35">
            <v>235862.12711949588</v>
          </cell>
          <cell r="R35">
            <v>1042147.1792733476</v>
          </cell>
          <cell r="S35">
            <v>32.883000000000003</v>
          </cell>
          <cell r="T35">
            <v>34.536099999999998</v>
          </cell>
        </row>
        <row r="36">
          <cell r="A36" t="str">
            <v>PHP</v>
          </cell>
          <cell r="B36" t="str">
            <v>현지화</v>
          </cell>
          <cell r="D36">
            <v>37134781</v>
          </cell>
          <cell r="E36">
            <v>2411270</v>
          </cell>
          <cell r="F36">
            <v>39546051</v>
          </cell>
          <cell r="H36">
            <v>1458495</v>
          </cell>
          <cell r="I36">
            <v>309740</v>
          </cell>
          <cell r="J36">
            <v>1768235</v>
          </cell>
          <cell r="K36">
            <v>6587025</v>
          </cell>
          <cell r="L36">
            <v>27810168</v>
          </cell>
          <cell r="M36">
            <v>392000</v>
          </cell>
          <cell r="N36">
            <v>34789193</v>
          </cell>
          <cell r="O36">
            <v>6587025</v>
          </cell>
          <cell r="P36">
            <v>66403444</v>
          </cell>
          <cell r="Q36">
            <v>3113010</v>
          </cell>
          <cell r="R36">
            <v>76103479</v>
          </cell>
          <cell r="S36">
            <v>51.747500000000002</v>
          </cell>
          <cell r="T36">
            <v>53.583500000000001</v>
          </cell>
        </row>
        <row r="37">
          <cell r="B37" t="str">
            <v>환차손(USD)</v>
          </cell>
          <cell r="C37">
            <v>0</v>
          </cell>
          <cell r="D37">
            <v>24588.559854815947</v>
          </cell>
          <cell r="E37">
            <v>1596.6071463063636</v>
          </cell>
          <cell r="F37">
            <v>26185.16700112231</v>
          </cell>
          <cell r="G37">
            <v>0</v>
          </cell>
          <cell r="H37">
            <v>965.73321936245338</v>
          </cell>
          <cell r="I37">
            <v>205.09237766692786</v>
          </cell>
          <cell r="J37">
            <v>1170.8255970293812</v>
          </cell>
          <cell r="K37">
            <v>4361.5568509120494</v>
          </cell>
          <cell r="L37">
            <v>18414.32646231266</v>
          </cell>
          <cell r="M37">
            <v>259.56031524968057</v>
          </cell>
          <cell r="N37">
            <v>23035.44362847439</v>
          </cell>
          <cell r="O37">
            <v>4361.5568509120494</v>
          </cell>
          <cell r="P37">
            <v>43968.61953649106</v>
          </cell>
          <cell r="Q37">
            <v>2061.259839222972</v>
          </cell>
          <cell r="R37">
            <v>50391.436226626087</v>
          </cell>
          <cell r="S37">
            <v>51.747500000000002</v>
          </cell>
          <cell r="T37">
            <v>53.583500000000001</v>
          </cell>
        </row>
        <row r="38">
          <cell r="A38" t="str">
            <v>PKR</v>
          </cell>
          <cell r="B38" t="str">
            <v>현지화</v>
          </cell>
          <cell r="E38">
            <v>448000</v>
          </cell>
          <cell r="F38">
            <v>448000</v>
          </cell>
          <cell r="J38">
            <v>0</v>
          </cell>
          <cell r="K38">
            <v>0</v>
          </cell>
          <cell r="L38">
            <v>0</v>
          </cell>
          <cell r="M38">
            <v>2444500</v>
          </cell>
          <cell r="N38">
            <v>2444500</v>
          </cell>
          <cell r="O38">
            <v>0</v>
          </cell>
          <cell r="P38">
            <v>0</v>
          </cell>
          <cell r="Q38">
            <v>2892500</v>
          </cell>
          <cell r="R38">
            <v>2892500</v>
          </cell>
          <cell r="S38">
            <v>55.38</v>
          </cell>
          <cell r="T38">
            <v>57.810400000000001</v>
          </cell>
        </row>
        <row r="39">
          <cell r="B39" t="str">
            <v>환차손(USD)</v>
          </cell>
          <cell r="C39">
            <v>0</v>
          </cell>
          <cell r="D39">
            <v>0</v>
          </cell>
          <cell r="E39">
            <v>340.09233566484636</v>
          </cell>
          <cell r="F39">
            <v>340.09233566484636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1855.7047199391018</v>
          </cell>
          <cell r="N39">
            <v>1855.7047199391018</v>
          </cell>
          <cell r="O39">
            <v>0</v>
          </cell>
          <cell r="P39">
            <v>0</v>
          </cell>
          <cell r="Q39">
            <v>2195.7970556039481</v>
          </cell>
          <cell r="R39">
            <v>2195.7970556039481</v>
          </cell>
          <cell r="S39">
            <v>55.38</v>
          </cell>
          <cell r="T39">
            <v>57.810400000000001</v>
          </cell>
        </row>
        <row r="40">
          <cell r="A40" t="str">
            <v>SAR</v>
          </cell>
          <cell r="B40" t="str">
            <v>현지화</v>
          </cell>
          <cell r="D40">
            <v>87018</v>
          </cell>
          <cell r="E40">
            <v>7800</v>
          </cell>
          <cell r="F40">
            <v>94818</v>
          </cell>
          <cell r="H40">
            <v>3780</v>
          </cell>
          <cell r="J40">
            <v>3780</v>
          </cell>
          <cell r="K40">
            <v>0</v>
          </cell>
          <cell r="L40">
            <v>3632514</v>
          </cell>
          <cell r="M40">
            <v>3149250</v>
          </cell>
          <cell r="N40">
            <v>6781764</v>
          </cell>
          <cell r="O40">
            <v>0</v>
          </cell>
          <cell r="P40">
            <v>3723312</v>
          </cell>
          <cell r="Q40">
            <v>3157050</v>
          </cell>
          <cell r="R40">
            <v>6880362</v>
          </cell>
          <cell r="S40">
            <v>3.7450000000000001</v>
          </cell>
          <cell r="T40">
            <v>3.7503000000000002</v>
          </cell>
        </row>
        <row r="41">
          <cell r="B41" t="str">
            <v>환차손(USD)</v>
          </cell>
          <cell r="C41">
            <v>0</v>
          </cell>
          <cell r="D41">
            <v>32.837276889677014</v>
          </cell>
          <cell r="E41">
            <v>2.9434227371289126</v>
          </cell>
          <cell r="F41">
            <v>35.780699626805927</v>
          </cell>
          <cell r="G41">
            <v>0</v>
          </cell>
          <cell r="H41">
            <v>1.4264279418393926</v>
          </cell>
          <cell r="I41">
            <v>0</v>
          </cell>
          <cell r="J41">
            <v>1.4264279418393926</v>
          </cell>
          <cell r="K41">
            <v>0</v>
          </cell>
          <cell r="L41">
            <v>1370.772346223006</v>
          </cell>
          <cell r="M41">
            <v>1188.4069301157724</v>
          </cell>
          <cell r="N41">
            <v>2559.1792763387784</v>
          </cell>
          <cell r="O41">
            <v>0</v>
          </cell>
          <cell r="P41">
            <v>1405.0360510545224</v>
          </cell>
          <cell r="Q41">
            <v>1191.3503528529013</v>
          </cell>
          <cell r="R41">
            <v>2596.3864039074238</v>
          </cell>
          <cell r="S41">
            <v>3.7450000000000001</v>
          </cell>
          <cell r="T41">
            <v>3.7503000000000002</v>
          </cell>
        </row>
        <row r="42">
          <cell r="A42" t="str">
            <v>SEK</v>
          </cell>
          <cell r="B42" t="str">
            <v>현지화</v>
          </cell>
          <cell r="H42">
            <v>1569650</v>
          </cell>
          <cell r="J42">
            <v>1569650</v>
          </cell>
          <cell r="R42">
            <v>1569650</v>
          </cell>
          <cell r="S42">
            <v>7.7694999999999999</v>
          </cell>
          <cell r="T42">
            <v>8.3361000000000001</v>
          </cell>
        </row>
        <row r="43">
          <cell r="B43" t="str">
            <v>환차손(USD)</v>
          </cell>
          <cell r="G43">
            <v>0</v>
          </cell>
          <cell r="H43">
            <v>13731.671576059365</v>
          </cell>
          <cell r="I43">
            <v>0</v>
          </cell>
          <cell r="J43">
            <v>13731.671576059365</v>
          </cell>
          <cell r="R43">
            <v>13731.671576059365</v>
          </cell>
          <cell r="S43">
            <v>7.7694999999999999</v>
          </cell>
          <cell r="T43">
            <v>8.3361000000000001</v>
          </cell>
        </row>
        <row r="44">
          <cell r="A44" t="str">
            <v>SGD</v>
          </cell>
          <cell r="B44" t="str">
            <v>현지화</v>
          </cell>
          <cell r="D44">
            <v>8616720</v>
          </cell>
          <cell r="E44">
            <v>327985</v>
          </cell>
          <cell r="F44">
            <v>8944705</v>
          </cell>
          <cell r="G44">
            <v>812760</v>
          </cell>
          <cell r="H44">
            <v>9978004</v>
          </cell>
          <cell r="I44">
            <v>126570</v>
          </cell>
          <cell r="J44">
            <v>10917334</v>
          </cell>
          <cell r="K44">
            <v>607998</v>
          </cell>
          <cell r="L44">
            <v>20110722</v>
          </cell>
          <cell r="M44">
            <v>253390</v>
          </cell>
          <cell r="N44">
            <v>20972110</v>
          </cell>
          <cell r="O44">
            <v>1420758</v>
          </cell>
          <cell r="P44">
            <v>38705446</v>
          </cell>
          <cell r="Q44">
            <v>707945</v>
          </cell>
          <cell r="R44">
            <v>40834149</v>
          </cell>
          <cell r="S44">
            <v>1.671</v>
          </cell>
          <cell r="T44">
            <v>1.7487999999999999</v>
          </cell>
        </row>
        <row r="45">
          <cell r="B45" t="str">
            <v>환차손(USD)</v>
          </cell>
          <cell r="C45">
            <v>0</v>
          </cell>
          <cell r="D45">
            <v>229406.11135658436</v>
          </cell>
          <cell r="E45">
            <v>8732.0654997828824</v>
          </cell>
          <cell r="F45">
            <v>238138.17685636724</v>
          </cell>
          <cell r="G45">
            <v>21638.408938224427</v>
          </cell>
          <cell r="H45">
            <v>265648.07684831787</v>
          </cell>
          <cell r="I45">
            <v>3369.7197442185425</v>
          </cell>
          <cell r="J45">
            <v>290656.20553076081</v>
          </cell>
          <cell r="K45">
            <v>16186.954768471129</v>
          </cell>
          <cell r="L45">
            <v>535415.1615224015</v>
          </cell>
          <cell r="M45">
            <v>6746.0953305485891</v>
          </cell>
          <cell r="N45">
            <v>558348.21162142127</v>
          </cell>
          <cell r="O45">
            <v>37825.363706695556</v>
          </cell>
          <cell r="P45">
            <v>1030469.3497273037</v>
          </cell>
          <cell r="Q45">
            <v>18847.880574550014</v>
          </cell>
          <cell r="R45">
            <v>1087142.5940085493</v>
          </cell>
          <cell r="S45">
            <v>1.671</v>
          </cell>
          <cell r="T45">
            <v>1.7487999999999999</v>
          </cell>
        </row>
        <row r="46">
          <cell r="A46" t="str">
            <v>THB</v>
          </cell>
          <cell r="B46" t="str">
            <v>현지화</v>
          </cell>
          <cell r="D46">
            <v>22144069</v>
          </cell>
          <cell r="E46">
            <v>7997850</v>
          </cell>
          <cell r="F46">
            <v>30141919</v>
          </cell>
          <cell r="H46">
            <v>6815436</v>
          </cell>
          <cell r="I46">
            <v>3219450</v>
          </cell>
          <cell r="J46">
            <v>10034886</v>
          </cell>
          <cell r="K46">
            <v>9510270</v>
          </cell>
          <cell r="L46">
            <v>90465474</v>
          </cell>
          <cell r="M46">
            <v>7619860</v>
          </cell>
          <cell r="N46">
            <v>107595604</v>
          </cell>
          <cell r="O46">
            <v>9510270</v>
          </cell>
          <cell r="P46">
            <v>119424979</v>
          </cell>
          <cell r="Q46">
            <v>18837160</v>
          </cell>
          <cell r="R46">
            <v>147772409</v>
          </cell>
          <cell r="S46">
            <v>39.752000000000002</v>
          </cell>
          <cell r="T46">
            <v>42.431100000000001</v>
          </cell>
        </row>
        <row r="47">
          <cell r="B47" t="str">
            <v>환차손(USD)</v>
          </cell>
          <cell r="C47">
            <v>0</v>
          </cell>
          <cell r="D47">
            <v>35172.486849253066</v>
          </cell>
          <cell r="E47">
            <v>12703.368741639075</v>
          </cell>
          <cell r="F47">
            <v>47875.855590892141</v>
          </cell>
          <cell r="G47">
            <v>0</v>
          </cell>
          <cell r="H47">
            <v>10825.283875421737</v>
          </cell>
          <cell r="I47">
            <v>5113.6068437480135</v>
          </cell>
          <cell r="J47">
            <v>15938.890719169751</v>
          </cell>
          <cell r="K47">
            <v>15105.617965146637</v>
          </cell>
          <cell r="L47">
            <v>143690.6511886525</v>
          </cell>
          <cell r="M47">
            <v>12102.989095777768</v>
          </cell>
          <cell r="N47">
            <v>170899.2582495769</v>
          </cell>
          <cell r="O47">
            <v>15105.617965146637</v>
          </cell>
          <cell r="P47">
            <v>189688.4219133273</v>
          </cell>
          <cell r="Q47">
            <v>29919.964681164856</v>
          </cell>
          <cell r="R47">
            <v>234714.00455963879</v>
          </cell>
          <cell r="S47">
            <v>39.752000000000002</v>
          </cell>
          <cell r="T47">
            <v>42.431100000000001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동량"/>
      <sheetName val="CFS물동량"/>
      <sheetName val="CFS면적60"/>
      <sheetName val="광양"/>
      <sheetName val="CFS면적100"/>
      <sheetName val="감만"/>
      <sheetName val="양산전용"/>
      <sheetName val="처리능력"/>
      <sheetName val="현황"/>
      <sheetName val="필요면적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">
          <cell r="D10">
            <v>86263.32</v>
          </cell>
        </row>
      </sheetData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63578-D02A-4334-9B18-63CAE41DF88F}" name="Table2" displayName="Table2" ref="R135:R142" totalsRowShown="0" headerRowDxfId="90" dataDxfId="89">
  <tableColumns count="1">
    <tableColumn id="1" xr3:uid="{2CE2352C-FB6E-4728-9124-3E045ADB4111}" name="Column1" dataDxfId="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6F78-C999-4E7B-98DE-0DD7FA52EAA6}">
  <sheetPr>
    <tabColor theme="8"/>
    <outlinePr summaryRight="0"/>
  </sheetPr>
  <dimension ref="A1:DS163"/>
  <sheetViews>
    <sheetView tabSelected="1" zoomScale="25" zoomScaleNormal="25" zoomScaleSheetLayoutView="25" workbookViewId="0">
      <pane xSplit="13" ySplit="10" topLeftCell="AG110" activePane="bottomRight" state="frozen"/>
      <selection pane="topRight" activeCell="N1" sqref="N1"/>
      <selection pane="bottomLeft" activeCell="A11" sqref="A11"/>
      <selection pane="bottomRight" activeCell="A131" sqref="A131:XFD180"/>
    </sheetView>
  </sheetViews>
  <sheetFormatPr defaultRowHeight="36" outlineLevelCol="1"/>
  <cols>
    <col min="1" max="7" width="9" style="48" customWidth="1"/>
    <col min="8" max="9" width="11.28515625" style="49" customWidth="1"/>
    <col min="10" max="10" width="32.7109375" style="49" customWidth="1" outlineLevel="1"/>
    <col min="11" max="11" width="42.5703125" style="7" customWidth="1" outlineLevel="1"/>
    <col min="12" max="12" width="13" style="50" customWidth="1" outlineLevel="1"/>
    <col min="13" max="13" width="3" style="46" customWidth="1" outlineLevel="1"/>
    <col min="14" max="17" width="15.7109375" style="46" customWidth="1" outlineLevel="1"/>
    <col min="18" max="18" width="16.5703125" style="46" customWidth="1" outlineLevel="1"/>
    <col min="19" max="68" width="15.7109375" style="46" customWidth="1" outlineLevel="1"/>
    <col min="69" max="69" width="4.140625" style="46" customWidth="1" outlineLevel="1"/>
    <col min="70" max="113" width="15.7109375" style="46" customWidth="1" outlineLevel="1"/>
    <col min="114" max="123" width="15.7109375" style="46" customWidth="1"/>
    <col min="124" max="16384" width="9.140625" style="46"/>
  </cols>
  <sheetData>
    <row r="1" spans="1:123" ht="30.75" customHeight="1">
      <c r="A1" s="40"/>
      <c r="B1" s="41"/>
      <c r="C1" s="41"/>
      <c r="D1" s="41"/>
      <c r="E1" s="41"/>
      <c r="F1" s="41"/>
      <c r="G1" s="41"/>
      <c r="H1" s="42"/>
      <c r="I1" s="42"/>
      <c r="J1" s="42"/>
      <c r="K1" s="6"/>
      <c r="L1" s="43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5"/>
    </row>
    <row r="2" spans="1:123" ht="30.75" customHeight="1" thickBot="1">
      <c r="A2" s="47"/>
      <c r="DS2" s="51"/>
    </row>
    <row r="3" spans="1:123" ht="42.75" thickBot="1">
      <c r="A3" s="47"/>
      <c r="I3" s="52"/>
      <c r="J3" s="52"/>
      <c r="K3" s="5"/>
      <c r="L3" s="53"/>
      <c r="M3" s="54"/>
      <c r="N3" s="216" t="s">
        <v>0</v>
      </c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55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217"/>
      <c r="CY3" s="217"/>
      <c r="CZ3" s="217"/>
      <c r="DA3" s="217"/>
      <c r="DB3" s="217"/>
      <c r="DC3" s="217"/>
      <c r="DD3" s="217"/>
      <c r="DE3" s="217"/>
      <c r="DF3" s="217"/>
      <c r="DG3" s="217"/>
      <c r="DH3" s="217"/>
      <c r="DI3" s="217"/>
      <c r="DJ3" s="217"/>
      <c r="DK3" s="217"/>
      <c r="DL3" s="217"/>
      <c r="DM3" s="217"/>
      <c r="DN3" s="217"/>
      <c r="DO3" s="217"/>
      <c r="DP3" s="217"/>
      <c r="DQ3" s="217"/>
      <c r="DR3" s="217"/>
      <c r="DS3" s="217"/>
    </row>
    <row r="4" spans="1:123" ht="42.75" thickBot="1">
      <c r="A4" s="47"/>
      <c r="I4" s="52"/>
      <c r="J4" s="52"/>
      <c r="K4" s="5" t="s">
        <v>1</v>
      </c>
      <c r="L4" s="53"/>
      <c r="M4" s="54"/>
      <c r="N4" s="218">
        <f ca="1">NOW()</f>
        <v>46264.671875</v>
      </c>
      <c r="O4" s="218"/>
      <c r="P4" s="218"/>
      <c r="Q4" s="218"/>
      <c r="R4" s="219" t="s">
        <v>2</v>
      </c>
      <c r="S4" s="219"/>
      <c r="T4" s="219"/>
      <c r="U4" s="219"/>
      <c r="V4" s="91"/>
      <c r="W4" s="91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219" t="s">
        <v>3</v>
      </c>
      <c r="AJ4" s="219"/>
      <c r="AK4" s="219"/>
      <c r="AL4" s="219"/>
      <c r="AZ4" s="56"/>
      <c r="BA4" s="56"/>
      <c r="BB4" s="56"/>
      <c r="BC4" s="56"/>
      <c r="BD4" s="220" t="s">
        <v>4</v>
      </c>
      <c r="BE4" s="220"/>
      <c r="BF4" s="220"/>
      <c r="BG4" s="220"/>
      <c r="BL4" s="54"/>
      <c r="BM4" s="54"/>
      <c r="BN4" s="54"/>
      <c r="BO4" s="54"/>
      <c r="BP4" s="51"/>
      <c r="BQ4" s="57"/>
      <c r="BR4" s="221" t="s">
        <v>5</v>
      </c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  <c r="CT4" s="221"/>
      <c r="CU4" s="221"/>
      <c r="CV4" s="222" t="s">
        <v>6</v>
      </c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222"/>
      <c r="DJ4" s="222" t="s">
        <v>7</v>
      </c>
      <c r="DK4" s="222"/>
      <c r="DL4" s="222"/>
      <c r="DM4" s="222"/>
      <c r="DN4" s="222"/>
      <c r="DO4" s="222"/>
      <c r="DP4" s="222"/>
      <c r="DQ4" s="222"/>
      <c r="DR4" s="222"/>
      <c r="DS4" s="222"/>
    </row>
    <row r="5" spans="1:123" ht="42.75" thickBot="1">
      <c r="A5" s="47"/>
      <c r="I5" s="52"/>
      <c r="J5" s="52"/>
      <c r="K5" s="5"/>
      <c r="L5" s="53"/>
      <c r="M5" s="54"/>
      <c r="N5" s="218"/>
      <c r="O5" s="218"/>
      <c r="P5" s="218"/>
      <c r="Q5" s="218"/>
      <c r="R5" s="223" t="s">
        <v>8</v>
      </c>
      <c r="S5" s="223"/>
      <c r="T5" s="223"/>
      <c r="U5" s="223"/>
      <c r="V5" s="223"/>
      <c r="X5" s="137"/>
      <c r="Y5" s="141" t="s">
        <v>9</v>
      </c>
      <c r="Z5" s="144"/>
      <c r="AA5" s="142" t="s">
        <v>10</v>
      </c>
      <c r="AB5" s="143"/>
      <c r="AC5" s="141" t="s">
        <v>11</v>
      </c>
      <c r="AD5" s="139"/>
      <c r="AE5" s="136" t="s">
        <v>12</v>
      </c>
      <c r="AF5" s="138"/>
      <c r="AG5" s="140" t="s">
        <v>13</v>
      </c>
      <c r="AH5" s="223" t="s">
        <v>14</v>
      </c>
      <c r="AI5" s="223"/>
      <c r="AJ5" s="223"/>
      <c r="AK5" s="223"/>
      <c r="AL5" s="223"/>
      <c r="AM5" s="60"/>
      <c r="AN5" s="58" t="s">
        <v>15</v>
      </c>
      <c r="AO5" s="59"/>
      <c r="AR5" s="59"/>
      <c r="AS5" s="224" t="s">
        <v>16</v>
      </c>
      <c r="AT5" s="224"/>
      <c r="AU5" s="224"/>
      <c r="AV5" s="59"/>
      <c r="AW5" s="62"/>
      <c r="AX5" s="58" t="s">
        <v>17</v>
      </c>
      <c r="AY5" s="59"/>
      <c r="AZ5" s="59"/>
      <c r="BA5" s="59"/>
      <c r="BC5" s="61"/>
      <c r="BD5" s="225" t="s">
        <v>18</v>
      </c>
      <c r="BE5" s="225"/>
      <c r="BF5" s="225"/>
      <c r="BG5" s="225"/>
      <c r="BH5" s="225"/>
      <c r="BI5" s="63"/>
      <c r="BJ5" s="58" t="s">
        <v>19</v>
      </c>
      <c r="BK5" s="8"/>
      <c r="BL5" s="54"/>
      <c r="BM5" s="64"/>
      <c r="BN5" s="58" t="s">
        <v>20</v>
      </c>
      <c r="BO5" s="54"/>
      <c r="BP5" s="51"/>
      <c r="BQ5" s="65"/>
      <c r="BS5" s="145"/>
      <c r="BT5" s="141" t="s">
        <v>21</v>
      </c>
      <c r="BX5" s="58"/>
      <c r="CA5" s="225" t="s">
        <v>22</v>
      </c>
      <c r="CB5" s="225"/>
      <c r="CC5" s="225"/>
      <c r="CD5" s="225"/>
      <c r="CE5" s="225"/>
      <c r="CF5" s="225"/>
      <c r="CG5" s="226" t="s">
        <v>23</v>
      </c>
      <c r="CH5" s="226"/>
      <c r="CI5" s="226"/>
      <c r="CJ5" s="226"/>
      <c r="CK5" s="226"/>
      <c r="CL5" s="66"/>
      <c r="CM5" s="58" t="s">
        <v>24</v>
      </c>
      <c r="CQ5" s="67"/>
      <c r="CR5" s="58" t="s">
        <v>25</v>
      </c>
      <c r="CV5" s="227" t="s">
        <v>26</v>
      </c>
      <c r="CW5" s="227"/>
      <c r="CX5" s="227"/>
      <c r="CY5" s="227"/>
      <c r="CZ5" s="227"/>
      <c r="DA5" s="227"/>
      <c r="DB5" s="227"/>
      <c r="DC5" s="227"/>
      <c r="DD5" s="227"/>
      <c r="DE5" s="227"/>
      <c r="DF5" s="227"/>
      <c r="DG5" s="227"/>
      <c r="DH5" s="227"/>
      <c r="DI5" s="227"/>
      <c r="DJ5" s="228" t="s">
        <v>27</v>
      </c>
      <c r="DK5" s="228"/>
      <c r="DL5" s="228"/>
      <c r="DM5" s="228"/>
      <c r="DN5" s="228"/>
      <c r="DO5" s="228"/>
      <c r="DP5" s="228"/>
      <c r="DQ5" s="228"/>
      <c r="DR5" s="228"/>
      <c r="DS5" s="228"/>
    </row>
    <row r="6" spans="1:123" ht="50.1" customHeight="1" thickBot="1">
      <c r="A6" s="212" t="s">
        <v>28</v>
      </c>
      <c r="B6" s="212" t="s">
        <v>29</v>
      </c>
      <c r="C6" s="212" t="s">
        <v>30</v>
      </c>
      <c r="D6" s="212" t="s">
        <v>31</v>
      </c>
      <c r="E6" s="212" t="s">
        <v>32</v>
      </c>
      <c r="F6" s="212" t="s">
        <v>33</v>
      </c>
      <c r="G6" s="213" t="s">
        <v>34</v>
      </c>
      <c r="H6" s="214" t="s">
        <v>35</v>
      </c>
      <c r="I6" s="215" t="s">
        <v>36</v>
      </c>
      <c r="J6" s="231" t="s">
        <v>194</v>
      </c>
      <c r="K6" s="231"/>
      <c r="L6" s="231"/>
      <c r="M6" s="231"/>
      <c r="N6" s="232" t="s">
        <v>28</v>
      </c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3" t="s">
        <v>29</v>
      </c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 t="s">
        <v>30</v>
      </c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4" t="s">
        <v>31</v>
      </c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68"/>
      <c r="BR6" s="230" t="s">
        <v>37</v>
      </c>
      <c r="BS6" s="230"/>
      <c r="BT6" s="230"/>
      <c r="BU6" s="230"/>
      <c r="BV6" s="230"/>
      <c r="BW6" s="230"/>
      <c r="BX6" s="230"/>
      <c r="BY6" s="230"/>
      <c r="BZ6" s="230"/>
      <c r="CA6" s="230"/>
      <c r="CB6" s="230" t="s">
        <v>38</v>
      </c>
      <c r="CC6" s="230"/>
      <c r="CD6" s="230"/>
      <c r="CE6" s="230"/>
      <c r="CF6" s="230"/>
      <c r="CG6" s="230"/>
      <c r="CH6" s="230"/>
      <c r="CI6" s="230"/>
      <c r="CJ6" s="230"/>
      <c r="CK6" s="230"/>
      <c r="CL6" s="230" t="s">
        <v>39</v>
      </c>
      <c r="CM6" s="230"/>
      <c r="CN6" s="230"/>
      <c r="CO6" s="230"/>
      <c r="CP6" s="230"/>
      <c r="CQ6" s="230"/>
      <c r="CR6" s="230"/>
      <c r="CS6" s="230"/>
      <c r="CT6" s="230"/>
      <c r="CU6" s="230"/>
      <c r="CV6" s="230" t="s">
        <v>40</v>
      </c>
      <c r="CW6" s="230"/>
      <c r="CX6" s="230"/>
      <c r="CY6" s="230"/>
      <c r="CZ6" s="230"/>
      <c r="DA6" s="230"/>
      <c r="DB6" s="230"/>
      <c r="DC6" s="230" t="s">
        <v>41</v>
      </c>
      <c r="DD6" s="230"/>
      <c r="DE6" s="230"/>
      <c r="DF6" s="230"/>
      <c r="DG6" s="230"/>
      <c r="DH6" s="230"/>
      <c r="DI6" s="230"/>
      <c r="DJ6" s="232" t="s">
        <v>42</v>
      </c>
      <c r="DK6" s="232"/>
      <c r="DL6" s="232"/>
      <c r="DM6" s="232"/>
      <c r="DN6" s="232"/>
      <c r="DO6" s="229" t="s">
        <v>43</v>
      </c>
      <c r="DP6" s="229"/>
      <c r="DQ6" s="229"/>
      <c r="DR6" s="229"/>
      <c r="DS6" s="229"/>
    </row>
    <row r="7" spans="1:123" ht="49.5" customHeight="1" thickBot="1">
      <c r="A7" s="212"/>
      <c r="B7" s="212"/>
      <c r="C7" s="212"/>
      <c r="D7" s="212"/>
      <c r="E7" s="212"/>
      <c r="F7" s="212"/>
      <c r="G7" s="213"/>
      <c r="H7" s="214"/>
      <c r="I7" s="215"/>
      <c r="J7" s="231"/>
      <c r="K7" s="231"/>
      <c r="L7" s="231"/>
      <c r="M7" s="231"/>
      <c r="N7" s="232" t="s">
        <v>44</v>
      </c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3" t="s">
        <v>45</v>
      </c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 t="s">
        <v>46</v>
      </c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2" t="s">
        <v>47</v>
      </c>
      <c r="AX7" s="232"/>
      <c r="AY7" s="232"/>
      <c r="AZ7" s="232"/>
      <c r="BA7" s="232"/>
      <c r="BB7" s="232"/>
      <c r="BC7" s="232"/>
      <c r="BD7" s="232"/>
      <c r="BE7" s="23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70"/>
      <c r="BR7" s="90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230" t="s">
        <v>48</v>
      </c>
      <c r="CW7" s="230"/>
      <c r="CX7" s="230"/>
      <c r="CY7" s="230"/>
      <c r="CZ7" s="230"/>
      <c r="DA7" s="230"/>
      <c r="DB7" s="230"/>
      <c r="DC7" s="230"/>
      <c r="DD7" s="230"/>
      <c r="DE7" s="230"/>
      <c r="DF7" s="230"/>
      <c r="DG7" s="230"/>
      <c r="DH7" s="230"/>
      <c r="DI7" s="230"/>
      <c r="DJ7" s="230" t="s">
        <v>49</v>
      </c>
      <c r="DK7" s="230"/>
      <c r="DL7" s="230"/>
      <c r="DM7" s="230"/>
      <c r="DN7" s="230"/>
      <c r="DO7" s="230"/>
      <c r="DP7" s="230"/>
      <c r="DQ7" s="230"/>
      <c r="DR7" s="230"/>
      <c r="DS7" s="230"/>
    </row>
    <row r="8" spans="1:123" ht="50.1" customHeight="1" thickBot="1">
      <c r="A8" s="212"/>
      <c r="B8" s="212"/>
      <c r="C8" s="212"/>
      <c r="D8" s="212"/>
      <c r="E8" s="212"/>
      <c r="F8" s="212"/>
      <c r="G8" s="213"/>
      <c r="H8" s="214"/>
      <c r="I8" s="215"/>
      <c r="J8" s="231"/>
      <c r="K8" s="231"/>
      <c r="L8" s="231"/>
      <c r="M8" s="231"/>
      <c r="N8" s="75"/>
      <c r="O8" s="99"/>
      <c r="P8" s="99"/>
      <c r="Q8" s="99"/>
      <c r="R8" s="99"/>
      <c r="S8" s="99"/>
      <c r="T8" s="99"/>
      <c r="U8" s="99"/>
      <c r="V8" s="99"/>
      <c r="W8" s="99"/>
      <c r="X8" s="71"/>
      <c r="Y8" s="72"/>
      <c r="Z8" s="99"/>
      <c r="AA8" s="99"/>
      <c r="AB8" s="99"/>
      <c r="AC8" s="99"/>
      <c r="AD8" s="73"/>
      <c r="AE8" s="99"/>
      <c r="AF8" s="99"/>
      <c r="AG8" s="99"/>
      <c r="AH8" s="99"/>
      <c r="AI8" s="71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74"/>
      <c r="AW8" s="75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76"/>
      <c r="BR8" s="75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149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47"/>
      <c r="DH8" s="147"/>
      <c r="DI8" s="147"/>
      <c r="DJ8" s="151"/>
      <c r="DK8" s="152"/>
      <c r="DL8" s="152"/>
      <c r="DM8" s="152"/>
      <c r="DN8" s="152"/>
      <c r="DO8" s="152"/>
      <c r="DP8" s="152"/>
      <c r="DQ8" s="152"/>
      <c r="DR8" s="152"/>
      <c r="DS8" s="153"/>
    </row>
    <row r="9" spans="1:123" ht="50.1" customHeight="1" thickBot="1">
      <c r="A9" s="212"/>
      <c r="B9" s="212"/>
      <c r="C9" s="212"/>
      <c r="D9" s="212"/>
      <c r="E9" s="212"/>
      <c r="F9" s="212"/>
      <c r="G9" s="213"/>
      <c r="H9" s="214"/>
      <c r="I9" s="215"/>
      <c r="J9" s="231"/>
      <c r="K9" s="231"/>
      <c r="L9" s="231"/>
      <c r="M9" s="231"/>
      <c r="N9" s="75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73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74"/>
      <c r="AW9" s="75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146"/>
      <c r="BR9" s="75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77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69"/>
      <c r="DH9" s="69"/>
      <c r="DI9" s="69"/>
      <c r="DJ9" s="154"/>
      <c r="DK9" s="79"/>
      <c r="DL9" s="79"/>
      <c r="DM9" s="79"/>
      <c r="DN9" s="79"/>
      <c r="DO9" s="79"/>
      <c r="DP9" s="79"/>
      <c r="DQ9" s="79"/>
      <c r="DR9" s="79"/>
      <c r="DS9" s="80"/>
    </row>
    <row r="10" spans="1:123" ht="49.5" customHeight="1" thickBot="1">
      <c r="A10" s="212"/>
      <c r="B10" s="212"/>
      <c r="C10" s="212"/>
      <c r="D10" s="212"/>
      <c r="E10" s="212"/>
      <c r="F10" s="212"/>
      <c r="G10" s="213"/>
      <c r="H10" s="214"/>
      <c r="I10" s="215"/>
      <c r="J10" s="231"/>
      <c r="K10" s="231"/>
      <c r="L10" s="231"/>
      <c r="M10" s="231"/>
      <c r="N10" s="92">
        <v>25</v>
      </c>
      <c r="O10" s="93">
        <v>50</v>
      </c>
      <c r="P10" s="93">
        <v>75</v>
      </c>
      <c r="Q10" s="93">
        <v>100</v>
      </c>
      <c r="R10" s="93">
        <v>125</v>
      </c>
      <c r="S10" s="93">
        <v>150</v>
      </c>
      <c r="T10" s="93">
        <v>175</v>
      </c>
      <c r="U10" s="93">
        <v>200</v>
      </c>
      <c r="V10" s="93">
        <v>225</v>
      </c>
      <c r="W10" s="93">
        <v>250</v>
      </c>
      <c r="X10" s="93">
        <v>275</v>
      </c>
      <c r="Y10" s="93">
        <v>300</v>
      </c>
      <c r="Z10" s="93">
        <v>325</v>
      </c>
      <c r="AA10" s="93">
        <v>350</v>
      </c>
      <c r="AB10" s="93">
        <v>375</v>
      </c>
      <c r="AC10" s="93">
        <v>400</v>
      </c>
      <c r="AD10" s="93">
        <v>425</v>
      </c>
      <c r="AE10" s="93">
        <v>450</v>
      </c>
      <c r="AF10" s="93">
        <v>475</v>
      </c>
      <c r="AG10" s="93">
        <v>500</v>
      </c>
      <c r="AH10" s="93">
        <v>525</v>
      </c>
      <c r="AI10" s="93">
        <v>550</v>
      </c>
      <c r="AJ10" s="93">
        <v>575</v>
      </c>
      <c r="AK10" s="93">
        <v>600</v>
      </c>
      <c r="AL10" s="93">
        <v>625</v>
      </c>
      <c r="AM10" s="93">
        <v>650</v>
      </c>
      <c r="AN10" s="93">
        <v>675</v>
      </c>
      <c r="AO10" s="93">
        <v>700</v>
      </c>
      <c r="AP10" s="93">
        <v>725</v>
      </c>
      <c r="AQ10" s="93">
        <v>750</v>
      </c>
      <c r="AR10" s="156">
        <v>775</v>
      </c>
      <c r="AS10" s="156">
        <v>800</v>
      </c>
      <c r="AT10" s="156">
        <v>825</v>
      </c>
      <c r="AU10" s="156">
        <v>850</v>
      </c>
      <c r="AV10" s="157">
        <v>865</v>
      </c>
      <c r="AW10" s="95">
        <v>495</v>
      </c>
      <c r="AX10" s="93">
        <v>475</v>
      </c>
      <c r="AY10" s="93">
        <v>450</v>
      </c>
      <c r="AZ10" s="93">
        <v>425</v>
      </c>
      <c r="BA10" s="93">
        <v>400</v>
      </c>
      <c r="BB10" s="93">
        <v>375</v>
      </c>
      <c r="BC10" s="93">
        <v>350</v>
      </c>
      <c r="BD10" s="93">
        <v>325</v>
      </c>
      <c r="BE10" s="93">
        <v>300</v>
      </c>
      <c r="BF10" s="93">
        <v>275</v>
      </c>
      <c r="BG10" s="93">
        <v>250</v>
      </c>
      <c r="BH10" s="93">
        <v>225</v>
      </c>
      <c r="BI10" s="93">
        <v>200</v>
      </c>
      <c r="BJ10" s="93">
        <v>175</v>
      </c>
      <c r="BK10" s="93">
        <v>150</v>
      </c>
      <c r="BL10" s="93">
        <v>125</v>
      </c>
      <c r="BM10" s="93">
        <v>100</v>
      </c>
      <c r="BN10" s="93">
        <v>75</v>
      </c>
      <c r="BO10" s="93">
        <v>50</v>
      </c>
      <c r="BP10" s="94">
        <v>25</v>
      </c>
      <c r="BQ10" s="96"/>
      <c r="BR10" s="97">
        <v>750</v>
      </c>
      <c r="BS10" s="97">
        <v>725</v>
      </c>
      <c r="BT10" s="97">
        <v>700</v>
      </c>
      <c r="BU10" s="98">
        <v>675</v>
      </c>
      <c r="BV10" s="97">
        <v>650</v>
      </c>
      <c r="BW10" s="97">
        <v>625</v>
      </c>
      <c r="BX10" s="97">
        <v>600</v>
      </c>
      <c r="BY10" s="97">
        <v>575</v>
      </c>
      <c r="BZ10" s="97">
        <v>550</v>
      </c>
      <c r="CA10" s="97">
        <v>525</v>
      </c>
      <c r="CB10" s="97">
        <v>500</v>
      </c>
      <c r="CC10" s="97">
        <v>475</v>
      </c>
      <c r="CD10" s="97">
        <v>450</v>
      </c>
      <c r="CE10" s="97">
        <v>425</v>
      </c>
      <c r="CF10" s="97">
        <v>400</v>
      </c>
      <c r="CG10" s="97">
        <v>375</v>
      </c>
      <c r="CH10" s="97">
        <v>350</v>
      </c>
      <c r="CI10" s="97">
        <v>325</v>
      </c>
      <c r="CJ10" s="97">
        <v>300</v>
      </c>
      <c r="CK10" s="97">
        <v>275</v>
      </c>
      <c r="CL10" s="97">
        <v>250</v>
      </c>
      <c r="CM10" s="97">
        <v>225</v>
      </c>
      <c r="CN10" s="97">
        <v>200</v>
      </c>
      <c r="CO10" s="97">
        <v>175</v>
      </c>
      <c r="CP10" s="97">
        <v>150</v>
      </c>
      <c r="CQ10" s="97">
        <v>125</v>
      </c>
      <c r="CR10" s="97">
        <v>100</v>
      </c>
      <c r="CS10" s="97">
        <v>75</v>
      </c>
      <c r="CT10" s="97">
        <v>50</v>
      </c>
      <c r="CU10" s="97"/>
      <c r="CV10" s="148">
        <v>1250</v>
      </c>
      <c r="CW10" s="148">
        <v>1210</v>
      </c>
      <c r="CX10" s="148">
        <v>1170</v>
      </c>
      <c r="CY10" s="148">
        <v>1130</v>
      </c>
      <c r="CZ10" s="148">
        <v>1090</v>
      </c>
      <c r="DA10" s="148">
        <v>1050</v>
      </c>
      <c r="DB10" s="148">
        <v>1010</v>
      </c>
      <c r="DC10" s="148">
        <v>970</v>
      </c>
      <c r="DD10" s="148">
        <v>930</v>
      </c>
      <c r="DE10" s="148">
        <v>890</v>
      </c>
      <c r="DF10" s="148">
        <v>850</v>
      </c>
      <c r="DG10" s="148">
        <v>810</v>
      </c>
      <c r="DH10" s="148">
        <v>770</v>
      </c>
      <c r="DI10" s="148">
        <v>750</v>
      </c>
      <c r="DJ10" s="148">
        <v>1680</v>
      </c>
      <c r="DK10" s="148">
        <v>1630</v>
      </c>
      <c r="DL10" s="148">
        <v>1580</v>
      </c>
      <c r="DM10" s="148">
        <v>1530</v>
      </c>
      <c r="DN10" s="148">
        <v>1480</v>
      </c>
      <c r="DO10" s="148">
        <v>1430</v>
      </c>
      <c r="DP10" s="148">
        <v>1380</v>
      </c>
      <c r="DQ10" s="148">
        <v>1330</v>
      </c>
      <c r="DR10" s="148">
        <v>1280</v>
      </c>
      <c r="DS10" s="148">
        <v>1250</v>
      </c>
    </row>
    <row r="11" spans="1:123" ht="60" customHeight="1" thickBot="1">
      <c r="A11" s="281" t="s">
        <v>73</v>
      </c>
      <c r="B11" s="324"/>
      <c r="C11" s="324"/>
      <c r="D11" s="325"/>
      <c r="E11" s="296" t="s">
        <v>76</v>
      </c>
      <c r="F11" s="290"/>
      <c r="G11" s="293" t="s">
        <v>75</v>
      </c>
      <c r="H11" s="158">
        <v>13</v>
      </c>
      <c r="I11" s="155">
        <f>SUM(M11:DI11)</f>
        <v>16</v>
      </c>
      <c r="J11" s="81" t="s">
        <v>53</v>
      </c>
      <c r="K11" s="203">
        <f ca="1">TODAY()</f>
        <v>46264</v>
      </c>
      <c r="L11" s="206" t="s">
        <v>54</v>
      </c>
      <c r="M11" s="259"/>
      <c r="N11" s="166">
        <v>2</v>
      </c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>
        <v>5</v>
      </c>
      <c r="AW11" s="167">
        <v>1</v>
      </c>
      <c r="AX11" s="166"/>
      <c r="AY11" s="168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9"/>
      <c r="BQ11" s="170"/>
      <c r="BR11" s="171">
        <v>2</v>
      </c>
      <c r="BS11" s="171"/>
      <c r="BT11" s="171"/>
      <c r="BU11" s="171"/>
      <c r="BV11" s="171"/>
      <c r="BW11" s="171"/>
      <c r="BX11" s="171"/>
      <c r="BY11" s="171"/>
      <c r="BZ11" s="171"/>
      <c r="CA11" s="171"/>
      <c r="CB11" s="171">
        <v>2</v>
      </c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66"/>
      <c r="CO11" s="171"/>
      <c r="CP11" s="171"/>
      <c r="CQ11" s="171"/>
      <c r="CR11" s="171"/>
      <c r="CS11" s="171"/>
      <c r="CT11" s="171"/>
      <c r="CU11" s="171">
        <v>2</v>
      </c>
      <c r="CV11" s="167">
        <v>2</v>
      </c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72"/>
      <c r="DJ11" s="173"/>
      <c r="DK11" s="174"/>
      <c r="DL11" s="174"/>
      <c r="DM11" s="174"/>
      <c r="DN11" s="174"/>
      <c r="DO11" s="174"/>
      <c r="DP11" s="174"/>
      <c r="DQ11" s="174"/>
      <c r="DR11" s="174"/>
      <c r="DS11" s="175"/>
    </row>
    <row r="12" spans="1:123" ht="60" customHeight="1" thickBot="1">
      <c r="A12" s="282"/>
      <c r="B12" s="326"/>
      <c r="C12" s="326"/>
      <c r="D12" s="325"/>
      <c r="E12" s="297"/>
      <c r="F12" s="292"/>
      <c r="G12" s="294"/>
      <c r="H12" s="159">
        <v>13</v>
      </c>
      <c r="I12" s="155">
        <f>SUM(M12:DI12)</f>
        <v>16</v>
      </c>
      <c r="J12" s="81" t="s">
        <v>55</v>
      </c>
      <c r="K12" s="203"/>
      <c r="L12" s="206"/>
      <c r="M12" s="259"/>
      <c r="N12" s="166">
        <v>3</v>
      </c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>
        <v>5</v>
      </c>
      <c r="AW12" s="167"/>
      <c r="AX12" s="166"/>
      <c r="AY12" s="168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9"/>
      <c r="BQ12" s="170"/>
      <c r="BR12" s="169">
        <v>2</v>
      </c>
      <c r="BS12" s="169"/>
      <c r="BT12" s="166"/>
      <c r="BU12" s="166"/>
      <c r="BV12" s="166"/>
      <c r="BW12" s="166"/>
      <c r="BX12" s="166"/>
      <c r="BY12" s="166"/>
      <c r="BZ12" s="166"/>
      <c r="CA12" s="166"/>
      <c r="CB12" s="169">
        <v>2</v>
      </c>
      <c r="CC12" s="169"/>
      <c r="CD12" s="166"/>
      <c r="CE12" s="166"/>
      <c r="CF12" s="169"/>
      <c r="CG12" s="169"/>
      <c r="CH12" s="166"/>
      <c r="CI12" s="166"/>
      <c r="CJ12" s="166"/>
      <c r="CK12" s="166"/>
      <c r="CL12" s="166"/>
      <c r="CM12" s="166"/>
      <c r="CN12" s="166"/>
      <c r="CO12" s="166"/>
      <c r="CP12" s="166"/>
      <c r="CQ12" s="169"/>
      <c r="CR12" s="169"/>
      <c r="CS12" s="166"/>
      <c r="CT12" s="169"/>
      <c r="CU12" s="166">
        <v>2</v>
      </c>
      <c r="CV12" s="167">
        <v>2</v>
      </c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76"/>
      <c r="DJ12" s="177"/>
      <c r="DK12" s="166"/>
      <c r="DL12" s="166"/>
      <c r="DM12" s="166"/>
      <c r="DN12" s="166"/>
      <c r="DO12" s="166"/>
      <c r="DP12" s="166"/>
      <c r="DQ12" s="166"/>
      <c r="DR12" s="166"/>
      <c r="DS12" s="178"/>
    </row>
    <row r="13" spans="1:123" ht="60" customHeight="1" thickBot="1">
      <c r="A13" s="282"/>
      <c r="B13" s="326"/>
      <c r="C13" s="326"/>
      <c r="D13" s="325"/>
      <c r="E13" s="297"/>
      <c r="F13" s="327"/>
      <c r="G13" s="295"/>
      <c r="H13" s="159">
        <v>11</v>
      </c>
      <c r="I13" s="155">
        <f>SUM(M13:DI13)</f>
        <v>16</v>
      </c>
      <c r="J13" s="81" t="s">
        <v>56</v>
      </c>
      <c r="K13" s="203"/>
      <c r="L13" s="206"/>
      <c r="M13" s="259"/>
      <c r="N13" s="166">
        <v>3</v>
      </c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>
        <v>5</v>
      </c>
      <c r="AW13" s="179"/>
      <c r="AX13" s="166"/>
      <c r="AY13" s="168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9"/>
      <c r="BQ13" s="170"/>
      <c r="BR13" s="180">
        <v>2</v>
      </c>
      <c r="BS13" s="180"/>
      <c r="BT13" s="166"/>
      <c r="BU13" s="166"/>
      <c r="BV13" s="166"/>
      <c r="BW13" s="181"/>
      <c r="BX13" s="166"/>
      <c r="BY13" s="166"/>
      <c r="BZ13" s="166"/>
      <c r="CA13" s="166"/>
      <c r="CB13" s="180">
        <v>2</v>
      </c>
      <c r="CC13" s="180"/>
      <c r="CD13" s="166"/>
      <c r="CE13" s="166"/>
      <c r="CF13" s="180"/>
      <c r="CG13" s="180"/>
      <c r="CH13" s="166"/>
      <c r="CI13" s="166"/>
      <c r="CJ13" s="166"/>
      <c r="CK13" s="166"/>
      <c r="CL13" s="166"/>
      <c r="CM13" s="166"/>
      <c r="CN13" s="166"/>
      <c r="CO13" s="166"/>
      <c r="CP13" s="166"/>
      <c r="CQ13" s="180"/>
      <c r="CR13" s="180"/>
      <c r="CS13" s="166"/>
      <c r="CT13" s="180"/>
      <c r="CU13" s="166">
        <v>2</v>
      </c>
      <c r="CV13" s="167">
        <v>2</v>
      </c>
      <c r="CW13" s="181"/>
      <c r="CX13" s="181"/>
      <c r="CY13" s="181"/>
      <c r="CZ13" s="181"/>
      <c r="DA13" s="181"/>
      <c r="DB13" s="181"/>
      <c r="DC13" s="181"/>
      <c r="DD13" s="181"/>
      <c r="DE13" s="181"/>
      <c r="DF13" s="181"/>
      <c r="DG13" s="181"/>
      <c r="DH13" s="181"/>
      <c r="DI13" s="182"/>
      <c r="DJ13" s="177"/>
      <c r="DK13" s="166"/>
      <c r="DL13" s="166"/>
      <c r="DM13" s="166"/>
      <c r="DN13" s="166"/>
      <c r="DO13" s="181"/>
      <c r="DP13" s="166"/>
      <c r="DQ13" s="166"/>
      <c r="DR13" s="166"/>
      <c r="DS13" s="178"/>
    </row>
    <row r="14" spans="1:123" ht="60" customHeight="1" thickBot="1">
      <c r="A14" s="282"/>
      <c r="B14" s="326"/>
      <c r="C14" s="326"/>
      <c r="D14" s="325"/>
      <c r="E14" s="297"/>
      <c r="F14" s="269" t="s">
        <v>77</v>
      </c>
      <c r="G14" s="328"/>
      <c r="H14" s="159">
        <v>12</v>
      </c>
      <c r="I14" s="155">
        <f>SUM(M14:DI14)</f>
        <v>16</v>
      </c>
      <c r="J14" s="81" t="s">
        <v>57</v>
      </c>
      <c r="K14" s="203"/>
      <c r="L14" s="206"/>
      <c r="M14" s="259"/>
      <c r="N14" s="166">
        <v>3</v>
      </c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>
        <v>5</v>
      </c>
      <c r="AW14" s="179"/>
      <c r="AX14" s="166"/>
      <c r="AY14" s="168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9"/>
      <c r="BQ14" s="170"/>
      <c r="BR14" s="180">
        <v>2</v>
      </c>
      <c r="BS14" s="180"/>
      <c r="BT14" s="166"/>
      <c r="BU14" s="166"/>
      <c r="BV14" s="166"/>
      <c r="BW14" s="180"/>
      <c r="BX14" s="166"/>
      <c r="BY14" s="166"/>
      <c r="BZ14" s="166"/>
      <c r="CA14" s="166"/>
      <c r="CB14" s="180">
        <v>2</v>
      </c>
      <c r="CC14" s="180"/>
      <c r="CD14" s="180"/>
      <c r="CE14" s="166"/>
      <c r="CF14" s="180"/>
      <c r="CG14" s="180"/>
      <c r="CH14" s="166"/>
      <c r="CI14" s="166"/>
      <c r="CJ14" s="166"/>
      <c r="CK14" s="166"/>
      <c r="CL14" s="166"/>
      <c r="CM14" s="166"/>
      <c r="CN14" s="166"/>
      <c r="CO14" s="166"/>
      <c r="CP14" s="166"/>
      <c r="CQ14" s="180"/>
      <c r="CR14" s="180"/>
      <c r="CS14" s="166"/>
      <c r="CT14" s="180"/>
      <c r="CU14" s="166">
        <v>2</v>
      </c>
      <c r="CV14" s="167">
        <v>2</v>
      </c>
      <c r="CW14" s="181"/>
      <c r="CX14" s="181"/>
      <c r="CY14" s="181"/>
      <c r="CZ14" s="181"/>
      <c r="DA14" s="181"/>
      <c r="DB14" s="181"/>
      <c r="DC14" s="181"/>
      <c r="DD14" s="181"/>
      <c r="DE14" s="181"/>
      <c r="DF14" s="181"/>
      <c r="DG14" s="181"/>
      <c r="DH14" s="181"/>
      <c r="DI14" s="182"/>
      <c r="DJ14" s="177"/>
      <c r="DK14" s="166"/>
      <c r="DL14" s="166"/>
      <c r="DM14" s="166"/>
      <c r="DN14" s="166"/>
      <c r="DO14" s="181"/>
      <c r="DP14" s="166"/>
      <c r="DQ14" s="166"/>
      <c r="DR14" s="166"/>
      <c r="DS14" s="178"/>
    </row>
    <row r="15" spans="1:123" ht="60" customHeight="1" thickBot="1">
      <c r="A15" s="283"/>
      <c r="B15" s="326"/>
      <c r="C15" s="326"/>
      <c r="D15" s="325"/>
      <c r="E15" s="297"/>
      <c r="F15" s="270"/>
      <c r="G15" s="328"/>
      <c r="H15" s="159">
        <v>12</v>
      </c>
      <c r="I15" s="155">
        <f>SUM(M15:DI15)</f>
        <v>16</v>
      </c>
      <c r="J15" s="81" t="s">
        <v>58</v>
      </c>
      <c r="K15" s="203"/>
      <c r="L15" s="206"/>
      <c r="M15" s="259"/>
      <c r="N15" s="166">
        <v>2</v>
      </c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>
        <v>5</v>
      </c>
      <c r="AW15" s="179">
        <v>3</v>
      </c>
      <c r="AX15" s="166"/>
      <c r="AY15" s="168"/>
      <c r="AZ15" s="166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66"/>
      <c r="BP15" s="180"/>
      <c r="BQ15" s="170"/>
      <c r="BR15" s="180">
        <v>1</v>
      </c>
      <c r="BS15" s="180"/>
      <c r="BT15" s="181"/>
      <c r="BU15" s="166"/>
      <c r="BV15" s="181"/>
      <c r="BW15" s="180"/>
      <c r="BX15" s="181"/>
      <c r="BY15" s="181"/>
      <c r="BZ15" s="181"/>
      <c r="CA15" s="181"/>
      <c r="CB15" s="180">
        <v>2</v>
      </c>
      <c r="CC15" s="180"/>
      <c r="CD15" s="180"/>
      <c r="CE15" s="181"/>
      <c r="CF15" s="180"/>
      <c r="CG15" s="180"/>
      <c r="CH15" s="181"/>
      <c r="CI15" s="166"/>
      <c r="CJ15" s="181"/>
      <c r="CK15" s="181"/>
      <c r="CL15" s="181"/>
      <c r="CM15" s="181"/>
      <c r="CN15" s="181"/>
      <c r="CO15" s="181"/>
      <c r="CP15" s="181"/>
      <c r="CQ15" s="180"/>
      <c r="CR15" s="180"/>
      <c r="CS15" s="181"/>
      <c r="CT15" s="180"/>
      <c r="CU15" s="181">
        <v>2</v>
      </c>
      <c r="CV15" s="167">
        <v>1</v>
      </c>
      <c r="CW15" s="181"/>
      <c r="CX15" s="181"/>
      <c r="CY15" s="181"/>
      <c r="CZ15" s="181"/>
      <c r="DA15" s="181"/>
      <c r="DB15" s="181"/>
      <c r="DC15" s="181"/>
      <c r="DD15" s="181"/>
      <c r="DE15" s="181"/>
      <c r="DF15" s="181"/>
      <c r="DG15" s="181"/>
      <c r="DH15" s="181"/>
      <c r="DI15" s="182"/>
      <c r="DJ15" s="177"/>
      <c r="DK15" s="181"/>
      <c r="DL15" s="181"/>
      <c r="DM15" s="181"/>
      <c r="DN15" s="181"/>
      <c r="DO15" s="181"/>
      <c r="DP15" s="181"/>
      <c r="DQ15" s="181"/>
      <c r="DR15" s="181"/>
      <c r="DS15" s="183"/>
    </row>
    <row r="16" spans="1:123" ht="60" customHeight="1" thickBot="1">
      <c r="A16" s="329"/>
      <c r="B16" s="326"/>
      <c r="C16" s="326"/>
      <c r="D16" s="325"/>
      <c r="E16" s="297"/>
      <c r="F16" s="270"/>
      <c r="G16" s="328"/>
      <c r="H16" s="159">
        <v>8</v>
      </c>
      <c r="I16" s="155">
        <f>SUM(M16:DI16)</f>
        <v>16</v>
      </c>
      <c r="J16" s="81" t="s">
        <v>59</v>
      </c>
      <c r="K16" s="203"/>
      <c r="L16" s="206"/>
      <c r="M16" s="259"/>
      <c r="N16" s="166">
        <v>2</v>
      </c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>
        <v>5</v>
      </c>
      <c r="AW16" s="179">
        <v>3</v>
      </c>
      <c r="AX16" s="166"/>
      <c r="AY16" s="168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80"/>
      <c r="BQ16" s="170"/>
      <c r="BR16" s="180">
        <v>1</v>
      </c>
      <c r="BS16" s="180"/>
      <c r="BT16" s="181"/>
      <c r="BU16" s="166"/>
      <c r="BV16" s="181"/>
      <c r="BW16" s="180"/>
      <c r="BX16" s="181"/>
      <c r="BY16" s="181"/>
      <c r="BZ16" s="181"/>
      <c r="CA16" s="181"/>
      <c r="CB16" s="180">
        <v>2</v>
      </c>
      <c r="CC16" s="180"/>
      <c r="CD16" s="180"/>
      <c r="CE16" s="181"/>
      <c r="CF16" s="180"/>
      <c r="CG16" s="180"/>
      <c r="CH16" s="181"/>
      <c r="CI16" s="166"/>
      <c r="CJ16" s="181"/>
      <c r="CK16" s="181"/>
      <c r="CL16" s="181"/>
      <c r="CM16" s="181"/>
      <c r="CN16" s="181"/>
      <c r="CO16" s="181"/>
      <c r="CP16" s="181"/>
      <c r="CQ16" s="180"/>
      <c r="CR16" s="180"/>
      <c r="CS16" s="181"/>
      <c r="CT16" s="180"/>
      <c r="CU16" s="181">
        <v>2</v>
      </c>
      <c r="CV16" s="167">
        <v>1</v>
      </c>
      <c r="CW16" s="181"/>
      <c r="CX16" s="181"/>
      <c r="CY16" s="181"/>
      <c r="CZ16" s="181"/>
      <c r="DA16" s="181"/>
      <c r="DB16" s="181"/>
      <c r="DC16" s="181"/>
      <c r="DD16" s="181"/>
      <c r="DE16" s="181"/>
      <c r="DF16" s="181"/>
      <c r="DG16" s="181"/>
      <c r="DH16" s="181"/>
      <c r="DI16" s="182"/>
      <c r="DJ16" s="177"/>
      <c r="DK16" s="181"/>
      <c r="DL16" s="181"/>
      <c r="DM16" s="181"/>
      <c r="DN16" s="181"/>
      <c r="DO16" s="181"/>
      <c r="DP16" s="181"/>
      <c r="DQ16" s="181"/>
      <c r="DR16" s="181"/>
      <c r="DS16" s="183"/>
    </row>
    <row r="17" spans="1:123" ht="60" customHeight="1" thickBot="1">
      <c r="A17" s="330"/>
      <c r="B17" s="275" t="s">
        <v>78</v>
      </c>
      <c r="C17" s="276"/>
      <c r="D17" s="325"/>
      <c r="E17" s="297"/>
      <c r="F17" s="270"/>
      <c r="G17" s="328"/>
      <c r="H17" s="159">
        <v>14</v>
      </c>
      <c r="I17" s="155">
        <f t="shared" ref="I11:I34" si="0">SUM(M17:DI17)</f>
        <v>16</v>
      </c>
      <c r="J17" s="81" t="s">
        <v>60</v>
      </c>
      <c r="K17" s="209">
        <f ca="1">TODAY()</f>
        <v>46264</v>
      </c>
      <c r="L17" s="206"/>
      <c r="M17" s="82"/>
      <c r="N17" s="181">
        <v>2</v>
      </c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>
        <v>5</v>
      </c>
      <c r="AW17" s="179">
        <v>3</v>
      </c>
      <c r="AX17" s="181"/>
      <c r="AY17" s="184"/>
      <c r="AZ17" s="181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80"/>
      <c r="BQ17" s="170"/>
      <c r="BR17" s="181">
        <v>1</v>
      </c>
      <c r="BS17" s="181"/>
      <c r="BT17" s="181"/>
      <c r="BU17" s="181"/>
      <c r="BV17" s="181"/>
      <c r="BW17" s="181"/>
      <c r="BX17" s="181"/>
      <c r="BY17" s="181"/>
      <c r="BZ17" s="181"/>
      <c r="CA17" s="181"/>
      <c r="CB17" s="181">
        <v>2</v>
      </c>
      <c r="CC17" s="181"/>
      <c r="CD17" s="181"/>
      <c r="CE17" s="181"/>
      <c r="CF17" s="181"/>
      <c r="CG17" s="181"/>
      <c r="CH17" s="181"/>
      <c r="CI17" s="181"/>
      <c r="CJ17" s="181"/>
      <c r="CK17" s="181"/>
      <c r="CL17" s="181"/>
      <c r="CM17" s="181"/>
      <c r="CN17" s="181"/>
      <c r="CO17" s="181"/>
      <c r="CP17" s="181"/>
      <c r="CQ17" s="181"/>
      <c r="CR17" s="181"/>
      <c r="CS17" s="181"/>
      <c r="CT17" s="181"/>
      <c r="CU17" s="181">
        <v>2</v>
      </c>
      <c r="CV17" s="167">
        <v>1</v>
      </c>
      <c r="CW17" s="181"/>
      <c r="CX17" s="181"/>
      <c r="CY17" s="181"/>
      <c r="CZ17" s="181"/>
      <c r="DA17" s="181"/>
      <c r="DB17" s="181"/>
      <c r="DC17" s="181"/>
      <c r="DD17" s="181"/>
      <c r="DE17" s="181"/>
      <c r="DF17" s="181"/>
      <c r="DG17" s="181"/>
      <c r="DH17" s="181"/>
      <c r="DI17" s="182"/>
      <c r="DJ17" s="177"/>
      <c r="DK17" s="181"/>
      <c r="DL17" s="181"/>
      <c r="DM17" s="181"/>
      <c r="DN17" s="181"/>
      <c r="DO17" s="181"/>
      <c r="DP17" s="181"/>
      <c r="DQ17" s="181"/>
      <c r="DR17" s="181"/>
      <c r="DS17" s="183"/>
    </row>
    <row r="18" spans="1:123" ht="60" customHeight="1" thickBot="1">
      <c r="A18" s="330"/>
      <c r="B18" s="277"/>
      <c r="C18" s="278"/>
      <c r="D18" s="325"/>
      <c r="E18" s="297"/>
      <c r="F18" s="270"/>
      <c r="G18" s="328"/>
      <c r="H18" s="159">
        <v>14</v>
      </c>
      <c r="I18" s="155">
        <f t="shared" si="0"/>
        <v>16</v>
      </c>
      <c r="J18" s="81" t="s">
        <v>61</v>
      </c>
      <c r="K18" s="209"/>
      <c r="L18" s="206"/>
      <c r="M18" s="82"/>
      <c r="N18" s="181">
        <v>2</v>
      </c>
      <c r="O18" s="181"/>
      <c r="P18" s="181"/>
      <c r="Q18" s="166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>
        <v>5</v>
      </c>
      <c r="AW18" s="179">
        <v>3</v>
      </c>
      <c r="AX18" s="181"/>
      <c r="AY18" s="184"/>
      <c r="AZ18" s="181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80"/>
      <c r="BQ18" s="170"/>
      <c r="BR18" s="181">
        <v>1</v>
      </c>
      <c r="BS18" s="181"/>
      <c r="BT18" s="181"/>
      <c r="BU18" s="181"/>
      <c r="BV18" s="181"/>
      <c r="BW18" s="181"/>
      <c r="BX18" s="181"/>
      <c r="BY18" s="181"/>
      <c r="BZ18" s="181"/>
      <c r="CA18" s="181"/>
      <c r="CB18" s="181">
        <v>2</v>
      </c>
      <c r="CC18" s="181"/>
      <c r="CD18" s="181"/>
      <c r="CE18" s="181"/>
      <c r="CF18" s="181"/>
      <c r="CG18" s="181"/>
      <c r="CH18" s="181"/>
      <c r="CI18" s="181"/>
      <c r="CJ18" s="181"/>
      <c r="CK18" s="181"/>
      <c r="CL18" s="181"/>
      <c r="CM18" s="181"/>
      <c r="CN18" s="181"/>
      <c r="CO18" s="181"/>
      <c r="CP18" s="181"/>
      <c r="CQ18" s="181"/>
      <c r="CR18" s="181"/>
      <c r="CS18" s="181"/>
      <c r="CT18" s="181"/>
      <c r="CU18" s="181">
        <v>2</v>
      </c>
      <c r="CV18" s="167">
        <v>1</v>
      </c>
      <c r="CW18" s="181"/>
      <c r="CX18" s="181"/>
      <c r="CY18" s="181"/>
      <c r="CZ18" s="181"/>
      <c r="DA18" s="181"/>
      <c r="DB18" s="181"/>
      <c r="DC18" s="181"/>
      <c r="DD18" s="181"/>
      <c r="DE18" s="181"/>
      <c r="DF18" s="181"/>
      <c r="DG18" s="181"/>
      <c r="DH18" s="181"/>
      <c r="DI18" s="182"/>
      <c r="DJ18" s="177"/>
      <c r="DK18" s="181"/>
      <c r="DL18" s="181"/>
      <c r="DM18" s="181"/>
      <c r="DN18" s="181"/>
      <c r="DO18" s="181"/>
      <c r="DP18" s="181"/>
      <c r="DQ18" s="181"/>
      <c r="DR18" s="181"/>
      <c r="DS18" s="183"/>
    </row>
    <row r="19" spans="1:123" ht="60" customHeight="1" thickBot="1">
      <c r="A19" s="330"/>
      <c r="B19" s="277"/>
      <c r="C19" s="278"/>
      <c r="D19" s="325"/>
      <c r="E19" s="297"/>
      <c r="F19" s="270"/>
      <c r="G19" s="328"/>
      <c r="H19" s="159">
        <v>14</v>
      </c>
      <c r="I19" s="155">
        <f t="shared" si="0"/>
        <v>16</v>
      </c>
      <c r="J19" s="81" t="s">
        <v>62</v>
      </c>
      <c r="K19" s="209"/>
      <c r="L19" s="206"/>
      <c r="M19" s="82"/>
      <c r="N19" s="181">
        <v>2</v>
      </c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>
        <v>4</v>
      </c>
      <c r="AW19" s="179">
        <v>4</v>
      </c>
      <c r="AX19" s="181"/>
      <c r="AY19" s="184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66"/>
      <c r="BP19" s="180"/>
      <c r="BQ19" s="170"/>
      <c r="BR19" s="181">
        <v>1</v>
      </c>
      <c r="BS19" s="181"/>
      <c r="BT19" s="181"/>
      <c r="BU19" s="181"/>
      <c r="BV19" s="181"/>
      <c r="BW19" s="181"/>
      <c r="BX19" s="181"/>
      <c r="BY19" s="181"/>
      <c r="BZ19" s="181"/>
      <c r="CA19" s="181"/>
      <c r="CB19" s="181">
        <v>2</v>
      </c>
      <c r="CC19" s="181"/>
      <c r="CD19" s="181"/>
      <c r="CE19" s="181"/>
      <c r="CF19" s="181"/>
      <c r="CG19" s="181"/>
      <c r="CH19" s="181"/>
      <c r="CI19" s="181"/>
      <c r="CJ19" s="181"/>
      <c r="CK19" s="181"/>
      <c r="CL19" s="181"/>
      <c r="CM19" s="181"/>
      <c r="CN19" s="181"/>
      <c r="CO19" s="181"/>
      <c r="CP19" s="181"/>
      <c r="CQ19" s="181"/>
      <c r="CR19" s="181"/>
      <c r="CS19" s="181"/>
      <c r="CT19" s="181"/>
      <c r="CU19" s="181">
        <v>2</v>
      </c>
      <c r="CV19" s="167">
        <v>1</v>
      </c>
      <c r="CW19" s="181"/>
      <c r="CX19" s="181"/>
      <c r="CY19" s="181"/>
      <c r="CZ19" s="181"/>
      <c r="DA19" s="181"/>
      <c r="DB19" s="181"/>
      <c r="DC19" s="181"/>
      <c r="DD19" s="181"/>
      <c r="DE19" s="181"/>
      <c r="DF19" s="181"/>
      <c r="DG19" s="181"/>
      <c r="DH19" s="181"/>
      <c r="DI19" s="182"/>
      <c r="DJ19" s="177"/>
      <c r="DK19" s="181"/>
      <c r="DL19" s="181"/>
      <c r="DM19" s="181"/>
      <c r="DN19" s="181"/>
      <c r="DO19" s="181"/>
      <c r="DP19" s="181"/>
      <c r="DQ19" s="181"/>
      <c r="DR19" s="181"/>
      <c r="DS19" s="183"/>
    </row>
    <row r="20" spans="1:123" ht="60" customHeight="1" thickBot="1">
      <c r="A20" s="330"/>
      <c r="B20" s="277"/>
      <c r="C20" s="278"/>
      <c r="D20" s="325"/>
      <c r="E20" s="297"/>
      <c r="F20" s="270"/>
      <c r="G20" s="328"/>
      <c r="H20" s="159">
        <v>14</v>
      </c>
      <c r="I20" s="155">
        <f t="shared" si="0"/>
        <v>16</v>
      </c>
      <c r="J20" s="81" t="s">
        <v>63</v>
      </c>
      <c r="K20" s="209"/>
      <c r="L20" s="206"/>
      <c r="M20" s="82"/>
      <c r="N20" s="185">
        <v>2</v>
      </c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>
        <v>4</v>
      </c>
      <c r="AW20" s="186">
        <v>4</v>
      </c>
      <c r="AX20" s="185"/>
      <c r="AY20" s="187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66"/>
      <c r="BP20" s="188"/>
      <c r="BQ20" s="170"/>
      <c r="BR20" s="185">
        <v>1</v>
      </c>
      <c r="BS20" s="185"/>
      <c r="BT20" s="185"/>
      <c r="BU20" s="185"/>
      <c r="BV20" s="185"/>
      <c r="BW20" s="185"/>
      <c r="BX20" s="185"/>
      <c r="BY20" s="185"/>
      <c r="BZ20" s="185"/>
      <c r="CA20" s="181"/>
      <c r="CB20" s="185">
        <v>2</v>
      </c>
      <c r="CC20" s="185"/>
      <c r="CD20" s="185"/>
      <c r="CE20" s="185"/>
      <c r="CF20" s="185"/>
      <c r="CG20" s="185"/>
      <c r="CH20" s="185"/>
      <c r="CI20" s="185"/>
      <c r="CJ20" s="185"/>
      <c r="CK20" s="185"/>
      <c r="CL20" s="185"/>
      <c r="CM20" s="185"/>
      <c r="CN20" s="185"/>
      <c r="CO20" s="185"/>
      <c r="CP20" s="185"/>
      <c r="CQ20" s="185"/>
      <c r="CR20" s="185"/>
      <c r="CS20" s="185"/>
      <c r="CT20" s="185"/>
      <c r="CU20" s="185">
        <v>1</v>
      </c>
      <c r="CV20" s="167">
        <v>2</v>
      </c>
      <c r="CW20" s="185"/>
      <c r="CX20" s="185"/>
      <c r="CY20" s="185"/>
      <c r="CZ20" s="185"/>
      <c r="DA20" s="185"/>
      <c r="DB20" s="185"/>
      <c r="DC20" s="185"/>
      <c r="DD20" s="185"/>
      <c r="DE20" s="185"/>
      <c r="DF20" s="185"/>
      <c r="DG20" s="185"/>
      <c r="DH20" s="185"/>
      <c r="DI20" s="189"/>
      <c r="DJ20" s="190"/>
      <c r="DK20" s="185"/>
      <c r="DL20" s="185"/>
      <c r="DM20" s="185"/>
      <c r="DN20" s="185"/>
      <c r="DO20" s="185"/>
      <c r="DP20" s="185"/>
      <c r="DQ20" s="185"/>
      <c r="DR20" s="185"/>
      <c r="DS20" s="183"/>
    </row>
    <row r="21" spans="1:123" ht="60" customHeight="1" thickBot="1">
      <c r="A21" s="330"/>
      <c r="B21" s="277"/>
      <c r="C21" s="278"/>
      <c r="D21" s="325"/>
      <c r="E21" s="297"/>
      <c r="F21" s="270"/>
      <c r="G21" s="328"/>
      <c r="H21" s="159">
        <v>14</v>
      </c>
      <c r="I21" s="155">
        <f t="shared" si="0"/>
        <v>16</v>
      </c>
      <c r="J21" s="81" t="s">
        <v>66</v>
      </c>
      <c r="K21" s="209"/>
      <c r="L21" s="206"/>
      <c r="M21" s="82"/>
      <c r="N21" s="185">
        <v>2</v>
      </c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>
        <v>2</v>
      </c>
      <c r="AW21" s="186">
        <v>5</v>
      </c>
      <c r="AX21" s="185"/>
      <c r="AY21" s="187"/>
      <c r="AZ21" s="185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66"/>
      <c r="BP21" s="188"/>
      <c r="BQ21" s="170"/>
      <c r="BR21" s="185">
        <v>1</v>
      </c>
      <c r="BS21" s="185"/>
      <c r="BT21" s="185"/>
      <c r="BU21" s="185"/>
      <c r="BV21" s="185"/>
      <c r="BW21" s="185"/>
      <c r="BX21" s="185"/>
      <c r="BY21" s="185"/>
      <c r="BZ21" s="185"/>
      <c r="CA21" s="185"/>
      <c r="CB21" s="185">
        <v>3</v>
      </c>
      <c r="CC21" s="185"/>
      <c r="CD21" s="185"/>
      <c r="CE21" s="185"/>
      <c r="CF21" s="185"/>
      <c r="CG21" s="185"/>
      <c r="CH21" s="185"/>
      <c r="CI21" s="185"/>
      <c r="CJ21" s="185"/>
      <c r="CK21" s="185"/>
      <c r="CL21" s="185"/>
      <c r="CM21" s="185"/>
      <c r="CN21" s="185"/>
      <c r="CO21" s="185"/>
      <c r="CP21" s="185"/>
      <c r="CQ21" s="185"/>
      <c r="CR21" s="185"/>
      <c r="CS21" s="185"/>
      <c r="CT21" s="185"/>
      <c r="CU21" s="185">
        <v>1</v>
      </c>
      <c r="CV21" s="167">
        <v>2</v>
      </c>
      <c r="CW21" s="185"/>
      <c r="CX21" s="185"/>
      <c r="CY21" s="185"/>
      <c r="CZ21" s="185"/>
      <c r="DA21" s="185"/>
      <c r="DB21" s="185"/>
      <c r="DC21" s="185"/>
      <c r="DD21" s="185"/>
      <c r="DE21" s="185"/>
      <c r="DF21" s="185"/>
      <c r="DG21" s="185"/>
      <c r="DH21" s="185"/>
      <c r="DI21" s="189"/>
      <c r="DJ21" s="190"/>
      <c r="DK21" s="185"/>
      <c r="DL21" s="185"/>
      <c r="DM21" s="185"/>
      <c r="DN21" s="185"/>
      <c r="DO21" s="185"/>
      <c r="DP21" s="185"/>
      <c r="DQ21" s="185"/>
      <c r="DR21" s="185"/>
      <c r="DS21" s="183"/>
    </row>
    <row r="22" spans="1:123" ht="60" customHeight="1" thickBot="1">
      <c r="A22" s="330"/>
      <c r="B22" s="277"/>
      <c r="C22" s="278"/>
      <c r="D22" s="325"/>
      <c r="E22" s="298"/>
      <c r="F22" s="270"/>
      <c r="G22" s="328"/>
      <c r="H22" s="160">
        <v>14</v>
      </c>
      <c r="I22" s="155">
        <f t="shared" si="0"/>
        <v>16</v>
      </c>
      <c r="J22" s="81" t="s">
        <v>67</v>
      </c>
      <c r="K22" s="209"/>
      <c r="L22" s="206"/>
      <c r="M22" s="82"/>
      <c r="N22" s="191">
        <v>2</v>
      </c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>
        <v>2</v>
      </c>
      <c r="AW22" s="192">
        <v>5</v>
      </c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3"/>
      <c r="BQ22" s="170"/>
      <c r="BR22" s="191">
        <v>1</v>
      </c>
      <c r="BS22" s="191"/>
      <c r="BT22" s="191"/>
      <c r="BU22" s="191"/>
      <c r="BV22" s="191"/>
      <c r="BW22" s="191"/>
      <c r="BX22" s="191"/>
      <c r="BY22" s="191"/>
      <c r="BZ22" s="191"/>
      <c r="CA22" s="191"/>
      <c r="CB22" s="191">
        <v>3</v>
      </c>
      <c r="CC22" s="191"/>
      <c r="CD22" s="191"/>
      <c r="CE22" s="191"/>
      <c r="CF22" s="191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>
        <v>1</v>
      </c>
      <c r="CV22" s="192">
        <v>2</v>
      </c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4"/>
      <c r="DJ22" s="195"/>
      <c r="DK22" s="191"/>
      <c r="DL22" s="191"/>
      <c r="DM22" s="191"/>
      <c r="DN22" s="191"/>
      <c r="DO22" s="191"/>
      <c r="DP22" s="191"/>
      <c r="DQ22" s="191"/>
      <c r="DR22" s="191"/>
      <c r="DS22" s="196"/>
    </row>
    <row r="23" spans="1:123" ht="60" customHeight="1" thickBot="1">
      <c r="A23" s="330"/>
      <c r="B23" s="277"/>
      <c r="C23" s="278"/>
      <c r="D23" s="325"/>
      <c r="E23" s="299" t="s">
        <v>79</v>
      </c>
      <c r="F23" s="270"/>
      <c r="G23" s="328"/>
      <c r="H23" s="158">
        <v>13</v>
      </c>
      <c r="I23" s="155">
        <f t="shared" si="0"/>
        <v>16</v>
      </c>
      <c r="J23" s="81" t="s">
        <v>53</v>
      </c>
      <c r="K23" s="203">
        <f ca="1">+K29</f>
        <v>46265</v>
      </c>
      <c r="L23" s="206" t="s">
        <v>54</v>
      </c>
      <c r="M23" s="82"/>
      <c r="N23" s="166">
        <v>2</v>
      </c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>
        <v>2</v>
      </c>
      <c r="AW23" s="167">
        <v>5</v>
      </c>
      <c r="AX23" s="166"/>
      <c r="AY23" s="168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9"/>
      <c r="BQ23" s="170"/>
      <c r="BR23" s="171">
        <v>1</v>
      </c>
      <c r="BS23" s="171"/>
      <c r="BT23" s="171"/>
      <c r="BU23" s="171"/>
      <c r="BV23" s="171"/>
      <c r="BW23" s="171"/>
      <c r="BX23" s="171"/>
      <c r="BY23" s="171"/>
      <c r="BZ23" s="171"/>
      <c r="CA23" s="171"/>
      <c r="CB23" s="171">
        <v>3</v>
      </c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66"/>
      <c r="CO23" s="171"/>
      <c r="CP23" s="171"/>
      <c r="CQ23" s="171"/>
      <c r="CR23" s="171"/>
      <c r="CS23" s="171"/>
      <c r="CT23" s="171"/>
      <c r="CU23" s="171">
        <v>1</v>
      </c>
      <c r="CV23" s="167">
        <v>2</v>
      </c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72"/>
      <c r="DJ23" s="173"/>
      <c r="DK23" s="174"/>
      <c r="DL23" s="174"/>
      <c r="DM23" s="174"/>
      <c r="DN23" s="174"/>
      <c r="DO23" s="174"/>
      <c r="DP23" s="174"/>
      <c r="DQ23" s="174"/>
      <c r="DR23" s="174"/>
      <c r="DS23" s="175"/>
    </row>
    <row r="24" spans="1:123" ht="60" customHeight="1" thickBot="1">
      <c r="A24" s="330"/>
      <c r="B24" s="277"/>
      <c r="C24" s="278"/>
      <c r="D24" s="325"/>
      <c r="E24" s="300"/>
      <c r="F24" s="270"/>
      <c r="G24" s="328"/>
      <c r="H24" s="159">
        <v>13</v>
      </c>
      <c r="I24" s="155">
        <f t="shared" si="0"/>
        <v>16</v>
      </c>
      <c r="J24" s="81" t="s">
        <v>55</v>
      </c>
      <c r="K24" s="203"/>
      <c r="L24" s="206"/>
      <c r="M24" s="82"/>
      <c r="N24" s="166">
        <v>2</v>
      </c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>
        <v>2</v>
      </c>
      <c r="AW24" s="167">
        <v>5</v>
      </c>
      <c r="AX24" s="166"/>
      <c r="AY24" s="168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9"/>
      <c r="BQ24" s="170"/>
      <c r="BR24" s="169">
        <v>1</v>
      </c>
      <c r="BS24" s="169"/>
      <c r="BT24" s="166"/>
      <c r="BU24" s="166"/>
      <c r="BV24" s="166"/>
      <c r="BW24" s="166"/>
      <c r="BX24" s="166"/>
      <c r="BY24" s="166"/>
      <c r="BZ24" s="166"/>
      <c r="CA24" s="166"/>
      <c r="CB24" s="169">
        <v>3</v>
      </c>
      <c r="CC24" s="169"/>
      <c r="CD24" s="166"/>
      <c r="CE24" s="166"/>
      <c r="CF24" s="169"/>
      <c r="CG24" s="169"/>
      <c r="CH24" s="166"/>
      <c r="CI24" s="166"/>
      <c r="CJ24" s="166"/>
      <c r="CK24" s="166"/>
      <c r="CL24" s="166"/>
      <c r="CM24" s="166"/>
      <c r="CN24" s="166"/>
      <c r="CO24" s="166"/>
      <c r="CP24" s="166"/>
      <c r="CQ24" s="169"/>
      <c r="CR24" s="169"/>
      <c r="CS24" s="166"/>
      <c r="CT24" s="169"/>
      <c r="CU24" s="166">
        <v>1</v>
      </c>
      <c r="CV24" s="167">
        <v>2</v>
      </c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76"/>
      <c r="DJ24" s="177"/>
      <c r="DK24" s="166"/>
      <c r="DL24" s="166"/>
      <c r="DM24" s="166"/>
      <c r="DN24" s="166"/>
      <c r="DO24" s="166"/>
      <c r="DP24" s="166"/>
      <c r="DQ24" s="166"/>
      <c r="DR24" s="166"/>
      <c r="DS24" s="178"/>
    </row>
    <row r="25" spans="1:123" ht="60" customHeight="1" thickBot="1">
      <c r="A25" s="330"/>
      <c r="B25" s="277"/>
      <c r="C25" s="278"/>
      <c r="D25" s="325"/>
      <c r="E25" s="300"/>
      <c r="F25" s="270"/>
      <c r="G25" s="328"/>
      <c r="H25" s="159">
        <v>10</v>
      </c>
      <c r="I25" s="155">
        <f t="shared" si="0"/>
        <v>16</v>
      </c>
      <c r="J25" s="81" t="s">
        <v>56</v>
      </c>
      <c r="K25" s="203"/>
      <c r="L25" s="206"/>
      <c r="M25" s="82"/>
      <c r="N25" s="166">
        <v>2</v>
      </c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>
        <v>2</v>
      </c>
      <c r="AW25" s="179">
        <v>4</v>
      </c>
      <c r="AX25" s="166"/>
      <c r="AY25" s="168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9"/>
      <c r="BQ25" s="170"/>
      <c r="BR25" s="180">
        <v>2</v>
      </c>
      <c r="BS25" s="180"/>
      <c r="BT25" s="166"/>
      <c r="BU25" s="166"/>
      <c r="BV25" s="166"/>
      <c r="BW25" s="181"/>
      <c r="BX25" s="166"/>
      <c r="BY25" s="166"/>
      <c r="BZ25" s="166"/>
      <c r="CA25" s="166"/>
      <c r="CB25" s="180">
        <v>3</v>
      </c>
      <c r="CC25" s="180"/>
      <c r="CD25" s="166"/>
      <c r="CE25" s="166"/>
      <c r="CF25" s="180"/>
      <c r="CG25" s="180"/>
      <c r="CH25" s="166"/>
      <c r="CI25" s="166"/>
      <c r="CJ25" s="166"/>
      <c r="CK25" s="166"/>
      <c r="CL25" s="166"/>
      <c r="CM25" s="166"/>
      <c r="CN25" s="166"/>
      <c r="CO25" s="166"/>
      <c r="CP25" s="166"/>
      <c r="CQ25" s="180"/>
      <c r="CR25" s="180"/>
      <c r="CS25" s="166"/>
      <c r="CT25" s="180"/>
      <c r="CU25" s="166">
        <v>1</v>
      </c>
      <c r="CV25" s="167">
        <v>2</v>
      </c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  <c r="DH25" s="181"/>
      <c r="DI25" s="182"/>
      <c r="DJ25" s="177"/>
      <c r="DK25" s="166"/>
      <c r="DL25" s="166"/>
      <c r="DM25" s="166"/>
      <c r="DN25" s="166"/>
      <c r="DO25" s="181"/>
      <c r="DP25" s="166"/>
      <c r="DQ25" s="166"/>
      <c r="DR25" s="166"/>
      <c r="DS25" s="178"/>
    </row>
    <row r="26" spans="1:123" ht="60" customHeight="1" thickBot="1">
      <c r="A26" s="330"/>
      <c r="B26" s="277"/>
      <c r="C26" s="278"/>
      <c r="D26" s="325"/>
      <c r="E26" s="300"/>
      <c r="F26" s="270"/>
      <c r="G26" s="328"/>
      <c r="H26" s="159">
        <v>10</v>
      </c>
      <c r="I26" s="155">
        <f t="shared" si="0"/>
        <v>16</v>
      </c>
      <c r="J26" s="81" t="s">
        <v>57</v>
      </c>
      <c r="K26" s="203"/>
      <c r="L26" s="206"/>
      <c r="M26" s="82"/>
      <c r="N26" s="166">
        <v>2</v>
      </c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>
        <v>2</v>
      </c>
      <c r="AW26" s="179">
        <v>4</v>
      </c>
      <c r="AX26" s="166"/>
      <c r="AY26" s="168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9"/>
      <c r="BQ26" s="170"/>
      <c r="BR26" s="180">
        <v>2</v>
      </c>
      <c r="BS26" s="180"/>
      <c r="BT26" s="166"/>
      <c r="BU26" s="166"/>
      <c r="BV26" s="166"/>
      <c r="BW26" s="180"/>
      <c r="BX26" s="166"/>
      <c r="BY26" s="166"/>
      <c r="BZ26" s="166"/>
      <c r="CA26" s="166"/>
      <c r="CB26" s="180">
        <v>3</v>
      </c>
      <c r="CC26" s="180"/>
      <c r="CD26" s="180"/>
      <c r="CE26" s="166"/>
      <c r="CF26" s="180"/>
      <c r="CG26" s="180"/>
      <c r="CH26" s="166"/>
      <c r="CI26" s="166"/>
      <c r="CJ26" s="166"/>
      <c r="CK26" s="166"/>
      <c r="CL26" s="166"/>
      <c r="CM26" s="166"/>
      <c r="CN26" s="166"/>
      <c r="CO26" s="166"/>
      <c r="CP26" s="166"/>
      <c r="CQ26" s="180"/>
      <c r="CR26" s="180"/>
      <c r="CS26" s="166"/>
      <c r="CT26" s="180"/>
      <c r="CU26" s="166">
        <v>1</v>
      </c>
      <c r="CV26" s="167">
        <v>2</v>
      </c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  <c r="DH26" s="181"/>
      <c r="DI26" s="182"/>
      <c r="DJ26" s="177"/>
      <c r="DK26" s="166"/>
      <c r="DL26" s="166"/>
      <c r="DM26" s="166"/>
      <c r="DN26" s="166"/>
      <c r="DO26" s="181"/>
      <c r="DP26" s="166"/>
      <c r="DQ26" s="166"/>
      <c r="DR26" s="166"/>
      <c r="DS26" s="178"/>
    </row>
    <row r="27" spans="1:123" ht="60" customHeight="1" thickBot="1">
      <c r="A27" s="317" t="s">
        <v>80</v>
      </c>
      <c r="B27" s="277"/>
      <c r="C27" s="278"/>
      <c r="D27" s="325"/>
      <c r="E27" s="300"/>
      <c r="F27" s="270"/>
      <c r="G27" s="331"/>
      <c r="H27" s="159">
        <v>10</v>
      </c>
      <c r="I27" s="155">
        <f t="shared" si="0"/>
        <v>16</v>
      </c>
      <c r="J27" s="81" t="s">
        <v>58</v>
      </c>
      <c r="K27" s="203"/>
      <c r="L27" s="206"/>
      <c r="M27" s="82"/>
      <c r="N27" s="166">
        <v>2</v>
      </c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>
        <v>2</v>
      </c>
      <c r="AW27" s="179">
        <v>4</v>
      </c>
      <c r="AX27" s="166"/>
      <c r="AY27" s="168"/>
      <c r="AZ27" s="166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66"/>
      <c r="BP27" s="180"/>
      <c r="BQ27" s="170"/>
      <c r="BR27" s="180">
        <v>2</v>
      </c>
      <c r="BS27" s="180"/>
      <c r="BT27" s="181"/>
      <c r="BU27" s="166"/>
      <c r="BV27" s="181"/>
      <c r="BW27" s="180"/>
      <c r="BX27" s="181"/>
      <c r="BY27" s="181"/>
      <c r="BZ27" s="181"/>
      <c r="CA27" s="181"/>
      <c r="CB27" s="180">
        <v>3</v>
      </c>
      <c r="CC27" s="180"/>
      <c r="CD27" s="180"/>
      <c r="CE27" s="181"/>
      <c r="CF27" s="180"/>
      <c r="CG27" s="180"/>
      <c r="CH27" s="181"/>
      <c r="CI27" s="166"/>
      <c r="CJ27" s="181"/>
      <c r="CK27" s="181"/>
      <c r="CL27" s="181"/>
      <c r="CM27" s="181"/>
      <c r="CN27" s="181"/>
      <c r="CO27" s="181"/>
      <c r="CP27" s="181"/>
      <c r="CQ27" s="180"/>
      <c r="CR27" s="180"/>
      <c r="CS27" s="181"/>
      <c r="CT27" s="180"/>
      <c r="CU27" s="181">
        <v>1</v>
      </c>
      <c r="CV27" s="167">
        <v>2</v>
      </c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  <c r="DH27" s="181"/>
      <c r="DI27" s="182"/>
      <c r="DJ27" s="177"/>
      <c r="DK27" s="181"/>
      <c r="DL27" s="181"/>
      <c r="DM27" s="181"/>
      <c r="DN27" s="181"/>
      <c r="DO27" s="181"/>
      <c r="DP27" s="181"/>
      <c r="DQ27" s="181"/>
      <c r="DR27" s="181"/>
      <c r="DS27" s="183"/>
    </row>
    <row r="28" spans="1:123" ht="60" customHeight="1" thickBot="1">
      <c r="A28" s="318"/>
      <c r="B28" s="277"/>
      <c r="C28" s="278"/>
      <c r="D28" s="325"/>
      <c r="E28" s="300"/>
      <c r="F28" s="270"/>
      <c r="G28" s="328"/>
      <c r="H28" s="159">
        <v>14</v>
      </c>
      <c r="I28" s="155">
        <f t="shared" si="0"/>
        <v>16</v>
      </c>
      <c r="J28" s="81" t="s">
        <v>59</v>
      </c>
      <c r="K28" s="203"/>
      <c r="L28" s="206"/>
      <c r="M28" s="82"/>
      <c r="N28" s="166">
        <v>2</v>
      </c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>
        <v>2</v>
      </c>
      <c r="AW28" s="179">
        <v>4</v>
      </c>
      <c r="AX28" s="166"/>
      <c r="AY28" s="168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80"/>
      <c r="BQ28" s="170"/>
      <c r="BR28" s="180">
        <v>2</v>
      </c>
      <c r="BS28" s="180"/>
      <c r="BT28" s="181"/>
      <c r="BU28" s="166"/>
      <c r="BV28" s="181"/>
      <c r="BW28" s="180"/>
      <c r="BX28" s="181"/>
      <c r="BY28" s="181"/>
      <c r="BZ28" s="181"/>
      <c r="CA28" s="181"/>
      <c r="CB28" s="180">
        <v>3</v>
      </c>
      <c r="CC28" s="180"/>
      <c r="CD28" s="180"/>
      <c r="CE28" s="181"/>
      <c r="CF28" s="180"/>
      <c r="CG28" s="180"/>
      <c r="CH28" s="181"/>
      <c r="CI28" s="166"/>
      <c r="CJ28" s="181"/>
      <c r="CK28" s="181"/>
      <c r="CL28" s="181"/>
      <c r="CM28" s="181"/>
      <c r="CN28" s="181"/>
      <c r="CO28" s="181"/>
      <c r="CP28" s="181"/>
      <c r="CQ28" s="180"/>
      <c r="CR28" s="180"/>
      <c r="CS28" s="181"/>
      <c r="CT28" s="180"/>
      <c r="CU28" s="181">
        <v>1</v>
      </c>
      <c r="CV28" s="167">
        <v>2</v>
      </c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182"/>
      <c r="DJ28" s="177"/>
      <c r="DK28" s="181"/>
      <c r="DL28" s="181"/>
      <c r="DM28" s="181"/>
      <c r="DN28" s="181"/>
      <c r="DO28" s="181"/>
      <c r="DP28" s="181"/>
      <c r="DQ28" s="181"/>
      <c r="DR28" s="181"/>
      <c r="DS28" s="183"/>
    </row>
    <row r="29" spans="1:123" ht="60" customHeight="1" thickBot="1">
      <c r="A29" s="318"/>
      <c r="B29" s="277"/>
      <c r="C29" s="278"/>
      <c r="D29" s="325"/>
      <c r="E29" s="300"/>
      <c r="F29" s="270"/>
      <c r="G29" s="328"/>
      <c r="H29" s="159">
        <v>14</v>
      </c>
      <c r="I29" s="155">
        <f t="shared" si="0"/>
        <v>16</v>
      </c>
      <c r="J29" s="81" t="s">
        <v>60</v>
      </c>
      <c r="K29" s="209">
        <f ca="1">K17+1</f>
        <v>46265</v>
      </c>
      <c r="L29" s="206"/>
      <c r="M29" s="82"/>
      <c r="N29" s="181">
        <v>2</v>
      </c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>
        <v>2</v>
      </c>
      <c r="AW29" s="179">
        <v>4</v>
      </c>
      <c r="AX29" s="181"/>
      <c r="AY29" s="184"/>
      <c r="AZ29" s="181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80"/>
      <c r="BQ29" s="170"/>
      <c r="BR29" s="181">
        <v>2</v>
      </c>
      <c r="BS29" s="181"/>
      <c r="BT29" s="181"/>
      <c r="BU29" s="181"/>
      <c r="BV29" s="181"/>
      <c r="BW29" s="181"/>
      <c r="BX29" s="181"/>
      <c r="BY29" s="181"/>
      <c r="BZ29" s="181"/>
      <c r="CA29" s="181"/>
      <c r="CB29" s="181">
        <v>3</v>
      </c>
      <c r="CC29" s="181"/>
      <c r="CD29" s="181"/>
      <c r="CE29" s="181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>
        <v>1</v>
      </c>
      <c r="CV29" s="167">
        <v>2</v>
      </c>
      <c r="CW29" s="181"/>
      <c r="CX29" s="181"/>
      <c r="CY29" s="181"/>
      <c r="CZ29" s="181"/>
      <c r="DA29" s="181"/>
      <c r="DB29" s="181"/>
      <c r="DC29" s="181"/>
      <c r="DD29" s="181"/>
      <c r="DE29" s="181"/>
      <c r="DF29" s="181"/>
      <c r="DG29" s="181"/>
      <c r="DH29" s="181"/>
      <c r="DI29" s="182"/>
      <c r="DJ29" s="177"/>
      <c r="DK29" s="181"/>
      <c r="DL29" s="181"/>
      <c r="DM29" s="181"/>
      <c r="DN29" s="181"/>
      <c r="DO29" s="181"/>
      <c r="DP29" s="181"/>
      <c r="DQ29" s="181"/>
      <c r="DR29" s="181"/>
      <c r="DS29" s="183"/>
    </row>
    <row r="30" spans="1:123" ht="60" customHeight="1" thickBot="1">
      <c r="A30" s="318"/>
      <c r="B30" s="277"/>
      <c r="C30" s="278"/>
      <c r="D30" s="325"/>
      <c r="E30" s="300"/>
      <c r="F30" s="270"/>
      <c r="G30" s="328"/>
      <c r="H30" s="159">
        <v>14</v>
      </c>
      <c r="I30" s="155">
        <f t="shared" si="0"/>
        <v>16</v>
      </c>
      <c r="J30" s="81" t="s">
        <v>61</v>
      </c>
      <c r="K30" s="209"/>
      <c r="L30" s="206"/>
      <c r="M30" s="82"/>
      <c r="N30" s="181">
        <v>2</v>
      </c>
      <c r="O30" s="181"/>
      <c r="P30" s="181"/>
      <c r="Q30" s="166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>
        <v>2</v>
      </c>
      <c r="AW30" s="179">
        <v>4</v>
      </c>
      <c r="AX30" s="181"/>
      <c r="AY30" s="184"/>
      <c r="AZ30" s="181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80"/>
      <c r="BQ30" s="170"/>
      <c r="BR30" s="181">
        <v>2</v>
      </c>
      <c r="BS30" s="181"/>
      <c r="BT30" s="181"/>
      <c r="BU30" s="198"/>
      <c r="BV30" s="181"/>
      <c r="BW30" s="181"/>
      <c r="BX30" s="181"/>
      <c r="BY30" s="181"/>
      <c r="BZ30" s="181"/>
      <c r="CA30" s="181"/>
      <c r="CB30" s="181">
        <v>3</v>
      </c>
      <c r="CC30" s="181"/>
      <c r="CD30" s="181"/>
      <c r="CE30" s="181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>
        <v>1</v>
      </c>
      <c r="CV30" s="167">
        <v>2</v>
      </c>
      <c r="CW30" s="181"/>
      <c r="CX30" s="181"/>
      <c r="CY30" s="181"/>
      <c r="CZ30" s="181"/>
      <c r="DA30" s="181"/>
      <c r="DB30" s="181"/>
      <c r="DC30" s="181"/>
      <c r="DD30" s="181"/>
      <c r="DE30" s="181"/>
      <c r="DF30" s="181"/>
      <c r="DG30" s="181"/>
      <c r="DH30" s="181"/>
      <c r="DI30" s="182"/>
      <c r="DJ30" s="177"/>
      <c r="DK30" s="181"/>
      <c r="DL30" s="181"/>
      <c r="DM30" s="181"/>
      <c r="DN30" s="181"/>
      <c r="DO30" s="181"/>
      <c r="DP30" s="181"/>
      <c r="DQ30" s="181"/>
      <c r="DR30" s="181"/>
      <c r="DS30" s="183"/>
    </row>
    <row r="31" spans="1:123" ht="60" customHeight="1" thickBot="1">
      <c r="A31" s="318"/>
      <c r="B31" s="277"/>
      <c r="C31" s="278"/>
      <c r="D31" s="296" t="s">
        <v>81</v>
      </c>
      <c r="E31" s="301"/>
      <c r="F31" s="270"/>
      <c r="G31" s="328"/>
      <c r="H31" s="159">
        <v>15</v>
      </c>
      <c r="I31" s="155">
        <f t="shared" si="0"/>
        <v>16</v>
      </c>
      <c r="J31" s="81" t="s">
        <v>62</v>
      </c>
      <c r="K31" s="209"/>
      <c r="L31" s="206"/>
      <c r="M31" s="82"/>
      <c r="N31" s="181">
        <v>1</v>
      </c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>
        <v>3</v>
      </c>
      <c r="AW31" s="179">
        <v>4</v>
      </c>
      <c r="AX31" s="181"/>
      <c r="AY31" s="184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66"/>
      <c r="BP31" s="180"/>
      <c r="BQ31" s="170"/>
      <c r="BR31" s="181">
        <v>2</v>
      </c>
      <c r="BS31" s="181"/>
      <c r="BT31" s="181"/>
      <c r="BU31" s="181"/>
      <c r="BV31" s="181"/>
      <c r="BW31" s="181"/>
      <c r="BX31" s="181"/>
      <c r="BY31" s="181"/>
      <c r="BZ31" s="181"/>
      <c r="CA31" s="181"/>
      <c r="CB31" s="181">
        <v>3</v>
      </c>
      <c r="CC31" s="181"/>
      <c r="CD31" s="181"/>
      <c r="CE31" s="181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>
        <v>1</v>
      </c>
      <c r="CV31" s="167">
        <v>2</v>
      </c>
      <c r="CW31" s="181"/>
      <c r="CX31" s="181"/>
      <c r="CY31" s="181"/>
      <c r="CZ31" s="181"/>
      <c r="DA31" s="181"/>
      <c r="DB31" s="181"/>
      <c r="DC31" s="181"/>
      <c r="DD31" s="181"/>
      <c r="DE31" s="181"/>
      <c r="DF31" s="181"/>
      <c r="DG31" s="181"/>
      <c r="DH31" s="181"/>
      <c r="DI31" s="182"/>
      <c r="DJ31" s="177"/>
      <c r="DK31" s="181"/>
      <c r="DL31" s="181"/>
      <c r="DM31" s="181"/>
      <c r="DN31" s="181"/>
      <c r="DO31" s="181"/>
      <c r="DP31" s="181"/>
      <c r="DQ31" s="181"/>
      <c r="DR31" s="181"/>
      <c r="DS31" s="183"/>
    </row>
    <row r="32" spans="1:123" ht="60" customHeight="1" thickBot="1">
      <c r="A32" s="318"/>
      <c r="B32" s="279"/>
      <c r="C32" s="280"/>
      <c r="D32" s="297"/>
      <c r="E32" s="302" t="s">
        <v>82</v>
      </c>
      <c r="F32" s="270"/>
      <c r="G32" s="328"/>
      <c r="H32" s="159">
        <v>13</v>
      </c>
      <c r="I32" s="155">
        <f t="shared" si="0"/>
        <v>16</v>
      </c>
      <c r="J32" s="81" t="s">
        <v>63</v>
      </c>
      <c r="K32" s="209"/>
      <c r="L32" s="206"/>
      <c r="M32" s="82"/>
      <c r="N32" s="185">
        <v>1</v>
      </c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>
        <v>4</v>
      </c>
      <c r="AW32" s="186">
        <v>4</v>
      </c>
      <c r="AX32" s="185"/>
      <c r="AY32" s="187"/>
      <c r="AZ32" s="185"/>
      <c r="BA32" s="185"/>
      <c r="BB32" s="185"/>
      <c r="BC32" s="185"/>
      <c r="BD32" s="185"/>
      <c r="BE32" s="185"/>
      <c r="BF32" s="185"/>
      <c r="BG32" s="185"/>
      <c r="BH32" s="185"/>
      <c r="BI32" s="185"/>
      <c r="BJ32" s="185"/>
      <c r="BK32" s="185"/>
      <c r="BL32" s="185"/>
      <c r="BM32" s="185"/>
      <c r="BN32" s="185"/>
      <c r="BO32" s="166"/>
      <c r="BP32" s="188"/>
      <c r="BQ32" s="170"/>
      <c r="BR32" s="185">
        <v>2</v>
      </c>
      <c r="BS32" s="185"/>
      <c r="BT32" s="185"/>
      <c r="BU32" s="185"/>
      <c r="BV32" s="185"/>
      <c r="BW32" s="185"/>
      <c r="BX32" s="185"/>
      <c r="BY32" s="185"/>
      <c r="BZ32" s="185"/>
      <c r="CA32" s="181"/>
      <c r="CB32" s="185">
        <v>3</v>
      </c>
      <c r="CC32" s="185"/>
      <c r="CD32" s="185"/>
      <c r="CE32" s="185"/>
      <c r="CF32" s="185"/>
      <c r="CG32" s="185"/>
      <c r="CH32" s="185"/>
      <c r="CI32" s="185"/>
      <c r="CJ32" s="185"/>
      <c r="CK32" s="185"/>
      <c r="CL32" s="200"/>
      <c r="CM32" s="185"/>
      <c r="CN32" s="185"/>
      <c r="CO32" s="185"/>
      <c r="CP32" s="185"/>
      <c r="CQ32" s="185"/>
      <c r="CR32" s="185"/>
      <c r="CS32" s="185"/>
      <c r="CT32" s="185"/>
      <c r="CU32" s="185">
        <v>1</v>
      </c>
      <c r="CV32" s="167">
        <v>1</v>
      </c>
      <c r="CW32" s="185"/>
      <c r="CX32" s="185"/>
      <c r="CY32" s="185"/>
      <c r="CZ32" s="185"/>
      <c r="DA32" s="185"/>
      <c r="DB32" s="185"/>
      <c r="DC32" s="185"/>
      <c r="DD32" s="185"/>
      <c r="DE32" s="185"/>
      <c r="DF32" s="185"/>
      <c r="DG32" s="185"/>
      <c r="DH32" s="185"/>
      <c r="DI32" s="189"/>
      <c r="DJ32" s="190"/>
      <c r="DK32" s="185"/>
      <c r="DL32" s="185"/>
      <c r="DM32" s="185"/>
      <c r="DN32" s="185"/>
      <c r="DO32" s="185"/>
      <c r="DP32" s="185"/>
      <c r="DQ32" s="185"/>
      <c r="DR32" s="185"/>
      <c r="DS32" s="183"/>
    </row>
    <row r="33" spans="1:123" ht="60" customHeight="1" thickBot="1">
      <c r="A33" s="318"/>
      <c r="B33" s="332"/>
      <c r="C33" s="333"/>
      <c r="D33" s="297"/>
      <c r="E33" s="303"/>
      <c r="F33" s="270"/>
      <c r="G33" s="328"/>
      <c r="H33" s="159">
        <v>9</v>
      </c>
      <c r="I33" s="155">
        <f t="shared" si="0"/>
        <v>16</v>
      </c>
      <c r="J33" s="81" t="s">
        <v>66</v>
      </c>
      <c r="K33" s="209"/>
      <c r="L33" s="206"/>
      <c r="M33" s="82"/>
      <c r="N33" s="185">
        <v>1</v>
      </c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>
        <v>4</v>
      </c>
      <c r="AW33" s="186">
        <v>4</v>
      </c>
      <c r="AX33" s="185"/>
      <c r="AY33" s="187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66"/>
      <c r="BP33" s="188"/>
      <c r="BQ33" s="170"/>
      <c r="BR33" s="185">
        <v>2</v>
      </c>
      <c r="BS33" s="185"/>
      <c r="BT33" s="185"/>
      <c r="BU33" s="185"/>
      <c r="BV33" s="185"/>
      <c r="BW33" s="185"/>
      <c r="BX33" s="185"/>
      <c r="BY33" s="185"/>
      <c r="BZ33" s="185"/>
      <c r="CA33" s="185"/>
      <c r="CB33" s="185">
        <v>3</v>
      </c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O33" s="185"/>
      <c r="CP33" s="185"/>
      <c r="CQ33" s="185"/>
      <c r="CR33" s="185"/>
      <c r="CS33" s="185"/>
      <c r="CT33" s="185"/>
      <c r="CU33" s="185">
        <v>1</v>
      </c>
      <c r="CV33" s="167">
        <v>1</v>
      </c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9"/>
      <c r="DJ33" s="190"/>
      <c r="DK33" s="185"/>
      <c r="DL33" s="185"/>
      <c r="DM33" s="185"/>
      <c r="DN33" s="185"/>
      <c r="DO33" s="185"/>
      <c r="DP33" s="185"/>
      <c r="DQ33" s="185"/>
      <c r="DR33" s="185"/>
      <c r="DS33" s="183"/>
    </row>
    <row r="34" spans="1:123" ht="60" customHeight="1" thickBot="1">
      <c r="A34" s="318"/>
      <c r="B34" s="326"/>
      <c r="C34" s="326"/>
      <c r="D34" s="297"/>
      <c r="E34" s="303"/>
      <c r="F34" s="270"/>
      <c r="G34" s="328"/>
      <c r="H34" s="160">
        <v>9</v>
      </c>
      <c r="I34" s="155">
        <f t="shared" si="0"/>
        <v>16</v>
      </c>
      <c r="J34" s="81" t="s">
        <v>67</v>
      </c>
      <c r="K34" s="209"/>
      <c r="L34" s="206"/>
      <c r="M34" s="82"/>
      <c r="N34" s="191">
        <v>2</v>
      </c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>
        <v>5</v>
      </c>
      <c r="AW34" s="192">
        <v>4</v>
      </c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3"/>
      <c r="BQ34" s="170"/>
      <c r="BR34" s="191">
        <v>2</v>
      </c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>
        <v>2</v>
      </c>
      <c r="CV34" s="192">
        <v>1</v>
      </c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4"/>
      <c r="DJ34" s="195"/>
      <c r="DK34" s="191"/>
      <c r="DL34" s="191"/>
      <c r="DM34" s="191"/>
      <c r="DN34" s="191"/>
      <c r="DO34" s="191"/>
      <c r="DP34" s="191"/>
      <c r="DQ34" s="191"/>
      <c r="DR34" s="191"/>
      <c r="DS34" s="196"/>
    </row>
    <row r="35" spans="1:123" ht="60" customHeight="1" thickBot="1">
      <c r="A35" s="318"/>
      <c r="B35" s="326"/>
      <c r="C35" s="326"/>
      <c r="D35" s="297"/>
      <c r="E35" s="303"/>
      <c r="F35" s="270"/>
      <c r="G35" s="299" t="s">
        <v>83</v>
      </c>
      <c r="H35" s="158">
        <v>13</v>
      </c>
      <c r="I35" s="155">
        <f t="shared" ref="I35:I46" si="1">SUM(M35:DI35)</f>
        <v>16</v>
      </c>
      <c r="J35" s="81" t="s">
        <v>53</v>
      </c>
      <c r="K35" s="203">
        <f ca="1">+K41</f>
        <v>46266</v>
      </c>
      <c r="L35" s="206" t="s">
        <v>54</v>
      </c>
      <c r="M35" s="82"/>
      <c r="N35" s="166">
        <v>2</v>
      </c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>
        <v>6</v>
      </c>
      <c r="AW35" s="167">
        <v>4</v>
      </c>
      <c r="AX35" s="166"/>
      <c r="AY35" s="168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9"/>
      <c r="BQ35" s="170"/>
      <c r="BR35" s="171">
        <v>1</v>
      </c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66"/>
      <c r="CO35" s="171"/>
      <c r="CP35" s="171"/>
      <c r="CQ35" s="171"/>
      <c r="CR35" s="171"/>
      <c r="CS35" s="171"/>
      <c r="CT35" s="171"/>
      <c r="CU35" s="171">
        <v>2</v>
      </c>
      <c r="CV35" s="167">
        <v>1</v>
      </c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72"/>
      <c r="DJ35" s="173"/>
      <c r="DK35" s="174"/>
      <c r="DL35" s="174"/>
      <c r="DM35" s="174"/>
      <c r="DN35" s="174"/>
      <c r="DO35" s="174"/>
      <c r="DP35" s="174"/>
      <c r="DQ35" s="174"/>
      <c r="DR35" s="174"/>
      <c r="DS35" s="175"/>
    </row>
    <row r="36" spans="1:123" ht="60" customHeight="1" thickBot="1">
      <c r="A36" s="318"/>
      <c r="B36" s="326"/>
      <c r="C36" s="326"/>
      <c r="D36" s="297"/>
      <c r="E36" s="303"/>
      <c r="F36" s="270"/>
      <c r="G36" s="300"/>
      <c r="H36" s="159">
        <v>13</v>
      </c>
      <c r="I36" s="155">
        <f t="shared" si="1"/>
        <v>16</v>
      </c>
      <c r="J36" s="81" t="s">
        <v>55</v>
      </c>
      <c r="K36" s="203"/>
      <c r="L36" s="206"/>
      <c r="M36" s="82"/>
      <c r="N36" s="166">
        <v>2</v>
      </c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>
        <v>6</v>
      </c>
      <c r="AW36" s="167">
        <v>4</v>
      </c>
      <c r="AX36" s="166"/>
      <c r="AY36" s="168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9"/>
      <c r="BQ36" s="170"/>
      <c r="BR36" s="169">
        <v>1</v>
      </c>
      <c r="BS36" s="169"/>
      <c r="BT36" s="166"/>
      <c r="BU36" s="166"/>
      <c r="BV36" s="166"/>
      <c r="BW36" s="166"/>
      <c r="BX36" s="166"/>
      <c r="BY36" s="166"/>
      <c r="BZ36" s="166"/>
      <c r="CA36" s="166"/>
      <c r="CB36" s="169"/>
      <c r="CC36" s="169"/>
      <c r="CD36" s="166"/>
      <c r="CE36" s="166"/>
      <c r="CF36" s="169"/>
      <c r="CG36" s="169"/>
      <c r="CH36" s="166"/>
      <c r="CI36" s="166"/>
      <c r="CJ36" s="166"/>
      <c r="CK36" s="166"/>
      <c r="CL36" s="166"/>
      <c r="CM36" s="166"/>
      <c r="CN36" s="166"/>
      <c r="CO36" s="166"/>
      <c r="CP36" s="166"/>
      <c r="CQ36" s="169"/>
      <c r="CR36" s="169"/>
      <c r="CS36" s="166"/>
      <c r="CT36" s="169"/>
      <c r="CU36" s="166">
        <v>2</v>
      </c>
      <c r="CV36" s="167">
        <v>1</v>
      </c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76"/>
      <c r="DJ36" s="177"/>
      <c r="DK36" s="166"/>
      <c r="DL36" s="166"/>
      <c r="DM36" s="166"/>
      <c r="DN36" s="166"/>
      <c r="DO36" s="166"/>
      <c r="DP36" s="166"/>
      <c r="DQ36" s="166"/>
      <c r="DR36" s="166"/>
      <c r="DS36" s="178"/>
    </row>
    <row r="37" spans="1:123" ht="60" customHeight="1" thickBot="1">
      <c r="A37" s="318"/>
      <c r="B37" s="326"/>
      <c r="C37" s="326"/>
      <c r="D37" s="297"/>
      <c r="E37" s="303"/>
      <c r="F37" s="270"/>
      <c r="G37" s="300"/>
      <c r="H37" s="159">
        <v>10</v>
      </c>
      <c r="I37" s="155">
        <f t="shared" si="1"/>
        <v>16</v>
      </c>
      <c r="J37" s="81" t="s">
        <v>56</v>
      </c>
      <c r="K37" s="203"/>
      <c r="L37" s="206"/>
      <c r="M37" s="82"/>
      <c r="N37" s="166">
        <v>2</v>
      </c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>
        <v>6</v>
      </c>
      <c r="AW37" s="179">
        <v>3</v>
      </c>
      <c r="AX37" s="166"/>
      <c r="AY37" s="168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9"/>
      <c r="BQ37" s="170"/>
      <c r="BR37" s="180">
        <v>1</v>
      </c>
      <c r="BS37" s="180"/>
      <c r="BT37" s="166"/>
      <c r="BU37" s="166"/>
      <c r="BV37" s="166"/>
      <c r="BW37" s="181"/>
      <c r="BX37" s="166"/>
      <c r="BY37" s="166"/>
      <c r="BZ37" s="166"/>
      <c r="CA37" s="166"/>
      <c r="CB37" s="180">
        <v>1</v>
      </c>
      <c r="CC37" s="180"/>
      <c r="CD37" s="166"/>
      <c r="CE37" s="166"/>
      <c r="CF37" s="180"/>
      <c r="CG37" s="180"/>
      <c r="CH37" s="166"/>
      <c r="CI37" s="166"/>
      <c r="CJ37" s="166"/>
      <c r="CK37" s="166"/>
      <c r="CL37" s="166"/>
      <c r="CM37" s="166"/>
      <c r="CN37" s="166"/>
      <c r="CO37" s="166"/>
      <c r="CP37" s="166"/>
      <c r="CQ37" s="180"/>
      <c r="CR37" s="180"/>
      <c r="CS37" s="166"/>
      <c r="CT37" s="180"/>
      <c r="CU37" s="166">
        <v>2</v>
      </c>
      <c r="CV37" s="167">
        <v>1</v>
      </c>
      <c r="CW37" s="181"/>
      <c r="CX37" s="181"/>
      <c r="CY37" s="181"/>
      <c r="CZ37" s="181"/>
      <c r="DA37" s="181"/>
      <c r="DB37" s="181"/>
      <c r="DC37" s="181"/>
      <c r="DD37" s="181"/>
      <c r="DE37" s="181"/>
      <c r="DF37" s="181"/>
      <c r="DG37" s="181"/>
      <c r="DH37" s="181"/>
      <c r="DI37" s="182"/>
      <c r="DJ37" s="177"/>
      <c r="DK37" s="166"/>
      <c r="DL37" s="166"/>
      <c r="DM37" s="166"/>
      <c r="DN37" s="166"/>
      <c r="DO37" s="181"/>
      <c r="DP37" s="166"/>
      <c r="DQ37" s="166"/>
      <c r="DR37" s="166"/>
      <c r="DS37" s="178"/>
    </row>
    <row r="38" spans="1:123" ht="60" customHeight="1" thickBot="1">
      <c r="A38" s="318"/>
      <c r="B38" s="334"/>
      <c r="C38" s="334"/>
      <c r="D38" s="298"/>
      <c r="E38" s="304"/>
      <c r="F38" s="271"/>
      <c r="G38" s="300"/>
      <c r="H38" s="159">
        <v>10</v>
      </c>
      <c r="I38" s="155">
        <f t="shared" si="1"/>
        <v>16</v>
      </c>
      <c r="J38" s="81" t="s">
        <v>57</v>
      </c>
      <c r="K38" s="203"/>
      <c r="L38" s="206"/>
      <c r="M38" s="82"/>
      <c r="N38" s="166">
        <v>2</v>
      </c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>
        <v>6</v>
      </c>
      <c r="AW38" s="179">
        <v>3</v>
      </c>
      <c r="AX38" s="166"/>
      <c r="AY38" s="168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9"/>
      <c r="BQ38" s="170"/>
      <c r="BR38" s="180">
        <v>1</v>
      </c>
      <c r="BS38" s="180"/>
      <c r="BT38" s="166"/>
      <c r="BU38" s="166"/>
      <c r="BV38" s="166"/>
      <c r="BW38" s="180"/>
      <c r="BX38" s="166"/>
      <c r="BY38" s="166"/>
      <c r="BZ38" s="166"/>
      <c r="CA38" s="166"/>
      <c r="CB38" s="180">
        <v>1</v>
      </c>
      <c r="CC38" s="180"/>
      <c r="CD38" s="180"/>
      <c r="CE38" s="166"/>
      <c r="CF38" s="180"/>
      <c r="CG38" s="180"/>
      <c r="CH38" s="166"/>
      <c r="CI38" s="166"/>
      <c r="CJ38" s="166"/>
      <c r="CK38" s="166"/>
      <c r="CL38" s="166"/>
      <c r="CM38" s="166"/>
      <c r="CN38" s="166"/>
      <c r="CO38" s="166"/>
      <c r="CP38" s="166"/>
      <c r="CQ38" s="180"/>
      <c r="CR38" s="180"/>
      <c r="CS38" s="166"/>
      <c r="CT38" s="180"/>
      <c r="CU38" s="166">
        <v>2</v>
      </c>
      <c r="CV38" s="167">
        <v>1</v>
      </c>
      <c r="CW38" s="181"/>
      <c r="CX38" s="181"/>
      <c r="CY38" s="181"/>
      <c r="CZ38" s="181"/>
      <c r="DA38" s="181"/>
      <c r="DB38" s="181"/>
      <c r="DC38" s="181"/>
      <c r="DD38" s="181"/>
      <c r="DE38" s="181"/>
      <c r="DF38" s="181"/>
      <c r="DG38" s="181"/>
      <c r="DH38" s="181"/>
      <c r="DI38" s="182"/>
      <c r="DJ38" s="177"/>
      <c r="DK38" s="166"/>
      <c r="DL38" s="166"/>
      <c r="DM38" s="166"/>
      <c r="DN38" s="166"/>
      <c r="DO38" s="181"/>
      <c r="DP38" s="166"/>
      <c r="DQ38" s="166"/>
      <c r="DR38" s="166"/>
      <c r="DS38" s="178"/>
    </row>
    <row r="39" spans="1:123" ht="60" customHeight="1" thickBot="1">
      <c r="A39" s="318"/>
      <c r="B39" s="326"/>
      <c r="C39" s="326"/>
      <c r="D39" s="319" t="s">
        <v>84</v>
      </c>
      <c r="E39" s="335"/>
      <c r="F39" s="333"/>
      <c r="G39" s="300"/>
      <c r="H39" s="159">
        <v>10</v>
      </c>
      <c r="I39" s="155">
        <f t="shared" si="1"/>
        <v>16</v>
      </c>
      <c r="J39" s="81" t="s">
        <v>58</v>
      </c>
      <c r="K39" s="203"/>
      <c r="L39" s="206"/>
      <c r="M39" s="82"/>
      <c r="N39" s="166">
        <v>2</v>
      </c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>
        <v>6</v>
      </c>
      <c r="AW39" s="179">
        <v>2</v>
      </c>
      <c r="AX39" s="166"/>
      <c r="AY39" s="168"/>
      <c r="AZ39" s="166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66"/>
      <c r="BP39" s="180"/>
      <c r="BQ39" s="170"/>
      <c r="BR39" s="180">
        <v>1</v>
      </c>
      <c r="BS39" s="180"/>
      <c r="BT39" s="181"/>
      <c r="BU39" s="166"/>
      <c r="BV39" s="181"/>
      <c r="BW39" s="180"/>
      <c r="BX39" s="181"/>
      <c r="BY39" s="181"/>
      <c r="BZ39" s="181"/>
      <c r="CA39" s="181"/>
      <c r="CB39" s="180">
        <v>2</v>
      </c>
      <c r="CC39" s="180"/>
      <c r="CD39" s="180"/>
      <c r="CE39" s="181"/>
      <c r="CF39" s="180"/>
      <c r="CG39" s="180"/>
      <c r="CH39" s="181"/>
      <c r="CI39" s="166"/>
      <c r="CJ39" s="181"/>
      <c r="CK39" s="181"/>
      <c r="CL39" s="181"/>
      <c r="CM39" s="181"/>
      <c r="CN39" s="181"/>
      <c r="CO39" s="181"/>
      <c r="CP39" s="181"/>
      <c r="CQ39" s="180"/>
      <c r="CR39" s="180"/>
      <c r="CS39" s="181"/>
      <c r="CT39" s="180"/>
      <c r="CU39" s="181">
        <v>2</v>
      </c>
      <c r="CV39" s="167">
        <v>1</v>
      </c>
      <c r="CW39" s="181"/>
      <c r="CX39" s="181"/>
      <c r="CY39" s="181"/>
      <c r="CZ39" s="181"/>
      <c r="DA39" s="181"/>
      <c r="DB39" s="181"/>
      <c r="DC39" s="181"/>
      <c r="DD39" s="181"/>
      <c r="DE39" s="181"/>
      <c r="DF39" s="181"/>
      <c r="DG39" s="181"/>
      <c r="DH39" s="181"/>
      <c r="DI39" s="182"/>
      <c r="DJ39" s="177"/>
      <c r="DK39" s="181"/>
      <c r="DL39" s="181"/>
      <c r="DM39" s="181"/>
      <c r="DN39" s="181"/>
      <c r="DO39" s="181"/>
      <c r="DP39" s="181"/>
      <c r="DQ39" s="181"/>
      <c r="DR39" s="181"/>
      <c r="DS39" s="183"/>
    </row>
    <row r="40" spans="1:123" ht="60" customHeight="1" thickBot="1">
      <c r="A40" s="318"/>
      <c r="B40" s="326"/>
      <c r="C40" s="326"/>
      <c r="D40" s="320"/>
      <c r="E40" s="335"/>
      <c r="F40" s="335"/>
      <c r="G40" s="300"/>
      <c r="H40" s="159">
        <v>14</v>
      </c>
      <c r="I40" s="155">
        <f t="shared" si="1"/>
        <v>16</v>
      </c>
      <c r="J40" s="81" t="s">
        <v>59</v>
      </c>
      <c r="K40" s="203"/>
      <c r="L40" s="206"/>
      <c r="M40" s="82"/>
      <c r="N40" s="166">
        <v>2</v>
      </c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>
        <v>6</v>
      </c>
      <c r="AW40" s="179">
        <v>2</v>
      </c>
      <c r="AX40" s="166"/>
      <c r="AY40" s="168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80"/>
      <c r="BQ40" s="170"/>
      <c r="BR40" s="180">
        <v>1</v>
      </c>
      <c r="BS40" s="180"/>
      <c r="BT40" s="181"/>
      <c r="BU40" s="166"/>
      <c r="BV40" s="181"/>
      <c r="BW40" s="180"/>
      <c r="BX40" s="181"/>
      <c r="BY40" s="181"/>
      <c r="BZ40" s="181"/>
      <c r="CA40" s="181"/>
      <c r="CB40" s="180">
        <v>2</v>
      </c>
      <c r="CC40" s="180"/>
      <c r="CD40" s="180"/>
      <c r="CE40" s="181"/>
      <c r="CF40" s="180"/>
      <c r="CG40" s="180"/>
      <c r="CH40" s="181"/>
      <c r="CI40" s="166"/>
      <c r="CJ40" s="181"/>
      <c r="CK40" s="181"/>
      <c r="CL40" s="181"/>
      <c r="CM40" s="181"/>
      <c r="CN40" s="181"/>
      <c r="CO40" s="181"/>
      <c r="CP40" s="181"/>
      <c r="CQ40" s="180"/>
      <c r="CR40" s="180"/>
      <c r="CS40" s="181"/>
      <c r="CT40" s="180"/>
      <c r="CU40" s="181">
        <v>2</v>
      </c>
      <c r="CV40" s="167">
        <v>1</v>
      </c>
      <c r="CW40" s="181"/>
      <c r="CX40" s="181"/>
      <c r="CY40" s="181"/>
      <c r="CZ40" s="181"/>
      <c r="DA40" s="181"/>
      <c r="DB40" s="181"/>
      <c r="DC40" s="181"/>
      <c r="DD40" s="181"/>
      <c r="DE40" s="181"/>
      <c r="DF40" s="181"/>
      <c r="DG40" s="181"/>
      <c r="DH40" s="181"/>
      <c r="DI40" s="182"/>
      <c r="DJ40" s="177"/>
      <c r="DK40" s="181"/>
      <c r="DL40" s="181"/>
      <c r="DM40" s="181"/>
      <c r="DN40" s="181"/>
      <c r="DO40" s="181"/>
      <c r="DP40" s="181"/>
      <c r="DQ40" s="181"/>
      <c r="DR40" s="181"/>
      <c r="DS40" s="183"/>
    </row>
    <row r="41" spans="1:123" ht="60" customHeight="1" thickBot="1">
      <c r="A41" s="318"/>
      <c r="B41" s="326"/>
      <c r="C41" s="326"/>
      <c r="D41" s="320"/>
      <c r="E41" s="335"/>
      <c r="F41" s="335"/>
      <c r="G41" s="301"/>
      <c r="H41" s="159">
        <v>14</v>
      </c>
      <c r="I41" s="155">
        <f t="shared" si="1"/>
        <v>16</v>
      </c>
      <c r="J41" s="81" t="s">
        <v>60</v>
      </c>
      <c r="K41" s="209">
        <f ca="1">K29+1</f>
        <v>46266</v>
      </c>
      <c r="L41" s="206"/>
      <c r="M41" s="82"/>
      <c r="N41" s="181">
        <v>2</v>
      </c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>
        <v>6</v>
      </c>
      <c r="AW41" s="179">
        <v>2</v>
      </c>
      <c r="AX41" s="181"/>
      <c r="AY41" s="184"/>
      <c r="AZ41" s="181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80"/>
      <c r="BQ41" s="170"/>
      <c r="BR41" s="181">
        <v>1</v>
      </c>
      <c r="BS41" s="181"/>
      <c r="BT41" s="181"/>
      <c r="BU41" s="181"/>
      <c r="BV41" s="181"/>
      <c r="BW41" s="181"/>
      <c r="BX41" s="181"/>
      <c r="BY41" s="181"/>
      <c r="BZ41" s="181"/>
      <c r="CA41" s="181"/>
      <c r="CB41" s="181">
        <v>2</v>
      </c>
      <c r="CC41" s="181"/>
      <c r="CD41" s="181"/>
      <c r="CE41" s="181"/>
      <c r="CF41" s="181"/>
      <c r="CG41" s="181"/>
      <c r="CH41" s="181"/>
      <c r="CI41" s="181"/>
      <c r="CJ41" s="181"/>
      <c r="CK41" s="181"/>
      <c r="CL41" s="181"/>
      <c r="CM41" s="181"/>
      <c r="CN41" s="181"/>
      <c r="CO41" s="181"/>
      <c r="CP41" s="181"/>
      <c r="CQ41" s="181"/>
      <c r="CR41" s="181"/>
      <c r="CS41" s="181"/>
      <c r="CT41" s="181"/>
      <c r="CU41" s="181">
        <v>2</v>
      </c>
      <c r="CV41" s="167">
        <v>1</v>
      </c>
      <c r="CW41" s="181"/>
      <c r="CX41" s="181"/>
      <c r="CY41" s="181"/>
      <c r="CZ41" s="181"/>
      <c r="DA41" s="181"/>
      <c r="DB41" s="181"/>
      <c r="DC41" s="181"/>
      <c r="DD41" s="181"/>
      <c r="DE41" s="181"/>
      <c r="DF41" s="181"/>
      <c r="DG41" s="181"/>
      <c r="DH41" s="181"/>
      <c r="DI41" s="182"/>
      <c r="DJ41" s="177"/>
      <c r="DK41" s="181"/>
      <c r="DL41" s="181"/>
      <c r="DM41" s="181"/>
      <c r="DN41" s="181"/>
      <c r="DO41" s="181"/>
      <c r="DP41" s="181"/>
      <c r="DQ41" s="181"/>
      <c r="DR41" s="181"/>
      <c r="DS41" s="183"/>
    </row>
    <row r="42" spans="1:123" ht="60" customHeight="1" thickBot="1">
      <c r="A42" s="321"/>
      <c r="B42" s="326"/>
      <c r="C42" s="326"/>
      <c r="D42" s="320"/>
      <c r="E42" s="335"/>
      <c r="F42" s="326"/>
      <c r="G42" s="336"/>
      <c r="H42" s="159">
        <v>14</v>
      </c>
      <c r="I42" s="155">
        <f t="shared" si="1"/>
        <v>16</v>
      </c>
      <c r="J42" s="81" t="s">
        <v>61</v>
      </c>
      <c r="K42" s="209"/>
      <c r="L42" s="206"/>
      <c r="M42" s="82"/>
      <c r="N42" s="181">
        <v>2</v>
      </c>
      <c r="O42" s="181"/>
      <c r="P42" s="181"/>
      <c r="Q42" s="166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>
        <v>6</v>
      </c>
      <c r="AW42" s="179">
        <v>2</v>
      </c>
      <c r="AX42" s="181"/>
      <c r="AY42" s="184"/>
      <c r="AZ42" s="181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80"/>
      <c r="BQ42" s="170"/>
      <c r="BR42" s="181">
        <v>1</v>
      </c>
      <c r="BS42" s="181"/>
      <c r="BT42" s="181"/>
      <c r="BU42" s="198"/>
      <c r="BV42" s="181"/>
      <c r="BW42" s="181"/>
      <c r="BX42" s="181"/>
      <c r="BY42" s="181"/>
      <c r="BZ42" s="181"/>
      <c r="CA42" s="181"/>
      <c r="CB42" s="181">
        <v>2</v>
      </c>
      <c r="CC42" s="181"/>
      <c r="CD42" s="181"/>
      <c r="CE42" s="181"/>
      <c r="CF42" s="181"/>
      <c r="CG42" s="181"/>
      <c r="CH42" s="181"/>
      <c r="CI42" s="181"/>
      <c r="CJ42" s="181"/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>
        <v>2</v>
      </c>
      <c r="CV42" s="167">
        <v>1</v>
      </c>
      <c r="CW42" s="181"/>
      <c r="CX42" s="181"/>
      <c r="CY42" s="181"/>
      <c r="CZ42" s="181"/>
      <c r="DA42" s="181"/>
      <c r="DB42" s="181"/>
      <c r="DC42" s="181"/>
      <c r="DD42" s="181"/>
      <c r="DE42" s="181"/>
      <c r="DF42" s="181"/>
      <c r="DG42" s="181"/>
      <c r="DH42" s="181"/>
      <c r="DI42" s="182"/>
      <c r="DJ42" s="177"/>
      <c r="DK42" s="181"/>
      <c r="DL42" s="181"/>
      <c r="DM42" s="181"/>
      <c r="DN42" s="181"/>
      <c r="DO42" s="181"/>
      <c r="DP42" s="181"/>
      <c r="DQ42" s="181"/>
      <c r="DR42" s="181"/>
      <c r="DS42" s="183"/>
    </row>
    <row r="43" spans="1:123" ht="60" customHeight="1" thickBot="1">
      <c r="A43" s="337"/>
      <c r="B43" s="326"/>
      <c r="C43" s="326"/>
      <c r="D43" s="320"/>
      <c r="E43" s="335"/>
      <c r="F43" s="326"/>
      <c r="G43" s="338"/>
      <c r="H43" s="159">
        <v>15</v>
      </c>
      <c r="I43" s="155">
        <f t="shared" si="1"/>
        <v>16</v>
      </c>
      <c r="J43" s="81" t="s">
        <v>62</v>
      </c>
      <c r="K43" s="209"/>
      <c r="L43" s="206"/>
      <c r="M43" s="82"/>
      <c r="N43" s="181">
        <v>2</v>
      </c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>
        <v>6</v>
      </c>
      <c r="AW43" s="179">
        <v>2</v>
      </c>
      <c r="AX43" s="181"/>
      <c r="AY43" s="184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66"/>
      <c r="BP43" s="180"/>
      <c r="BQ43" s="170"/>
      <c r="BR43" s="181">
        <v>1</v>
      </c>
      <c r="BS43" s="181"/>
      <c r="BT43" s="181"/>
      <c r="BU43" s="181"/>
      <c r="BV43" s="181"/>
      <c r="BW43" s="181"/>
      <c r="BX43" s="181"/>
      <c r="BY43" s="181"/>
      <c r="BZ43" s="181"/>
      <c r="CA43" s="181"/>
      <c r="CB43" s="181">
        <v>3</v>
      </c>
      <c r="CC43" s="181"/>
      <c r="CD43" s="181"/>
      <c r="CE43" s="181"/>
      <c r="CF43" s="181"/>
      <c r="CG43" s="181"/>
      <c r="CH43" s="181"/>
      <c r="CI43" s="181"/>
      <c r="CJ43" s="181"/>
      <c r="CK43" s="181"/>
      <c r="CL43" s="181"/>
      <c r="CM43" s="181"/>
      <c r="CN43" s="181"/>
      <c r="CO43" s="181"/>
      <c r="CP43" s="181"/>
      <c r="CQ43" s="181"/>
      <c r="CR43" s="181"/>
      <c r="CS43" s="181"/>
      <c r="CT43" s="181"/>
      <c r="CU43" s="181">
        <v>1</v>
      </c>
      <c r="CV43" s="167">
        <v>1</v>
      </c>
      <c r="CW43" s="181"/>
      <c r="CX43" s="181"/>
      <c r="CY43" s="181"/>
      <c r="CZ43" s="181"/>
      <c r="DA43" s="181"/>
      <c r="DB43" s="181"/>
      <c r="DC43" s="181"/>
      <c r="DD43" s="181"/>
      <c r="DE43" s="181"/>
      <c r="DF43" s="181"/>
      <c r="DG43" s="181"/>
      <c r="DH43" s="181"/>
      <c r="DI43" s="182"/>
      <c r="DJ43" s="177"/>
      <c r="DK43" s="181"/>
      <c r="DL43" s="181"/>
      <c r="DM43" s="181"/>
      <c r="DN43" s="181"/>
      <c r="DO43" s="181"/>
      <c r="DP43" s="181"/>
      <c r="DQ43" s="181"/>
      <c r="DR43" s="181"/>
      <c r="DS43" s="183"/>
    </row>
    <row r="44" spans="1:123" ht="60" customHeight="1" thickBot="1">
      <c r="A44" s="330"/>
      <c r="B44" s="326"/>
      <c r="C44" s="326"/>
      <c r="D44" s="320"/>
      <c r="E44" s="335"/>
      <c r="F44" s="326"/>
      <c r="G44" s="338"/>
      <c r="H44" s="159">
        <v>13</v>
      </c>
      <c r="I44" s="155">
        <f t="shared" si="1"/>
        <v>16</v>
      </c>
      <c r="J44" s="81" t="s">
        <v>63</v>
      </c>
      <c r="K44" s="209"/>
      <c r="L44" s="206"/>
      <c r="M44" s="82"/>
      <c r="N44" s="185">
        <v>2</v>
      </c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>
        <v>6</v>
      </c>
      <c r="AW44" s="186">
        <v>2</v>
      </c>
      <c r="AX44" s="185"/>
      <c r="AY44" s="187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66"/>
      <c r="BP44" s="188"/>
      <c r="BQ44" s="170"/>
      <c r="BR44" s="185">
        <v>1</v>
      </c>
      <c r="BS44" s="185"/>
      <c r="BT44" s="185"/>
      <c r="BU44" s="185"/>
      <c r="BV44" s="185"/>
      <c r="BW44" s="185"/>
      <c r="BX44" s="185"/>
      <c r="BY44" s="185"/>
      <c r="BZ44" s="185"/>
      <c r="CA44" s="181"/>
      <c r="CB44" s="185">
        <v>3</v>
      </c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>
        <v>1</v>
      </c>
      <c r="CV44" s="167">
        <v>1</v>
      </c>
      <c r="CW44" s="185"/>
      <c r="CX44" s="185"/>
      <c r="CY44" s="185"/>
      <c r="CZ44" s="185"/>
      <c r="DA44" s="185"/>
      <c r="DB44" s="185"/>
      <c r="DC44" s="185"/>
      <c r="DD44" s="185"/>
      <c r="DE44" s="185"/>
      <c r="DF44" s="185"/>
      <c r="DG44" s="185"/>
      <c r="DH44" s="185"/>
      <c r="DI44" s="189"/>
      <c r="DJ44" s="190"/>
      <c r="DK44" s="185"/>
      <c r="DL44" s="185"/>
      <c r="DM44" s="185"/>
      <c r="DN44" s="185"/>
      <c r="DO44" s="185"/>
      <c r="DP44" s="185"/>
      <c r="DQ44" s="185"/>
      <c r="DR44" s="185"/>
      <c r="DS44" s="183"/>
    </row>
    <row r="45" spans="1:123" ht="60" customHeight="1" thickBot="1">
      <c r="A45" s="330"/>
      <c r="B45" s="326"/>
      <c r="C45" s="326"/>
      <c r="D45" s="320"/>
      <c r="E45" s="335"/>
      <c r="F45" s="306" t="s">
        <v>85</v>
      </c>
      <c r="G45" s="338"/>
      <c r="H45" s="159">
        <v>9</v>
      </c>
      <c r="I45" s="155">
        <f t="shared" si="1"/>
        <v>16</v>
      </c>
      <c r="J45" s="81" t="s">
        <v>66</v>
      </c>
      <c r="K45" s="209"/>
      <c r="L45" s="206"/>
      <c r="M45" s="82"/>
      <c r="N45" s="185">
        <v>2</v>
      </c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>
        <v>6</v>
      </c>
      <c r="AW45" s="186">
        <v>2</v>
      </c>
      <c r="AX45" s="185"/>
      <c r="AY45" s="187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66"/>
      <c r="BP45" s="188"/>
      <c r="BQ45" s="170"/>
      <c r="BR45" s="185">
        <v>1</v>
      </c>
      <c r="BS45" s="185"/>
      <c r="BT45" s="185"/>
      <c r="BU45" s="185"/>
      <c r="BV45" s="185"/>
      <c r="BW45" s="185"/>
      <c r="BX45" s="185"/>
      <c r="BY45" s="185"/>
      <c r="BZ45" s="185"/>
      <c r="CA45" s="185"/>
      <c r="CB45" s="185">
        <v>3</v>
      </c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>
        <v>1</v>
      </c>
      <c r="CV45" s="167">
        <v>1</v>
      </c>
      <c r="CW45" s="185"/>
      <c r="CX45" s="185"/>
      <c r="CY45" s="185"/>
      <c r="CZ45" s="185"/>
      <c r="DA45" s="185"/>
      <c r="DB45" s="185"/>
      <c r="DC45" s="185"/>
      <c r="DD45" s="185"/>
      <c r="DE45" s="185"/>
      <c r="DF45" s="185"/>
      <c r="DG45" s="185"/>
      <c r="DH45" s="185"/>
      <c r="DI45" s="189"/>
      <c r="DJ45" s="190"/>
      <c r="DK45" s="185"/>
      <c r="DL45" s="185"/>
      <c r="DM45" s="185"/>
      <c r="DN45" s="185"/>
      <c r="DO45" s="185"/>
      <c r="DP45" s="185"/>
      <c r="DQ45" s="185"/>
      <c r="DR45" s="185"/>
      <c r="DS45" s="183"/>
    </row>
    <row r="46" spans="1:123" ht="60" customHeight="1" thickBot="1">
      <c r="A46" s="330"/>
      <c r="B46" s="326"/>
      <c r="C46" s="326"/>
      <c r="D46" s="320"/>
      <c r="E46" s="335"/>
      <c r="F46" s="307"/>
      <c r="G46" s="309" t="s">
        <v>86</v>
      </c>
      <c r="H46" s="160">
        <v>9</v>
      </c>
      <c r="I46" s="155">
        <f t="shared" si="1"/>
        <v>16</v>
      </c>
      <c r="J46" s="81" t="s">
        <v>67</v>
      </c>
      <c r="K46" s="209"/>
      <c r="L46" s="206"/>
      <c r="M46" s="82"/>
      <c r="N46" s="191">
        <v>2</v>
      </c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>
        <v>6</v>
      </c>
      <c r="AW46" s="192">
        <v>2</v>
      </c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3"/>
      <c r="BQ46" s="170"/>
      <c r="BR46" s="191">
        <v>1</v>
      </c>
      <c r="BS46" s="191"/>
      <c r="BT46" s="191"/>
      <c r="BU46" s="191"/>
      <c r="BV46" s="191"/>
      <c r="BW46" s="191"/>
      <c r="BX46" s="191"/>
      <c r="BY46" s="191"/>
      <c r="BZ46" s="191"/>
      <c r="CA46" s="191"/>
      <c r="CB46" s="191">
        <v>3</v>
      </c>
      <c r="CC46" s="191"/>
      <c r="CD46" s="191"/>
      <c r="CE46" s="191"/>
      <c r="CF46" s="191"/>
      <c r="CG46" s="191"/>
      <c r="CH46" s="191"/>
      <c r="CI46" s="191"/>
      <c r="CJ46" s="191"/>
      <c r="CK46" s="191"/>
      <c r="CL46" s="191"/>
      <c r="CM46" s="191"/>
      <c r="CN46" s="191"/>
      <c r="CO46" s="191"/>
      <c r="CP46" s="191"/>
      <c r="CQ46" s="191"/>
      <c r="CR46" s="191"/>
      <c r="CS46" s="191"/>
      <c r="CT46" s="191"/>
      <c r="CU46" s="191">
        <v>1</v>
      </c>
      <c r="CV46" s="192">
        <v>1</v>
      </c>
      <c r="CW46" s="191"/>
      <c r="CX46" s="191"/>
      <c r="CY46" s="191"/>
      <c r="CZ46" s="191"/>
      <c r="DA46" s="191"/>
      <c r="DB46" s="191"/>
      <c r="DC46" s="191"/>
      <c r="DD46" s="191"/>
      <c r="DE46" s="191"/>
      <c r="DF46" s="191"/>
      <c r="DG46" s="191"/>
      <c r="DH46" s="191"/>
      <c r="DI46" s="194"/>
      <c r="DJ46" s="195"/>
      <c r="DK46" s="191"/>
      <c r="DL46" s="191"/>
      <c r="DM46" s="191"/>
      <c r="DN46" s="191"/>
      <c r="DO46" s="191"/>
      <c r="DP46" s="191"/>
      <c r="DQ46" s="191"/>
      <c r="DR46" s="191"/>
      <c r="DS46" s="196"/>
    </row>
    <row r="47" spans="1:123" ht="60" customHeight="1" thickBot="1">
      <c r="A47" s="337"/>
      <c r="B47" s="339"/>
      <c r="C47" s="339"/>
      <c r="D47" s="305"/>
      <c r="E47" s="335"/>
      <c r="F47" s="307"/>
      <c r="G47" s="310"/>
      <c r="H47" s="158">
        <v>12</v>
      </c>
      <c r="I47" s="155">
        <f t="shared" ref="I47:I78" si="2">SUM(M47:DI47)</f>
        <v>16</v>
      </c>
      <c r="J47" s="81" t="s">
        <v>53</v>
      </c>
      <c r="K47" s="203">
        <f ca="1">+K53</f>
        <v>46267</v>
      </c>
      <c r="L47" s="206" t="s">
        <v>54</v>
      </c>
      <c r="M47" s="82"/>
      <c r="N47" s="166">
        <v>3</v>
      </c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>
        <v>6</v>
      </c>
      <c r="AW47" s="167">
        <v>2</v>
      </c>
      <c r="AX47" s="166"/>
      <c r="AY47" s="168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6"/>
      <c r="BL47" s="166"/>
      <c r="BM47" s="166"/>
      <c r="BN47" s="166"/>
      <c r="BO47" s="166"/>
      <c r="BP47" s="169"/>
      <c r="BQ47" s="170"/>
      <c r="BR47" s="171"/>
      <c r="BS47" s="171"/>
      <c r="BT47" s="171"/>
      <c r="BU47" s="171"/>
      <c r="BV47" s="171"/>
      <c r="BW47" s="171"/>
      <c r="BX47" s="171"/>
      <c r="BY47" s="171"/>
      <c r="BZ47" s="171"/>
      <c r="CA47" s="171"/>
      <c r="CB47" s="171">
        <v>3</v>
      </c>
      <c r="CC47" s="171"/>
      <c r="CD47" s="171"/>
      <c r="CE47" s="171"/>
      <c r="CF47" s="171"/>
      <c r="CG47" s="171"/>
      <c r="CH47" s="171"/>
      <c r="CI47" s="171"/>
      <c r="CJ47" s="171"/>
      <c r="CK47" s="171"/>
      <c r="CL47" s="171"/>
      <c r="CM47" s="171"/>
      <c r="CN47" s="166"/>
      <c r="CO47" s="171"/>
      <c r="CP47" s="171"/>
      <c r="CQ47" s="171"/>
      <c r="CR47" s="171"/>
      <c r="CS47" s="171"/>
      <c r="CT47" s="171"/>
      <c r="CU47" s="171">
        <v>1</v>
      </c>
      <c r="CV47" s="167">
        <v>1</v>
      </c>
      <c r="CW47" s="166"/>
      <c r="CX47" s="166"/>
      <c r="CY47" s="166"/>
      <c r="CZ47" s="166"/>
      <c r="DA47" s="166"/>
      <c r="DB47" s="166"/>
      <c r="DC47" s="166"/>
      <c r="DD47" s="166"/>
      <c r="DE47" s="166"/>
      <c r="DF47" s="166"/>
      <c r="DG47" s="166"/>
      <c r="DH47" s="166"/>
      <c r="DI47" s="172"/>
      <c r="DJ47" s="173"/>
      <c r="DK47" s="174"/>
      <c r="DL47" s="174"/>
      <c r="DM47" s="174"/>
      <c r="DN47" s="174"/>
      <c r="DO47" s="174"/>
      <c r="DP47" s="174"/>
      <c r="DQ47" s="174"/>
      <c r="DR47" s="174"/>
      <c r="DS47" s="175"/>
    </row>
    <row r="48" spans="1:123" ht="60" customHeight="1" thickBot="1">
      <c r="A48" s="330"/>
      <c r="B48" s="326"/>
      <c r="C48" s="326"/>
      <c r="D48" s="325"/>
      <c r="E48" s="327"/>
      <c r="F48" s="308"/>
      <c r="G48" s="310"/>
      <c r="H48" s="161">
        <v>6</v>
      </c>
      <c r="I48" s="155">
        <f t="shared" si="2"/>
        <v>16</v>
      </c>
      <c r="J48" s="81" t="s">
        <v>55</v>
      </c>
      <c r="K48" s="204"/>
      <c r="L48" s="207"/>
      <c r="M48" s="82"/>
      <c r="N48" s="166">
        <v>3</v>
      </c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>
        <v>6</v>
      </c>
      <c r="AW48" s="167">
        <v>2</v>
      </c>
      <c r="AX48" s="166"/>
      <c r="AY48" s="168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6"/>
      <c r="BP48" s="169"/>
      <c r="BQ48" s="170"/>
      <c r="BR48" s="169"/>
      <c r="BS48" s="169"/>
      <c r="BT48" s="166"/>
      <c r="BU48" s="166"/>
      <c r="BV48" s="166"/>
      <c r="BW48" s="166"/>
      <c r="BX48" s="166"/>
      <c r="BY48" s="166"/>
      <c r="BZ48" s="166"/>
      <c r="CA48" s="166"/>
      <c r="CB48" s="169">
        <v>3</v>
      </c>
      <c r="CC48" s="169"/>
      <c r="CD48" s="166"/>
      <c r="CE48" s="166"/>
      <c r="CF48" s="169"/>
      <c r="CG48" s="169"/>
      <c r="CH48" s="166"/>
      <c r="CI48" s="166"/>
      <c r="CJ48" s="166"/>
      <c r="CK48" s="166"/>
      <c r="CL48" s="166"/>
      <c r="CM48" s="166"/>
      <c r="CN48" s="166"/>
      <c r="CO48" s="166"/>
      <c r="CP48" s="166"/>
      <c r="CQ48" s="169"/>
      <c r="CR48" s="169"/>
      <c r="CS48" s="166"/>
      <c r="CT48" s="169"/>
      <c r="CU48" s="166">
        <v>1</v>
      </c>
      <c r="CV48" s="167">
        <v>1</v>
      </c>
      <c r="CW48" s="166"/>
      <c r="CX48" s="166"/>
      <c r="CY48" s="166"/>
      <c r="CZ48" s="166"/>
      <c r="DA48" s="166"/>
      <c r="DB48" s="166"/>
      <c r="DC48" s="166"/>
      <c r="DD48" s="166"/>
      <c r="DE48" s="166"/>
      <c r="DF48" s="166"/>
      <c r="DG48" s="166"/>
      <c r="DH48" s="166"/>
      <c r="DI48" s="176"/>
      <c r="DJ48" s="177"/>
      <c r="DK48" s="166"/>
      <c r="DL48" s="166"/>
      <c r="DM48" s="166"/>
      <c r="DN48" s="166"/>
      <c r="DO48" s="166"/>
      <c r="DP48" s="166"/>
      <c r="DQ48" s="166"/>
      <c r="DR48" s="166"/>
      <c r="DS48" s="178"/>
    </row>
    <row r="49" spans="1:123" ht="60" customHeight="1" thickBot="1">
      <c r="A49" s="330"/>
      <c r="B49" s="326"/>
      <c r="C49" s="326"/>
      <c r="D49" s="325"/>
      <c r="E49" s="326"/>
      <c r="F49" s="326"/>
      <c r="G49" s="311"/>
      <c r="H49" s="159">
        <v>13</v>
      </c>
      <c r="I49" s="155">
        <f t="shared" si="2"/>
        <v>16</v>
      </c>
      <c r="J49" s="81" t="s">
        <v>56</v>
      </c>
      <c r="K49" s="204"/>
      <c r="L49" s="207"/>
      <c r="M49" s="82"/>
      <c r="N49" s="166">
        <v>3</v>
      </c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>
        <v>6</v>
      </c>
      <c r="AW49" s="179">
        <v>2</v>
      </c>
      <c r="AX49" s="166"/>
      <c r="AY49" s="168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6"/>
      <c r="BP49" s="169"/>
      <c r="BQ49" s="170"/>
      <c r="BR49" s="180"/>
      <c r="BS49" s="180"/>
      <c r="BT49" s="166"/>
      <c r="BU49" s="166"/>
      <c r="BV49" s="166"/>
      <c r="BW49" s="181"/>
      <c r="BX49" s="166"/>
      <c r="BY49" s="166"/>
      <c r="BZ49" s="166"/>
      <c r="CA49" s="166"/>
      <c r="CB49" s="180">
        <v>3</v>
      </c>
      <c r="CC49" s="180"/>
      <c r="CD49" s="166"/>
      <c r="CE49" s="166"/>
      <c r="CF49" s="180"/>
      <c r="CG49" s="180"/>
      <c r="CH49" s="166"/>
      <c r="CI49" s="166"/>
      <c r="CJ49" s="166"/>
      <c r="CK49" s="166"/>
      <c r="CL49" s="166"/>
      <c r="CM49" s="166"/>
      <c r="CN49" s="166"/>
      <c r="CO49" s="166"/>
      <c r="CP49" s="166"/>
      <c r="CQ49" s="180"/>
      <c r="CR49" s="180"/>
      <c r="CS49" s="166"/>
      <c r="CT49" s="180"/>
      <c r="CU49" s="166">
        <v>1</v>
      </c>
      <c r="CV49" s="167">
        <v>1</v>
      </c>
      <c r="CW49" s="181"/>
      <c r="CX49" s="181"/>
      <c r="CY49" s="181"/>
      <c r="CZ49" s="181"/>
      <c r="DA49" s="181"/>
      <c r="DB49" s="181"/>
      <c r="DC49" s="181"/>
      <c r="DD49" s="181"/>
      <c r="DE49" s="181"/>
      <c r="DF49" s="181"/>
      <c r="DG49" s="181"/>
      <c r="DH49" s="181"/>
      <c r="DI49" s="182"/>
      <c r="DJ49" s="177"/>
      <c r="DK49" s="166"/>
      <c r="DL49" s="166"/>
      <c r="DM49" s="166"/>
      <c r="DN49" s="166"/>
      <c r="DO49" s="181"/>
      <c r="DP49" s="166"/>
      <c r="DQ49" s="166"/>
      <c r="DR49" s="166"/>
      <c r="DS49" s="178"/>
    </row>
    <row r="50" spans="1:123" ht="60" customHeight="1" thickBot="1">
      <c r="A50" s="330"/>
      <c r="B50" s="326"/>
      <c r="C50" s="326"/>
      <c r="D50" s="325"/>
      <c r="E50" s="326"/>
      <c r="F50" s="326"/>
      <c r="G50" s="336"/>
      <c r="H50" s="159">
        <v>10</v>
      </c>
      <c r="I50" s="155">
        <f t="shared" si="2"/>
        <v>16</v>
      </c>
      <c r="J50" s="81" t="s">
        <v>57</v>
      </c>
      <c r="K50" s="204"/>
      <c r="L50" s="207"/>
      <c r="M50" s="82"/>
      <c r="N50" s="166">
        <v>3</v>
      </c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>
        <v>6</v>
      </c>
      <c r="AW50" s="179">
        <v>2</v>
      </c>
      <c r="AX50" s="166"/>
      <c r="AY50" s="168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6"/>
      <c r="BK50" s="166"/>
      <c r="BL50" s="166"/>
      <c r="BM50" s="166"/>
      <c r="BN50" s="166"/>
      <c r="BO50" s="166"/>
      <c r="BP50" s="169"/>
      <c r="BQ50" s="170"/>
      <c r="BR50" s="180"/>
      <c r="BS50" s="180"/>
      <c r="BT50" s="166"/>
      <c r="BU50" s="166"/>
      <c r="BV50" s="166"/>
      <c r="BW50" s="180"/>
      <c r="BX50" s="166"/>
      <c r="BY50" s="166"/>
      <c r="BZ50" s="166"/>
      <c r="CA50" s="166"/>
      <c r="CB50" s="180">
        <v>3</v>
      </c>
      <c r="CC50" s="180"/>
      <c r="CD50" s="180"/>
      <c r="CE50" s="166"/>
      <c r="CF50" s="180"/>
      <c r="CG50" s="180"/>
      <c r="CH50" s="166"/>
      <c r="CI50" s="166"/>
      <c r="CJ50" s="166"/>
      <c r="CK50" s="166"/>
      <c r="CL50" s="166"/>
      <c r="CM50" s="166"/>
      <c r="CN50" s="166"/>
      <c r="CO50" s="166"/>
      <c r="CP50" s="166"/>
      <c r="CQ50" s="180"/>
      <c r="CR50" s="180"/>
      <c r="CS50" s="166"/>
      <c r="CT50" s="180"/>
      <c r="CU50" s="166">
        <v>1</v>
      </c>
      <c r="CV50" s="167">
        <v>1</v>
      </c>
      <c r="CW50" s="181"/>
      <c r="CX50" s="181"/>
      <c r="CY50" s="181"/>
      <c r="CZ50" s="181"/>
      <c r="DA50" s="181"/>
      <c r="DB50" s="181"/>
      <c r="DC50" s="181"/>
      <c r="DD50" s="181"/>
      <c r="DE50" s="181"/>
      <c r="DF50" s="181"/>
      <c r="DG50" s="181"/>
      <c r="DH50" s="181"/>
      <c r="DI50" s="182"/>
      <c r="DJ50" s="177"/>
      <c r="DK50" s="166"/>
      <c r="DL50" s="166"/>
      <c r="DM50" s="166"/>
      <c r="DN50" s="166"/>
      <c r="DO50" s="181"/>
      <c r="DP50" s="166"/>
      <c r="DQ50" s="166"/>
      <c r="DR50" s="166"/>
      <c r="DS50" s="178"/>
    </row>
    <row r="51" spans="1:123" ht="60" customHeight="1" thickBot="1">
      <c r="A51" s="330"/>
      <c r="B51" s="326"/>
      <c r="C51" s="326"/>
      <c r="D51" s="325"/>
      <c r="E51" s="326"/>
      <c r="F51" s="326"/>
      <c r="G51" s="338"/>
      <c r="H51" s="159">
        <v>11</v>
      </c>
      <c r="I51" s="155">
        <f t="shared" si="2"/>
        <v>16</v>
      </c>
      <c r="J51" s="81" t="s">
        <v>58</v>
      </c>
      <c r="K51" s="204"/>
      <c r="L51" s="207"/>
      <c r="M51" s="82"/>
      <c r="N51" s="166">
        <v>3</v>
      </c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>
        <v>6</v>
      </c>
      <c r="AW51" s="179">
        <v>2</v>
      </c>
      <c r="AX51" s="166"/>
      <c r="AY51" s="168"/>
      <c r="AZ51" s="166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66"/>
      <c r="BP51" s="180"/>
      <c r="BQ51" s="170"/>
      <c r="BR51" s="180"/>
      <c r="BS51" s="180"/>
      <c r="BT51" s="181"/>
      <c r="BU51" s="166"/>
      <c r="BV51" s="181"/>
      <c r="BW51" s="180"/>
      <c r="BX51" s="181"/>
      <c r="BY51" s="181"/>
      <c r="BZ51" s="181"/>
      <c r="CA51" s="181"/>
      <c r="CB51" s="180">
        <v>3</v>
      </c>
      <c r="CC51" s="180"/>
      <c r="CD51" s="180"/>
      <c r="CE51" s="181"/>
      <c r="CF51" s="180"/>
      <c r="CG51" s="180"/>
      <c r="CH51" s="181"/>
      <c r="CI51" s="166"/>
      <c r="CJ51" s="181"/>
      <c r="CK51" s="181"/>
      <c r="CL51" s="181"/>
      <c r="CM51" s="181"/>
      <c r="CN51" s="181"/>
      <c r="CO51" s="181"/>
      <c r="CP51" s="181"/>
      <c r="CQ51" s="180"/>
      <c r="CR51" s="180"/>
      <c r="CS51" s="181"/>
      <c r="CT51" s="180"/>
      <c r="CU51" s="181">
        <v>1</v>
      </c>
      <c r="CV51" s="167">
        <v>1</v>
      </c>
      <c r="CW51" s="181"/>
      <c r="CX51" s="181"/>
      <c r="CY51" s="181"/>
      <c r="CZ51" s="181"/>
      <c r="DA51" s="181"/>
      <c r="DB51" s="181"/>
      <c r="DC51" s="181"/>
      <c r="DD51" s="181"/>
      <c r="DE51" s="181"/>
      <c r="DF51" s="181"/>
      <c r="DG51" s="181"/>
      <c r="DH51" s="181"/>
      <c r="DI51" s="182"/>
      <c r="DJ51" s="177"/>
      <c r="DK51" s="181"/>
      <c r="DL51" s="181"/>
      <c r="DM51" s="181"/>
      <c r="DN51" s="181"/>
      <c r="DO51" s="181"/>
      <c r="DP51" s="181"/>
      <c r="DQ51" s="181"/>
      <c r="DR51" s="181"/>
      <c r="DS51" s="183"/>
    </row>
    <row r="52" spans="1:123" ht="60" customHeight="1" thickBot="1">
      <c r="A52" s="330"/>
      <c r="B52" s="326"/>
      <c r="C52" s="326"/>
      <c r="D52" s="325"/>
      <c r="E52" s="326"/>
      <c r="F52" s="326"/>
      <c r="G52" s="338"/>
      <c r="H52" s="159">
        <v>11</v>
      </c>
      <c r="I52" s="155">
        <f t="shared" si="2"/>
        <v>16</v>
      </c>
      <c r="J52" s="81" t="s">
        <v>59</v>
      </c>
      <c r="K52" s="205"/>
      <c r="L52" s="207"/>
      <c r="M52" s="82"/>
      <c r="N52" s="166">
        <v>3</v>
      </c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>
        <v>6</v>
      </c>
      <c r="AW52" s="179">
        <v>2</v>
      </c>
      <c r="AX52" s="166"/>
      <c r="AY52" s="168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80"/>
      <c r="BQ52" s="170"/>
      <c r="BR52" s="180"/>
      <c r="BS52" s="180"/>
      <c r="BT52" s="181"/>
      <c r="BU52" s="166"/>
      <c r="BV52" s="181"/>
      <c r="BW52" s="180"/>
      <c r="BX52" s="181"/>
      <c r="BY52" s="181"/>
      <c r="BZ52" s="181"/>
      <c r="CA52" s="181"/>
      <c r="CB52" s="180">
        <v>3</v>
      </c>
      <c r="CC52" s="180"/>
      <c r="CD52" s="180"/>
      <c r="CE52" s="181"/>
      <c r="CF52" s="180"/>
      <c r="CG52" s="180"/>
      <c r="CH52" s="181"/>
      <c r="CI52" s="166"/>
      <c r="CJ52" s="181"/>
      <c r="CK52" s="181"/>
      <c r="CL52" s="181"/>
      <c r="CM52" s="181"/>
      <c r="CN52" s="181"/>
      <c r="CO52" s="181"/>
      <c r="CP52" s="181"/>
      <c r="CQ52" s="180"/>
      <c r="CR52" s="180"/>
      <c r="CS52" s="181"/>
      <c r="CT52" s="180"/>
      <c r="CU52" s="181">
        <v>1</v>
      </c>
      <c r="CV52" s="167">
        <v>1</v>
      </c>
      <c r="CW52" s="181"/>
      <c r="CX52" s="181"/>
      <c r="CY52" s="181"/>
      <c r="CZ52" s="181"/>
      <c r="DA52" s="181"/>
      <c r="DB52" s="181"/>
      <c r="DC52" s="181"/>
      <c r="DD52" s="181"/>
      <c r="DE52" s="181"/>
      <c r="DF52" s="181"/>
      <c r="DG52" s="181"/>
      <c r="DH52" s="181"/>
      <c r="DI52" s="182"/>
      <c r="DJ52" s="177"/>
      <c r="DK52" s="181"/>
      <c r="DL52" s="181"/>
      <c r="DM52" s="181"/>
      <c r="DN52" s="181"/>
      <c r="DO52" s="181"/>
      <c r="DP52" s="181"/>
      <c r="DQ52" s="181"/>
      <c r="DR52" s="181"/>
      <c r="DS52" s="183"/>
    </row>
    <row r="53" spans="1:123" ht="60" customHeight="1" thickBot="1">
      <c r="A53" s="330"/>
      <c r="B53" s="326"/>
      <c r="C53" s="326"/>
      <c r="D53" s="325"/>
      <c r="E53" s="326"/>
      <c r="F53" s="326"/>
      <c r="G53" s="338"/>
      <c r="H53" s="159">
        <v>12</v>
      </c>
      <c r="I53" s="155">
        <f t="shared" si="2"/>
        <v>16</v>
      </c>
      <c r="J53" s="81" t="s">
        <v>60</v>
      </c>
      <c r="K53" s="209">
        <f ca="1">K41+1</f>
        <v>46267</v>
      </c>
      <c r="L53" s="207"/>
      <c r="M53" s="82"/>
      <c r="N53" s="181">
        <v>3</v>
      </c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>
        <v>6</v>
      </c>
      <c r="AW53" s="179">
        <v>2</v>
      </c>
      <c r="AX53" s="181"/>
      <c r="AY53" s="184"/>
      <c r="AZ53" s="181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80"/>
      <c r="BQ53" s="170"/>
      <c r="BR53" s="181"/>
      <c r="BS53" s="181"/>
      <c r="BT53" s="181"/>
      <c r="BU53" s="181"/>
      <c r="BV53" s="181"/>
      <c r="BW53" s="181"/>
      <c r="BX53" s="181"/>
      <c r="BY53" s="181"/>
      <c r="BZ53" s="181"/>
      <c r="CA53" s="181"/>
      <c r="CB53" s="181">
        <v>3</v>
      </c>
      <c r="CC53" s="181"/>
      <c r="CD53" s="181"/>
      <c r="CE53" s="181"/>
      <c r="CF53" s="181"/>
      <c r="CG53" s="181"/>
      <c r="CH53" s="181"/>
      <c r="CI53" s="181"/>
      <c r="CJ53" s="181"/>
      <c r="CK53" s="181"/>
      <c r="CL53" s="181"/>
      <c r="CM53" s="181"/>
      <c r="CN53" s="181"/>
      <c r="CO53" s="181"/>
      <c r="CP53" s="181"/>
      <c r="CQ53" s="181"/>
      <c r="CR53" s="181"/>
      <c r="CS53" s="181"/>
      <c r="CT53" s="181"/>
      <c r="CU53" s="181">
        <v>1</v>
      </c>
      <c r="CV53" s="167">
        <v>1</v>
      </c>
      <c r="CW53" s="181"/>
      <c r="CX53" s="181"/>
      <c r="CY53" s="181"/>
      <c r="CZ53" s="181"/>
      <c r="DA53" s="181"/>
      <c r="DB53" s="181"/>
      <c r="DC53" s="181"/>
      <c r="DD53" s="181"/>
      <c r="DE53" s="181"/>
      <c r="DF53" s="181"/>
      <c r="DG53" s="181"/>
      <c r="DH53" s="181"/>
      <c r="DI53" s="182"/>
      <c r="DJ53" s="177"/>
      <c r="DK53" s="181"/>
      <c r="DL53" s="181"/>
      <c r="DM53" s="181"/>
      <c r="DN53" s="181"/>
      <c r="DO53" s="181"/>
      <c r="DP53" s="181"/>
      <c r="DQ53" s="181"/>
      <c r="DR53" s="181"/>
      <c r="DS53" s="183"/>
    </row>
    <row r="54" spans="1:123" ht="60" customHeight="1" thickBot="1">
      <c r="A54" s="275" t="s">
        <v>50</v>
      </c>
      <c r="B54" s="326"/>
      <c r="C54" s="326"/>
      <c r="D54" s="325"/>
      <c r="E54" s="326"/>
      <c r="F54" s="326"/>
      <c r="G54" s="338"/>
      <c r="H54" s="159">
        <v>12</v>
      </c>
      <c r="I54" s="155">
        <f t="shared" si="2"/>
        <v>16</v>
      </c>
      <c r="J54" s="81" t="s">
        <v>61</v>
      </c>
      <c r="K54" s="210"/>
      <c r="L54" s="207"/>
      <c r="M54" s="82"/>
      <c r="N54" s="181">
        <v>3</v>
      </c>
      <c r="O54" s="181"/>
      <c r="P54" s="181"/>
      <c r="Q54" s="166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>
        <v>6</v>
      </c>
      <c r="AW54" s="179">
        <v>2</v>
      </c>
      <c r="AX54" s="181"/>
      <c r="AY54" s="184"/>
      <c r="AZ54" s="181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80"/>
      <c r="BQ54" s="170"/>
      <c r="BR54" s="181"/>
      <c r="BS54" s="181"/>
      <c r="BT54" s="181"/>
      <c r="BU54" s="198"/>
      <c r="BV54" s="181"/>
      <c r="BW54" s="181"/>
      <c r="BX54" s="181"/>
      <c r="BY54" s="181"/>
      <c r="BZ54" s="181"/>
      <c r="CA54" s="181"/>
      <c r="CB54" s="181">
        <v>3</v>
      </c>
      <c r="CC54" s="181"/>
      <c r="CD54" s="181"/>
      <c r="CE54" s="181"/>
      <c r="CF54" s="181"/>
      <c r="CG54" s="181"/>
      <c r="CH54" s="181"/>
      <c r="CI54" s="181"/>
      <c r="CJ54" s="181"/>
      <c r="CK54" s="181"/>
      <c r="CL54" s="181"/>
      <c r="CM54" s="181"/>
      <c r="CN54" s="181"/>
      <c r="CO54" s="181"/>
      <c r="CP54" s="181"/>
      <c r="CQ54" s="181"/>
      <c r="CR54" s="181"/>
      <c r="CS54" s="181"/>
      <c r="CT54" s="181"/>
      <c r="CU54" s="181">
        <v>1</v>
      </c>
      <c r="CV54" s="167">
        <v>1</v>
      </c>
      <c r="CW54" s="181"/>
      <c r="CX54" s="181"/>
      <c r="CY54" s="181"/>
      <c r="CZ54" s="181"/>
      <c r="DA54" s="181"/>
      <c r="DB54" s="181"/>
      <c r="DC54" s="181"/>
      <c r="DD54" s="181"/>
      <c r="DE54" s="181"/>
      <c r="DF54" s="181"/>
      <c r="DG54" s="181"/>
      <c r="DH54" s="181"/>
      <c r="DI54" s="182"/>
      <c r="DJ54" s="177"/>
      <c r="DK54" s="181"/>
      <c r="DL54" s="181"/>
      <c r="DM54" s="181"/>
      <c r="DN54" s="181"/>
      <c r="DO54" s="181"/>
      <c r="DP54" s="181"/>
      <c r="DQ54" s="181"/>
      <c r="DR54" s="181"/>
      <c r="DS54" s="183"/>
    </row>
    <row r="55" spans="1:123" ht="60" customHeight="1" thickBot="1">
      <c r="A55" s="277"/>
      <c r="B55" s="326"/>
      <c r="C55" s="326"/>
      <c r="D55" s="325"/>
      <c r="E55" s="326"/>
      <c r="F55" s="326"/>
      <c r="G55" s="338"/>
      <c r="H55" s="159">
        <v>12</v>
      </c>
      <c r="I55" s="155">
        <f t="shared" si="2"/>
        <v>16</v>
      </c>
      <c r="J55" s="81" t="s">
        <v>62</v>
      </c>
      <c r="K55" s="210"/>
      <c r="L55" s="207"/>
      <c r="M55" s="82"/>
      <c r="N55" s="181">
        <v>3</v>
      </c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>
        <v>6</v>
      </c>
      <c r="AW55" s="179">
        <v>2</v>
      </c>
      <c r="AX55" s="181"/>
      <c r="AY55" s="184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66"/>
      <c r="BP55" s="180"/>
      <c r="BQ55" s="170"/>
      <c r="BR55" s="181"/>
      <c r="BS55" s="181"/>
      <c r="BT55" s="181"/>
      <c r="BU55" s="181"/>
      <c r="BV55" s="181"/>
      <c r="BW55" s="181"/>
      <c r="BX55" s="181"/>
      <c r="BY55" s="181"/>
      <c r="BZ55" s="181"/>
      <c r="CA55" s="181"/>
      <c r="CB55" s="181">
        <v>3</v>
      </c>
      <c r="CC55" s="181"/>
      <c r="CD55" s="181"/>
      <c r="CE55" s="181"/>
      <c r="CF55" s="181"/>
      <c r="CG55" s="181"/>
      <c r="CH55" s="181"/>
      <c r="CI55" s="181"/>
      <c r="CJ55" s="181"/>
      <c r="CK55" s="181"/>
      <c r="CL55" s="181"/>
      <c r="CM55" s="181"/>
      <c r="CN55" s="181"/>
      <c r="CO55" s="181"/>
      <c r="CP55" s="181"/>
      <c r="CQ55" s="181"/>
      <c r="CR55" s="181"/>
      <c r="CS55" s="181"/>
      <c r="CT55" s="181"/>
      <c r="CU55" s="181">
        <v>1</v>
      </c>
      <c r="CV55" s="167">
        <v>1</v>
      </c>
      <c r="CW55" s="181"/>
      <c r="CX55" s="181"/>
      <c r="CY55" s="181"/>
      <c r="CZ55" s="181"/>
      <c r="DA55" s="181"/>
      <c r="DB55" s="181"/>
      <c r="DC55" s="181"/>
      <c r="DD55" s="181"/>
      <c r="DE55" s="181"/>
      <c r="DF55" s="181"/>
      <c r="DG55" s="181"/>
      <c r="DH55" s="181"/>
      <c r="DI55" s="182"/>
      <c r="DJ55" s="177"/>
      <c r="DK55" s="181"/>
      <c r="DL55" s="181"/>
      <c r="DM55" s="181"/>
      <c r="DN55" s="181"/>
      <c r="DO55" s="181"/>
      <c r="DP55" s="181"/>
      <c r="DQ55" s="181"/>
      <c r="DR55" s="181"/>
      <c r="DS55" s="183"/>
    </row>
    <row r="56" spans="1:123" ht="60" customHeight="1" thickBot="1">
      <c r="A56" s="277"/>
      <c r="B56" s="326"/>
      <c r="C56" s="326"/>
      <c r="D56" s="325"/>
      <c r="E56" s="326"/>
      <c r="F56" s="326"/>
      <c r="G56" s="338"/>
      <c r="H56" s="159">
        <v>14</v>
      </c>
      <c r="I56" s="155">
        <f t="shared" si="2"/>
        <v>16</v>
      </c>
      <c r="J56" s="81" t="s">
        <v>63</v>
      </c>
      <c r="K56" s="210"/>
      <c r="L56" s="207"/>
      <c r="M56" s="82"/>
      <c r="N56" s="185">
        <v>3</v>
      </c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5"/>
      <c r="AU56" s="185"/>
      <c r="AV56" s="185">
        <v>6</v>
      </c>
      <c r="AW56" s="186">
        <v>2</v>
      </c>
      <c r="AX56" s="185"/>
      <c r="AY56" s="187"/>
      <c r="AZ56" s="185"/>
      <c r="BA56" s="185"/>
      <c r="BB56" s="185"/>
      <c r="BC56" s="185"/>
      <c r="BD56" s="185"/>
      <c r="BE56" s="185"/>
      <c r="BF56" s="185"/>
      <c r="BG56" s="185"/>
      <c r="BH56" s="185"/>
      <c r="BI56" s="185"/>
      <c r="BJ56" s="185"/>
      <c r="BK56" s="185"/>
      <c r="BL56" s="185"/>
      <c r="BM56" s="185"/>
      <c r="BN56" s="185"/>
      <c r="BO56" s="166"/>
      <c r="BP56" s="188"/>
      <c r="BQ56" s="170"/>
      <c r="BR56" s="185"/>
      <c r="BS56" s="185"/>
      <c r="BT56" s="185"/>
      <c r="BU56" s="185"/>
      <c r="BV56" s="185"/>
      <c r="BW56" s="185"/>
      <c r="BX56" s="185"/>
      <c r="BY56" s="185"/>
      <c r="BZ56" s="185"/>
      <c r="CA56" s="181"/>
      <c r="CB56" s="185">
        <v>3</v>
      </c>
      <c r="CC56" s="185"/>
      <c r="CD56" s="185"/>
      <c r="CE56" s="185"/>
      <c r="CF56" s="185"/>
      <c r="CG56" s="185"/>
      <c r="CH56" s="185"/>
      <c r="CI56" s="185"/>
      <c r="CJ56" s="185"/>
      <c r="CK56" s="185"/>
      <c r="CL56" s="185"/>
      <c r="CM56" s="185"/>
      <c r="CN56" s="185"/>
      <c r="CO56" s="185"/>
      <c r="CP56" s="185"/>
      <c r="CQ56" s="185"/>
      <c r="CR56" s="185"/>
      <c r="CS56" s="185"/>
      <c r="CT56" s="185"/>
      <c r="CU56" s="185">
        <v>1</v>
      </c>
      <c r="CV56" s="167">
        <v>1</v>
      </c>
      <c r="CW56" s="185"/>
      <c r="CX56" s="185"/>
      <c r="CY56" s="185"/>
      <c r="CZ56" s="185"/>
      <c r="DA56" s="185"/>
      <c r="DB56" s="185"/>
      <c r="DC56" s="185"/>
      <c r="DD56" s="185"/>
      <c r="DE56" s="185"/>
      <c r="DF56" s="185"/>
      <c r="DG56" s="185"/>
      <c r="DH56" s="185"/>
      <c r="DI56" s="189"/>
      <c r="DJ56" s="190"/>
      <c r="DK56" s="185"/>
      <c r="DL56" s="185"/>
      <c r="DM56" s="185"/>
      <c r="DN56" s="185"/>
      <c r="DO56" s="185"/>
      <c r="DP56" s="185"/>
      <c r="DQ56" s="185"/>
      <c r="DR56" s="185"/>
      <c r="DS56" s="183"/>
    </row>
    <row r="57" spans="1:123" ht="60" customHeight="1" thickBot="1">
      <c r="A57" s="277"/>
      <c r="B57" s="326"/>
      <c r="C57" s="326"/>
      <c r="D57" s="332"/>
      <c r="E57" s="326"/>
      <c r="F57" s="312" t="s">
        <v>51</v>
      </c>
      <c r="G57" s="338"/>
      <c r="H57" s="159">
        <v>10</v>
      </c>
      <c r="I57" s="155">
        <f t="shared" si="2"/>
        <v>14</v>
      </c>
      <c r="J57" s="81" t="s">
        <v>66</v>
      </c>
      <c r="K57" s="210"/>
      <c r="L57" s="207"/>
      <c r="M57" s="82"/>
      <c r="N57" s="185">
        <v>3</v>
      </c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  <c r="AV57" s="185">
        <v>6</v>
      </c>
      <c r="AW57" s="186">
        <v>3</v>
      </c>
      <c r="AX57" s="185"/>
      <c r="AY57" s="187"/>
      <c r="AZ57" s="185"/>
      <c r="BA57" s="185"/>
      <c r="BB57" s="185"/>
      <c r="BC57" s="185"/>
      <c r="BD57" s="185"/>
      <c r="BE57" s="185"/>
      <c r="BF57" s="185"/>
      <c r="BG57" s="185"/>
      <c r="BH57" s="185"/>
      <c r="BI57" s="185"/>
      <c r="BJ57" s="185"/>
      <c r="BK57" s="185"/>
      <c r="BL57" s="185"/>
      <c r="BM57" s="185"/>
      <c r="BN57" s="185"/>
      <c r="BO57" s="166"/>
      <c r="BP57" s="188"/>
      <c r="BQ57" s="170"/>
      <c r="BR57" s="185"/>
      <c r="BS57" s="185"/>
      <c r="BT57" s="185"/>
      <c r="BU57" s="185"/>
      <c r="BV57" s="185"/>
      <c r="BW57" s="185"/>
      <c r="BX57" s="185"/>
      <c r="BY57" s="185"/>
      <c r="BZ57" s="185"/>
      <c r="CA57" s="185"/>
      <c r="CB57" s="185"/>
      <c r="CC57" s="185"/>
      <c r="CD57" s="185"/>
      <c r="CE57" s="185"/>
      <c r="CF57" s="185"/>
      <c r="CG57" s="185"/>
      <c r="CH57" s="185"/>
      <c r="CI57" s="185"/>
      <c r="CJ57" s="185"/>
      <c r="CK57" s="185"/>
      <c r="CL57" s="185"/>
      <c r="CM57" s="185"/>
      <c r="CN57" s="185"/>
      <c r="CO57" s="185"/>
      <c r="CP57" s="185"/>
      <c r="CQ57" s="185"/>
      <c r="CR57" s="185"/>
      <c r="CS57" s="185"/>
      <c r="CT57" s="185"/>
      <c r="CU57" s="185">
        <v>1</v>
      </c>
      <c r="CV57" s="167">
        <v>1</v>
      </c>
      <c r="CW57" s="185"/>
      <c r="CX57" s="185"/>
      <c r="CY57" s="185"/>
      <c r="CZ57" s="185"/>
      <c r="DA57" s="185"/>
      <c r="DB57" s="185"/>
      <c r="DC57" s="185"/>
      <c r="DD57" s="185"/>
      <c r="DE57" s="185"/>
      <c r="DF57" s="185"/>
      <c r="DG57" s="185"/>
      <c r="DH57" s="185"/>
      <c r="DI57" s="189"/>
      <c r="DJ57" s="190"/>
      <c r="DK57" s="185"/>
      <c r="DL57" s="185"/>
      <c r="DM57" s="185"/>
      <c r="DN57" s="185"/>
      <c r="DO57" s="185"/>
      <c r="DP57" s="185"/>
      <c r="DQ57" s="185"/>
      <c r="DR57" s="185"/>
      <c r="DS57" s="183"/>
    </row>
    <row r="58" spans="1:123" ht="60" customHeight="1" thickBot="1">
      <c r="A58" s="277"/>
      <c r="B58" s="326"/>
      <c r="C58" s="326"/>
      <c r="D58" s="325"/>
      <c r="E58" s="326"/>
      <c r="F58" s="313"/>
      <c r="G58" s="338"/>
      <c r="H58" s="159">
        <v>10</v>
      </c>
      <c r="I58" s="155">
        <f t="shared" si="2"/>
        <v>14</v>
      </c>
      <c r="J58" s="81" t="s">
        <v>67</v>
      </c>
      <c r="K58" s="211"/>
      <c r="L58" s="241"/>
      <c r="M58" s="82"/>
      <c r="N58" s="191">
        <v>3</v>
      </c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>
        <v>6</v>
      </c>
      <c r="AW58" s="192">
        <v>3</v>
      </c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3"/>
      <c r="BQ58" s="170"/>
      <c r="BR58" s="191"/>
      <c r="BS58" s="191"/>
      <c r="BT58" s="191"/>
      <c r="BU58" s="191"/>
      <c r="BV58" s="191"/>
      <c r="BW58" s="191"/>
      <c r="BX58" s="191"/>
      <c r="BY58" s="191"/>
      <c r="BZ58" s="191"/>
      <c r="CA58" s="191"/>
      <c r="CB58" s="191"/>
      <c r="CC58" s="191"/>
      <c r="CD58" s="191"/>
      <c r="CE58" s="191"/>
      <c r="CF58" s="191"/>
      <c r="CG58" s="191"/>
      <c r="CH58" s="191"/>
      <c r="CI58" s="191"/>
      <c r="CJ58" s="191"/>
      <c r="CK58" s="191"/>
      <c r="CL58" s="191"/>
      <c r="CM58" s="191"/>
      <c r="CN58" s="191"/>
      <c r="CO58" s="191"/>
      <c r="CP58" s="191"/>
      <c r="CQ58" s="191"/>
      <c r="CR58" s="191"/>
      <c r="CS58" s="191"/>
      <c r="CT58" s="191"/>
      <c r="CU58" s="191">
        <v>1</v>
      </c>
      <c r="CV58" s="192">
        <v>1</v>
      </c>
      <c r="CW58" s="191"/>
      <c r="CX58" s="191"/>
      <c r="CY58" s="191"/>
      <c r="CZ58" s="191"/>
      <c r="DA58" s="191"/>
      <c r="DB58" s="191"/>
      <c r="DC58" s="191"/>
      <c r="DD58" s="191"/>
      <c r="DE58" s="191"/>
      <c r="DF58" s="191"/>
      <c r="DG58" s="191"/>
      <c r="DH58" s="191"/>
      <c r="DI58" s="194"/>
      <c r="DJ58" s="195"/>
      <c r="DK58" s="191"/>
      <c r="DL58" s="191"/>
      <c r="DM58" s="191"/>
      <c r="DN58" s="191"/>
      <c r="DO58" s="191"/>
      <c r="DP58" s="191"/>
      <c r="DQ58" s="191"/>
      <c r="DR58" s="191"/>
      <c r="DS58" s="196"/>
    </row>
    <row r="59" spans="1:123" ht="60" customHeight="1" thickBot="1">
      <c r="A59" s="277"/>
      <c r="B59" s="326"/>
      <c r="C59" s="326"/>
      <c r="D59" s="325"/>
      <c r="E59" s="326"/>
      <c r="F59" s="313"/>
      <c r="G59" s="269" t="s">
        <v>52</v>
      </c>
      <c r="H59" s="158">
        <v>12</v>
      </c>
      <c r="I59" s="155">
        <f t="shared" si="2"/>
        <v>13</v>
      </c>
      <c r="J59" s="81" t="s">
        <v>53</v>
      </c>
      <c r="K59" s="203">
        <f ca="1">+K65</f>
        <v>46268</v>
      </c>
      <c r="L59" s="206" t="s">
        <v>54</v>
      </c>
      <c r="M59" s="82"/>
      <c r="N59" s="166">
        <v>3</v>
      </c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>
        <v>6</v>
      </c>
      <c r="AW59" s="167">
        <v>3</v>
      </c>
      <c r="AX59" s="166"/>
      <c r="AY59" s="168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9"/>
      <c r="BQ59" s="170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66"/>
      <c r="CO59" s="171"/>
      <c r="CP59" s="171"/>
      <c r="CQ59" s="171"/>
      <c r="CR59" s="171"/>
      <c r="CS59" s="171"/>
      <c r="CT59" s="171"/>
      <c r="CU59" s="171"/>
      <c r="CV59" s="167">
        <v>1</v>
      </c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166"/>
      <c r="DH59" s="166"/>
      <c r="DI59" s="172"/>
      <c r="DJ59" s="173"/>
      <c r="DK59" s="174"/>
      <c r="DL59" s="174"/>
      <c r="DM59" s="174"/>
      <c r="DN59" s="174"/>
      <c r="DO59" s="174"/>
      <c r="DP59" s="174"/>
      <c r="DQ59" s="174"/>
      <c r="DR59" s="174"/>
      <c r="DS59" s="175"/>
    </row>
    <row r="60" spans="1:123" ht="60" customHeight="1" thickBot="1">
      <c r="A60" s="277"/>
      <c r="B60" s="326"/>
      <c r="C60" s="326"/>
      <c r="D60" s="325"/>
      <c r="E60" s="326"/>
      <c r="F60" s="313"/>
      <c r="G60" s="270"/>
      <c r="H60" s="162">
        <v>14</v>
      </c>
      <c r="I60" s="155">
        <f t="shared" si="2"/>
        <v>13</v>
      </c>
      <c r="J60" s="81" t="s">
        <v>55</v>
      </c>
      <c r="K60" s="204"/>
      <c r="L60" s="207"/>
      <c r="M60" s="82"/>
      <c r="N60" s="166">
        <v>3</v>
      </c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>
        <v>6</v>
      </c>
      <c r="AW60" s="167">
        <v>3</v>
      </c>
      <c r="AX60" s="166"/>
      <c r="AY60" s="168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9"/>
      <c r="BQ60" s="170"/>
      <c r="BR60" s="169"/>
      <c r="BS60" s="169"/>
      <c r="BT60" s="166"/>
      <c r="BU60" s="166"/>
      <c r="BV60" s="166"/>
      <c r="BW60" s="166"/>
      <c r="BX60" s="166"/>
      <c r="BY60" s="166"/>
      <c r="BZ60" s="166"/>
      <c r="CA60" s="166"/>
      <c r="CB60" s="169"/>
      <c r="CC60" s="169"/>
      <c r="CD60" s="166"/>
      <c r="CE60" s="166"/>
      <c r="CF60" s="169"/>
      <c r="CG60" s="169"/>
      <c r="CH60" s="166"/>
      <c r="CI60" s="166"/>
      <c r="CJ60" s="166"/>
      <c r="CK60" s="166"/>
      <c r="CL60" s="166"/>
      <c r="CM60" s="166"/>
      <c r="CN60" s="166"/>
      <c r="CO60" s="166"/>
      <c r="CP60" s="166"/>
      <c r="CQ60" s="169"/>
      <c r="CR60" s="169"/>
      <c r="CS60" s="166"/>
      <c r="CT60" s="169"/>
      <c r="CU60" s="166"/>
      <c r="CV60" s="167">
        <v>1</v>
      </c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  <c r="DG60" s="166"/>
      <c r="DH60" s="166"/>
      <c r="DI60" s="176"/>
      <c r="DJ60" s="177"/>
      <c r="DK60" s="166"/>
      <c r="DL60" s="166"/>
      <c r="DM60" s="166"/>
      <c r="DN60" s="166"/>
      <c r="DO60" s="166"/>
      <c r="DP60" s="166"/>
      <c r="DQ60" s="166"/>
      <c r="DR60" s="166"/>
      <c r="DS60" s="178"/>
    </row>
    <row r="61" spans="1:123" ht="60" customHeight="1" thickBot="1">
      <c r="A61" s="277"/>
      <c r="B61" s="326"/>
      <c r="C61" s="326"/>
      <c r="D61" s="325"/>
      <c r="E61" s="326"/>
      <c r="F61" s="313"/>
      <c r="G61" s="270"/>
      <c r="H61" s="162">
        <v>14</v>
      </c>
      <c r="I61" s="155">
        <f t="shared" si="2"/>
        <v>13</v>
      </c>
      <c r="J61" s="81" t="s">
        <v>56</v>
      </c>
      <c r="K61" s="204"/>
      <c r="L61" s="207"/>
      <c r="M61" s="82"/>
      <c r="N61" s="166">
        <v>3</v>
      </c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>
        <v>6</v>
      </c>
      <c r="AW61" s="179">
        <v>3</v>
      </c>
      <c r="AX61" s="166"/>
      <c r="AY61" s="168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9"/>
      <c r="BQ61" s="170"/>
      <c r="BR61" s="180"/>
      <c r="BS61" s="180"/>
      <c r="BT61" s="166"/>
      <c r="BU61" s="166"/>
      <c r="BV61" s="166"/>
      <c r="BW61" s="181"/>
      <c r="BX61" s="166"/>
      <c r="BY61" s="166"/>
      <c r="BZ61" s="166"/>
      <c r="CA61" s="166"/>
      <c r="CB61" s="180"/>
      <c r="CC61" s="180"/>
      <c r="CD61" s="166"/>
      <c r="CE61" s="166"/>
      <c r="CF61" s="180"/>
      <c r="CG61" s="180"/>
      <c r="CH61" s="166"/>
      <c r="CI61" s="166"/>
      <c r="CJ61" s="166"/>
      <c r="CK61" s="166"/>
      <c r="CL61" s="166"/>
      <c r="CM61" s="166"/>
      <c r="CN61" s="166"/>
      <c r="CO61" s="166"/>
      <c r="CP61" s="166"/>
      <c r="CQ61" s="180"/>
      <c r="CR61" s="180"/>
      <c r="CS61" s="166"/>
      <c r="CT61" s="180"/>
      <c r="CU61" s="166"/>
      <c r="CV61" s="167">
        <v>1</v>
      </c>
      <c r="CW61" s="181"/>
      <c r="CX61" s="181"/>
      <c r="CY61" s="181"/>
      <c r="CZ61" s="181"/>
      <c r="DA61" s="181"/>
      <c r="DB61" s="181"/>
      <c r="DC61" s="181"/>
      <c r="DD61" s="181"/>
      <c r="DE61" s="181"/>
      <c r="DF61" s="181"/>
      <c r="DG61" s="181"/>
      <c r="DH61" s="181"/>
      <c r="DI61" s="182"/>
      <c r="DJ61" s="177"/>
      <c r="DK61" s="166"/>
      <c r="DL61" s="166"/>
      <c r="DM61" s="166"/>
      <c r="DN61" s="166"/>
      <c r="DO61" s="181"/>
      <c r="DP61" s="166"/>
      <c r="DQ61" s="166"/>
      <c r="DR61" s="166"/>
      <c r="DS61" s="178"/>
    </row>
    <row r="62" spans="1:123" ht="60" customHeight="1" thickBot="1">
      <c r="A62" s="277"/>
      <c r="B62" s="326"/>
      <c r="C62" s="326"/>
      <c r="D62" s="325"/>
      <c r="E62" s="326"/>
      <c r="F62" s="313"/>
      <c r="G62" s="270"/>
      <c r="H62" s="162">
        <v>14</v>
      </c>
      <c r="I62" s="155">
        <f t="shared" si="2"/>
        <v>13</v>
      </c>
      <c r="J62" s="81" t="s">
        <v>57</v>
      </c>
      <c r="K62" s="204"/>
      <c r="L62" s="207"/>
      <c r="M62" s="82"/>
      <c r="N62" s="166">
        <v>3</v>
      </c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>
        <v>6</v>
      </c>
      <c r="AW62" s="179">
        <v>3</v>
      </c>
      <c r="AX62" s="166"/>
      <c r="AY62" s="168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9"/>
      <c r="BQ62" s="170"/>
      <c r="BR62" s="180"/>
      <c r="BS62" s="180"/>
      <c r="BT62" s="166"/>
      <c r="BU62" s="166"/>
      <c r="BV62" s="166"/>
      <c r="BW62" s="180"/>
      <c r="BX62" s="166"/>
      <c r="BY62" s="166"/>
      <c r="BZ62" s="166"/>
      <c r="CA62" s="166"/>
      <c r="CB62" s="180"/>
      <c r="CC62" s="180"/>
      <c r="CD62" s="180"/>
      <c r="CE62" s="166"/>
      <c r="CF62" s="180"/>
      <c r="CG62" s="180"/>
      <c r="CH62" s="166"/>
      <c r="CI62" s="166"/>
      <c r="CJ62" s="166"/>
      <c r="CK62" s="166"/>
      <c r="CL62" s="166"/>
      <c r="CM62" s="166"/>
      <c r="CN62" s="166"/>
      <c r="CO62" s="166"/>
      <c r="CP62" s="166"/>
      <c r="CQ62" s="180"/>
      <c r="CR62" s="180"/>
      <c r="CS62" s="166"/>
      <c r="CT62" s="180"/>
      <c r="CU62" s="166"/>
      <c r="CV62" s="167">
        <v>1</v>
      </c>
      <c r="CW62" s="181"/>
      <c r="CX62" s="181"/>
      <c r="CY62" s="181"/>
      <c r="CZ62" s="181"/>
      <c r="DA62" s="181"/>
      <c r="DB62" s="181"/>
      <c r="DC62" s="181"/>
      <c r="DD62" s="181"/>
      <c r="DE62" s="181"/>
      <c r="DF62" s="181"/>
      <c r="DG62" s="181"/>
      <c r="DH62" s="181"/>
      <c r="DI62" s="182"/>
      <c r="DJ62" s="177"/>
      <c r="DK62" s="166"/>
      <c r="DL62" s="166"/>
      <c r="DM62" s="166"/>
      <c r="DN62" s="166"/>
      <c r="DO62" s="181"/>
      <c r="DP62" s="166"/>
      <c r="DQ62" s="166"/>
      <c r="DR62" s="166"/>
      <c r="DS62" s="178"/>
    </row>
    <row r="63" spans="1:123" ht="60" customHeight="1" thickBot="1">
      <c r="A63" s="277"/>
      <c r="B63" s="326"/>
      <c r="C63" s="326"/>
      <c r="D63" s="325"/>
      <c r="E63" s="326"/>
      <c r="F63" s="313"/>
      <c r="G63" s="270"/>
      <c r="H63" s="162">
        <v>14</v>
      </c>
      <c r="I63" s="155">
        <f t="shared" si="2"/>
        <v>12</v>
      </c>
      <c r="J63" s="81" t="s">
        <v>58</v>
      </c>
      <c r="K63" s="204"/>
      <c r="L63" s="207"/>
      <c r="M63" s="82"/>
      <c r="N63" s="166">
        <v>2</v>
      </c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31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>
        <v>6</v>
      </c>
      <c r="AW63" s="179">
        <v>3</v>
      </c>
      <c r="AX63" s="166"/>
      <c r="AY63" s="168"/>
      <c r="AZ63" s="166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66"/>
      <c r="BP63" s="180"/>
      <c r="BQ63" s="170"/>
      <c r="BR63" s="180"/>
      <c r="BS63" s="180"/>
      <c r="BT63" s="181"/>
      <c r="BU63" s="166"/>
      <c r="BV63" s="181"/>
      <c r="BW63" s="180"/>
      <c r="BX63" s="181"/>
      <c r="BY63" s="181"/>
      <c r="BZ63" s="181"/>
      <c r="CA63" s="181"/>
      <c r="CB63" s="180"/>
      <c r="CC63" s="180"/>
      <c r="CD63" s="180"/>
      <c r="CE63" s="181"/>
      <c r="CF63" s="180"/>
      <c r="CG63" s="180"/>
      <c r="CH63" s="181"/>
      <c r="CI63" s="166"/>
      <c r="CJ63" s="181"/>
      <c r="CK63" s="181"/>
      <c r="CL63" s="181"/>
      <c r="CM63" s="181"/>
      <c r="CN63" s="181"/>
      <c r="CO63" s="181"/>
      <c r="CP63" s="181"/>
      <c r="CQ63" s="180"/>
      <c r="CR63" s="180"/>
      <c r="CS63" s="181"/>
      <c r="CT63" s="180"/>
      <c r="CU63" s="181"/>
      <c r="CV63" s="167">
        <v>1</v>
      </c>
      <c r="CW63" s="181"/>
      <c r="CX63" s="181"/>
      <c r="CY63" s="181"/>
      <c r="CZ63" s="181"/>
      <c r="DA63" s="181"/>
      <c r="DB63" s="181"/>
      <c r="DC63" s="181"/>
      <c r="DD63" s="181"/>
      <c r="DE63" s="181"/>
      <c r="DF63" s="181"/>
      <c r="DG63" s="181"/>
      <c r="DH63" s="181"/>
      <c r="DI63" s="182"/>
      <c r="DJ63" s="177"/>
      <c r="DK63" s="181"/>
      <c r="DL63" s="181"/>
      <c r="DM63" s="181"/>
      <c r="DN63" s="181"/>
      <c r="DO63" s="181"/>
      <c r="DP63" s="181"/>
      <c r="DQ63" s="181"/>
      <c r="DR63" s="181"/>
      <c r="DS63" s="183"/>
    </row>
    <row r="64" spans="1:123" ht="60" customHeight="1" thickBot="1">
      <c r="A64" s="277"/>
      <c r="B64" s="326"/>
      <c r="C64" s="326"/>
      <c r="D64" s="325"/>
      <c r="E64" s="326"/>
      <c r="F64" s="313"/>
      <c r="G64" s="270"/>
      <c r="H64" s="162">
        <v>14</v>
      </c>
      <c r="I64" s="155">
        <f t="shared" si="2"/>
        <v>12</v>
      </c>
      <c r="J64" s="81" t="s">
        <v>59</v>
      </c>
      <c r="K64" s="205"/>
      <c r="L64" s="207"/>
      <c r="M64" s="82"/>
      <c r="N64" s="166">
        <v>2</v>
      </c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>
        <v>6</v>
      </c>
      <c r="AW64" s="179">
        <v>3</v>
      </c>
      <c r="AX64" s="166"/>
      <c r="AY64" s="168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80"/>
      <c r="BQ64" s="170"/>
      <c r="BR64" s="180"/>
      <c r="BS64" s="180"/>
      <c r="BT64" s="181"/>
      <c r="BU64" s="166"/>
      <c r="BV64" s="181"/>
      <c r="BW64" s="180"/>
      <c r="BX64" s="181"/>
      <c r="BY64" s="181"/>
      <c r="BZ64" s="181"/>
      <c r="CA64" s="181"/>
      <c r="CB64" s="180"/>
      <c r="CC64" s="180"/>
      <c r="CD64" s="180"/>
      <c r="CE64" s="181"/>
      <c r="CF64" s="180"/>
      <c r="CG64" s="180"/>
      <c r="CH64" s="181"/>
      <c r="CI64" s="166"/>
      <c r="CJ64" s="181"/>
      <c r="CK64" s="181"/>
      <c r="CL64" s="181"/>
      <c r="CM64" s="181"/>
      <c r="CN64" s="181"/>
      <c r="CO64" s="181"/>
      <c r="CP64" s="181"/>
      <c r="CQ64" s="180"/>
      <c r="CR64" s="180"/>
      <c r="CS64" s="181"/>
      <c r="CT64" s="180"/>
      <c r="CU64" s="181"/>
      <c r="CV64" s="167">
        <v>1</v>
      </c>
      <c r="CW64" s="181"/>
      <c r="CX64" s="181"/>
      <c r="CY64" s="181"/>
      <c r="CZ64" s="181"/>
      <c r="DA64" s="181"/>
      <c r="DB64" s="181"/>
      <c r="DC64" s="181"/>
      <c r="DD64" s="181"/>
      <c r="DE64" s="181"/>
      <c r="DF64" s="181"/>
      <c r="DG64" s="181"/>
      <c r="DH64" s="181"/>
      <c r="DI64" s="182"/>
      <c r="DJ64" s="177"/>
      <c r="DK64" s="181"/>
      <c r="DL64" s="181"/>
      <c r="DM64" s="181"/>
      <c r="DN64" s="181"/>
      <c r="DO64" s="181"/>
      <c r="DP64" s="181"/>
      <c r="DQ64" s="181"/>
      <c r="DR64" s="181"/>
      <c r="DS64" s="183"/>
    </row>
    <row r="65" spans="1:123" ht="60" customHeight="1" thickBot="1">
      <c r="A65" s="277"/>
      <c r="B65" s="326"/>
      <c r="C65" s="326"/>
      <c r="D65" s="325"/>
      <c r="E65" s="326"/>
      <c r="F65" s="313"/>
      <c r="G65" s="270"/>
      <c r="H65" s="162">
        <v>14</v>
      </c>
      <c r="I65" s="155">
        <f t="shared" si="2"/>
        <v>12</v>
      </c>
      <c r="J65" s="81" t="s">
        <v>60</v>
      </c>
      <c r="K65" s="209">
        <f ca="1">K53+1</f>
        <v>46268</v>
      </c>
      <c r="L65" s="207"/>
      <c r="M65" s="82"/>
      <c r="N65" s="181">
        <v>2</v>
      </c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>
        <v>6</v>
      </c>
      <c r="AW65" s="179">
        <v>3</v>
      </c>
      <c r="AX65" s="181"/>
      <c r="AY65" s="184"/>
      <c r="AZ65" s="181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  <c r="BM65" s="166"/>
      <c r="BN65" s="166"/>
      <c r="BO65" s="166"/>
      <c r="BP65" s="180"/>
      <c r="BQ65" s="170"/>
      <c r="BR65" s="181"/>
      <c r="BS65" s="181"/>
      <c r="BT65" s="181"/>
      <c r="BU65" s="181"/>
      <c r="BV65" s="181"/>
      <c r="BW65" s="181"/>
      <c r="BX65" s="181"/>
      <c r="BY65" s="181"/>
      <c r="BZ65" s="181"/>
      <c r="CA65" s="181"/>
      <c r="CB65" s="181"/>
      <c r="CC65" s="181"/>
      <c r="CD65" s="181"/>
      <c r="CE65" s="181"/>
      <c r="CF65" s="181"/>
      <c r="CG65" s="181"/>
      <c r="CH65" s="181"/>
      <c r="CI65" s="181"/>
      <c r="CJ65" s="181"/>
      <c r="CK65" s="181"/>
      <c r="CL65" s="181"/>
      <c r="CM65" s="181"/>
      <c r="CN65" s="181"/>
      <c r="CO65" s="181"/>
      <c r="CP65" s="181"/>
      <c r="CQ65" s="181"/>
      <c r="CR65" s="181"/>
      <c r="CS65" s="181"/>
      <c r="CT65" s="181"/>
      <c r="CU65" s="181"/>
      <c r="CV65" s="167">
        <v>1</v>
      </c>
      <c r="CW65" s="181"/>
      <c r="CX65" s="181"/>
      <c r="CY65" s="181"/>
      <c r="CZ65" s="181"/>
      <c r="DA65" s="181"/>
      <c r="DB65" s="181"/>
      <c r="DC65" s="181"/>
      <c r="DD65" s="181"/>
      <c r="DE65" s="181"/>
      <c r="DF65" s="181"/>
      <c r="DG65" s="181"/>
      <c r="DH65" s="181"/>
      <c r="DI65" s="182"/>
      <c r="DJ65" s="177"/>
      <c r="DK65" s="181"/>
      <c r="DL65" s="181"/>
      <c r="DM65" s="181"/>
      <c r="DN65" s="181"/>
      <c r="DO65" s="181"/>
      <c r="DP65" s="181"/>
      <c r="DQ65" s="181"/>
      <c r="DR65" s="181"/>
      <c r="DS65" s="183"/>
    </row>
    <row r="66" spans="1:123" ht="60" customHeight="1" thickBot="1">
      <c r="A66" s="277"/>
      <c r="B66" s="326"/>
      <c r="C66" s="326"/>
      <c r="D66" s="325"/>
      <c r="E66" s="326"/>
      <c r="F66" s="313"/>
      <c r="G66" s="270"/>
      <c r="H66" s="162">
        <v>14</v>
      </c>
      <c r="I66" s="155">
        <f t="shared" si="2"/>
        <v>16</v>
      </c>
      <c r="J66" s="81" t="s">
        <v>61</v>
      </c>
      <c r="K66" s="210"/>
      <c r="L66" s="207"/>
      <c r="M66" s="82"/>
      <c r="N66" s="181">
        <v>2</v>
      </c>
      <c r="O66" s="181"/>
      <c r="P66" s="181"/>
      <c r="Q66" s="166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20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>
        <v>6</v>
      </c>
      <c r="AW66" s="179">
        <v>3</v>
      </c>
      <c r="AX66" s="181"/>
      <c r="AY66" s="184"/>
      <c r="AZ66" s="181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80"/>
      <c r="BQ66" s="170"/>
      <c r="BR66" s="181">
        <v>2</v>
      </c>
      <c r="BS66" s="181"/>
      <c r="BT66" s="181"/>
      <c r="BU66" s="198"/>
      <c r="BV66" s="181"/>
      <c r="BW66" s="181"/>
      <c r="BX66" s="181"/>
      <c r="BY66" s="181"/>
      <c r="BZ66" s="181"/>
      <c r="CA66" s="181"/>
      <c r="CB66" s="181">
        <v>2</v>
      </c>
      <c r="CC66" s="181"/>
      <c r="CD66" s="181"/>
      <c r="CE66" s="181"/>
      <c r="CF66" s="181"/>
      <c r="CG66" s="181"/>
      <c r="CH66" s="181"/>
      <c r="CI66" s="181"/>
      <c r="CJ66" s="181"/>
      <c r="CK66" s="181"/>
      <c r="CL66" s="181"/>
      <c r="CM66" s="181"/>
      <c r="CN66" s="181"/>
      <c r="CO66" s="181"/>
      <c r="CP66" s="181"/>
      <c r="CQ66" s="181"/>
      <c r="CR66" s="181"/>
      <c r="CS66" s="181"/>
      <c r="CT66" s="181"/>
      <c r="CU66" s="181"/>
      <c r="CV66" s="167">
        <v>1</v>
      </c>
      <c r="CW66" s="181"/>
      <c r="CX66" s="181"/>
      <c r="CY66" s="181"/>
      <c r="CZ66" s="181"/>
      <c r="DA66" s="181"/>
      <c r="DB66" s="181"/>
      <c r="DC66" s="181"/>
      <c r="DD66" s="181"/>
      <c r="DE66" s="181"/>
      <c r="DF66" s="181"/>
      <c r="DG66" s="181"/>
      <c r="DH66" s="181"/>
      <c r="DI66" s="182"/>
      <c r="DJ66" s="177"/>
      <c r="DK66" s="181"/>
      <c r="DL66" s="181"/>
      <c r="DM66" s="181"/>
      <c r="DN66" s="181"/>
      <c r="DO66" s="181"/>
      <c r="DP66" s="181"/>
      <c r="DQ66" s="181"/>
      <c r="DR66" s="181"/>
      <c r="DS66" s="183"/>
    </row>
    <row r="67" spans="1:123" ht="60" customHeight="1" thickBot="1">
      <c r="A67" s="277"/>
      <c r="B67" s="326"/>
      <c r="C67" s="326"/>
      <c r="D67" s="325"/>
      <c r="E67" s="326"/>
      <c r="F67" s="313"/>
      <c r="G67" s="270"/>
      <c r="H67" s="162">
        <v>14</v>
      </c>
      <c r="I67" s="155">
        <f t="shared" si="2"/>
        <v>16</v>
      </c>
      <c r="J67" s="81" t="s">
        <v>62</v>
      </c>
      <c r="K67" s="210"/>
      <c r="L67" s="207"/>
      <c r="M67" s="82"/>
      <c r="N67" s="181">
        <v>2</v>
      </c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>
        <v>6</v>
      </c>
      <c r="AW67" s="179">
        <v>3</v>
      </c>
      <c r="AX67" s="181"/>
      <c r="AY67" s="184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66"/>
      <c r="BP67" s="180"/>
      <c r="BQ67" s="170"/>
      <c r="BR67" s="181">
        <v>2</v>
      </c>
      <c r="BS67" s="181"/>
      <c r="BT67" s="181"/>
      <c r="BU67" s="181"/>
      <c r="BV67" s="181"/>
      <c r="BW67" s="181"/>
      <c r="BX67" s="181"/>
      <c r="BY67" s="181"/>
      <c r="BZ67" s="181"/>
      <c r="CA67" s="181"/>
      <c r="CB67" s="181">
        <v>2</v>
      </c>
      <c r="CC67" s="181"/>
      <c r="CD67" s="181"/>
      <c r="CE67" s="181"/>
      <c r="CF67" s="181"/>
      <c r="CG67" s="181"/>
      <c r="CH67" s="181"/>
      <c r="CI67" s="181"/>
      <c r="CJ67" s="181"/>
      <c r="CK67" s="181"/>
      <c r="CL67" s="181"/>
      <c r="CM67" s="181"/>
      <c r="CN67" s="181"/>
      <c r="CO67" s="181"/>
      <c r="CP67" s="181"/>
      <c r="CQ67" s="181"/>
      <c r="CR67" s="181"/>
      <c r="CS67" s="181"/>
      <c r="CT67" s="181"/>
      <c r="CU67" s="181"/>
      <c r="CV67" s="167">
        <v>1</v>
      </c>
      <c r="CW67" s="181"/>
      <c r="CX67" s="181"/>
      <c r="CY67" s="181"/>
      <c r="CZ67" s="181"/>
      <c r="DA67" s="181"/>
      <c r="DB67" s="181"/>
      <c r="DC67" s="181"/>
      <c r="DD67" s="181"/>
      <c r="DE67" s="181"/>
      <c r="DF67" s="181"/>
      <c r="DG67" s="181"/>
      <c r="DH67" s="181"/>
      <c r="DI67" s="182"/>
      <c r="DJ67" s="177"/>
      <c r="DK67" s="181"/>
      <c r="DL67" s="181"/>
      <c r="DM67" s="181"/>
      <c r="DN67" s="181"/>
      <c r="DO67" s="181"/>
      <c r="DP67" s="181"/>
      <c r="DQ67" s="181"/>
      <c r="DR67" s="181"/>
      <c r="DS67" s="183"/>
    </row>
    <row r="68" spans="1:123" ht="60" customHeight="1" thickBot="1">
      <c r="A68" s="277"/>
      <c r="B68" s="326"/>
      <c r="C68" s="326"/>
      <c r="D68" s="325"/>
      <c r="E68" s="326"/>
      <c r="F68" s="314"/>
      <c r="G68" s="270"/>
      <c r="H68" s="162">
        <v>14</v>
      </c>
      <c r="I68" s="155">
        <f t="shared" si="2"/>
        <v>16</v>
      </c>
      <c r="J68" s="81" t="s">
        <v>63</v>
      </c>
      <c r="K68" s="210"/>
      <c r="L68" s="207"/>
      <c r="M68" s="82"/>
      <c r="N68" s="185">
        <v>2</v>
      </c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  <c r="AV68" s="185">
        <v>6</v>
      </c>
      <c r="AW68" s="186">
        <v>3</v>
      </c>
      <c r="AX68" s="185"/>
      <c r="AY68" s="187"/>
      <c r="AZ68" s="185"/>
      <c r="BA68" s="185"/>
      <c r="BB68" s="185"/>
      <c r="BC68" s="185"/>
      <c r="BD68" s="185"/>
      <c r="BE68" s="185"/>
      <c r="BF68" s="185"/>
      <c r="BG68" s="185"/>
      <c r="BH68" s="185"/>
      <c r="BI68" s="185"/>
      <c r="BJ68" s="185"/>
      <c r="BK68" s="185"/>
      <c r="BL68" s="185"/>
      <c r="BM68" s="185"/>
      <c r="BN68" s="185"/>
      <c r="BO68" s="166"/>
      <c r="BP68" s="188"/>
      <c r="BQ68" s="170"/>
      <c r="BR68" s="185">
        <v>2</v>
      </c>
      <c r="BS68" s="185"/>
      <c r="BT68" s="185"/>
      <c r="BU68" s="185"/>
      <c r="BV68" s="185"/>
      <c r="BW68" s="185"/>
      <c r="BX68" s="185"/>
      <c r="BY68" s="185"/>
      <c r="BZ68" s="185"/>
      <c r="CA68" s="181"/>
      <c r="CB68" s="185">
        <v>2</v>
      </c>
      <c r="CC68" s="185"/>
      <c r="CD68" s="185"/>
      <c r="CE68" s="185"/>
      <c r="CF68" s="185"/>
      <c r="CG68" s="185"/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67">
        <v>1</v>
      </c>
      <c r="CW68" s="185"/>
      <c r="CX68" s="185"/>
      <c r="CY68" s="185"/>
      <c r="CZ68" s="185"/>
      <c r="DA68" s="185"/>
      <c r="DB68" s="185"/>
      <c r="DC68" s="185"/>
      <c r="DD68" s="185"/>
      <c r="DE68" s="185"/>
      <c r="DF68" s="185"/>
      <c r="DG68" s="185"/>
      <c r="DH68" s="185"/>
      <c r="DI68" s="189"/>
      <c r="DJ68" s="190"/>
      <c r="DK68" s="185"/>
      <c r="DL68" s="185"/>
      <c r="DM68" s="185"/>
      <c r="DN68" s="185"/>
      <c r="DO68" s="185"/>
      <c r="DP68" s="185"/>
      <c r="DQ68" s="185"/>
      <c r="DR68" s="185"/>
      <c r="DS68" s="183"/>
    </row>
    <row r="69" spans="1:123" ht="60" customHeight="1" thickBot="1">
      <c r="A69" s="277"/>
      <c r="B69" s="326"/>
      <c r="C69" s="326"/>
      <c r="D69" s="322" t="s">
        <v>64</v>
      </c>
      <c r="E69" s="326"/>
      <c r="F69" s="266" t="s">
        <v>65</v>
      </c>
      <c r="G69" s="270"/>
      <c r="H69" s="162">
        <v>13</v>
      </c>
      <c r="I69" s="155">
        <f t="shared" si="2"/>
        <v>15</v>
      </c>
      <c r="J69" s="81" t="s">
        <v>66</v>
      </c>
      <c r="K69" s="210"/>
      <c r="L69" s="207"/>
      <c r="M69" s="82"/>
      <c r="N69" s="185">
        <v>2</v>
      </c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>
        <v>5</v>
      </c>
      <c r="AW69" s="186">
        <v>3</v>
      </c>
      <c r="AX69" s="185"/>
      <c r="AY69" s="187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  <c r="BM69" s="185"/>
      <c r="BN69" s="185"/>
      <c r="BO69" s="166"/>
      <c r="BP69" s="188"/>
      <c r="BQ69" s="170"/>
      <c r="BR69" s="185">
        <v>2</v>
      </c>
      <c r="BS69" s="185"/>
      <c r="BT69" s="185"/>
      <c r="BU69" s="185"/>
      <c r="BV69" s="185"/>
      <c r="BW69" s="185"/>
      <c r="BX69" s="185"/>
      <c r="BY69" s="185"/>
      <c r="BZ69" s="185"/>
      <c r="CA69" s="185"/>
      <c r="CB69" s="185">
        <v>2</v>
      </c>
      <c r="CC69" s="185"/>
      <c r="CD69" s="185"/>
      <c r="CE69" s="185"/>
      <c r="CF69" s="185"/>
      <c r="CG69" s="185"/>
      <c r="CH69" s="185"/>
      <c r="CI69" s="185"/>
      <c r="CJ69" s="185"/>
      <c r="CK69" s="185"/>
      <c r="CL69" s="185"/>
      <c r="CM69" s="185"/>
      <c r="CN69" s="185"/>
      <c r="CO69" s="185"/>
      <c r="CP69" s="185"/>
      <c r="CQ69" s="185"/>
      <c r="CR69" s="185"/>
      <c r="CS69" s="185"/>
      <c r="CT69" s="185"/>
      <c r="CU69" s="185"/>
      <c r="CV69" s="167">
        <v>1</v>
      </c>
      <c r="CW69" s="185"/>
      <c r="CX69" s="185"/>
      <c r="CY69" s="185"/>
      <c r="CZ69" s="185"/>
      <c r="DA69" s="185"/>
      <c r="DB69" s="185"/>
      <c r="DC69" s="185"/>
      <c r="DD69" s="185"/>
      <c r="DE69" s="185"/>
      <c r="DF69" s="185"/>
      <c r="DG69" s="185"/>
      <c r="DH69" s="185"/>
      <c r="DI69" s="189"/>
      <c r="DJ69" s="190"/>
      <c r="DK69" s="185"/>
      <c r="DL69" s="185"/>
      <c r="DM69" s="185"/>
      <c r="DN69" s="185"/>
      <c r="DO69" s="185"/>
      <c r="DP69" s="185"/>
      <c r="DQ69" s="185"/>
      <c r="DR69" s="185"/>
      <c r="DS69" s="183"/>
    </row>
    <row r="70" spans="1:123" ht="60" customHeight="1" thickBot="1">
      <c r="A70" s="277"/>
      <c r="B70" s="326"/>
      <c r="C70" s="326"/>
      <c r="D70" s="323"/>
      <c r="E70" s="326"/>
      <c r="F70" s="267"/>
      <c r="G70" s="270"/>
      <c r="H70" s="160">
        <v>13</v>
      </c>
      <c r="I70" s="155">
        <f t="shared" si="2"/>
        <v>15</v>
      </c>
      <c r="J70" s="81" t="s">
        <v>67</v>
      </c>
      <c r="K70" s="211"/>
      <c r="L70" s="241"/>
      <c r="M70" s="82"/>
      <c r="N70" s="191">
        <v>2</v>
      </c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>
        <v>5</v>
      </c>
      <c r="AW70" s="192">
        <v>3</v>
      </c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3"/>
      <c r="BQ70" s="170"/>
      <c r="BR70" s="191">
        <v>2</v>
      </c>
      <c r="BS70" s="191"/>
      <c r="BT70" s="191"/>
      <c r="BU70" s="191"/>
      <c r="BV70" s="191"/>
      <c r="BW70" s="191"/>
      <c r="BX70" s="191"/>
      <c r="BY70" s="191"/>
      <c r="BZ70" s="191"/>
      <c r="CA70" s="191"/>
      <c r="CB70" s="191">
        <v>2</v>
      </c>
      <c r="CC70" s="191"/>
      <c r="CD70" s="191"/>
      <c r="CE70" s="191"/>
      <c r="CF70" s="191"/>
      <c r="CG70" s="191"/>
      <c r="CH70" s="191"/>
      <c r="CI70" s="191"/>
      <c r="CJ70" s="191"/>
      <c r="CK70" s="191"/>
      <c r="CL70" s="191"/>
      <c r="CM70" s="191"/>
      <c r="CN70" s="191"/>
      <c r="CO70" s="191"/>
      <c r="CP70" s="191"/>
      <c r="CQ70" s="191"/>
      <c r="CR70" s="191"/>
      <c r="CS70" s="191"/>
      <c r="CT70" s="191"/>
      <c r="CU70" s="191"/>
      <c r="CV70" s="192">
        <v>1</v>
      </c>
      <c r="CW70" s="191"/>
      <c r="CX70" s="191"/>
      <c r="CY70" s="191"/>
      <c r="CZ70" s="191"/>
      <c r="DA70" s="191"/>
      <c r="DB70" s="191"/>
      <c r="DC70" s="191"/>
      <c r="DD70" s="191"/>
      <c r="DE70" s="191"/>
      <c r="DF70" s="191"/>
      <c r="DG70" s="191"/>
      <c r="DH70" s="191"/>
      <c r="DI70" s="194"/>
      <c r="DJ70" s="195"/>
      <c r="DK70" s="191"/>
      <c r="DL70" s="191"/>
      <c r="DM70" s="191"/>
      <c r="DN70" s="191"/>
      <c r="DO70" s="191"/>
      <c r="DP70" s="191"/>
      <c r="DQ70" s="191"/>
      <c r="DR70" s="191"/>
      <c r="DS70" s="196"/>
    </row>
    <row r="71" spans="1:123" ht="60" customHeight="1" thickBot="1">
      <c r="A71" s="279"/>
      <c r="B71" s="326"/>
      <c r="C71" s="326"/>
      <c r="D71" s="323"/>
      <c r="E71" s="326"/>
      <c r="F71" s="267"/>
      <c r="G71" s="270"/>
      <c r="H71" s="158">
        <v>13</v>
      </c>
      <c r="I71" s="155">
        <f t="shared" si="2"/>
        <v>16</v>
      </c>
      <c r="J71" s="81" t="s">
        <v>53</v>
      </c>
      <c r="K71" s="203">
        <f ca="1">+K77</f>
        <v>46269</v>
      </c>
      <c r="L71" s="206" t="s">
        <v>54</v>
      </c>
      <c r="M71" s="82"/>
      <c r="N71" s="166">
        <v>2</v>
      </c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>
        <v>5</v>
      </c>
      <c r="AW71" s="167">
        <v>3</v>
      </c>
      <c r="AX71" s="166"/>
      <c r="AY71" s="168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166"/>
      <c r="BM71" s="166"/>
      <c r="BN71" s="166"/>
      <c r="BO71" s="166"/>
      <c r="BP71" s="169"/>
      <c r="BQ71" s="170"/>
      <c r="BR71" s="171">
        <v>1</v>
      </c>
      <c r="BS71" s="171"/>
      <c r="BT71" s="171"/>
      <c r="BU71" s="171"/>
      <c r="BV71" s="171"/>
      <c r="BW71" s="171"/>
      <c r="BX71" s="171"/>
      <c r="BY71" s="171"/>
      <c r="BZ71" s="171"/>
      <c r="CA71" s="171"/>
      <c r="CB71" s="171">
        <v>2</v>
      </c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66"/>
      <c r="CO71" s="171"/>
      <c r="CP71" s="171"/>
      <c r="CQ71" s="171"/>
      <c r="CR71" s="171"/>
      <c r="CS71" s="171"/>
      <c r="CT71" s="171"/>
      <c r="CU71" s="171">
        <v>2</v>
      </c>
      <c r="CV71" s="167">
        <v>1</v>
      </c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72"/>
      <c r="DJ71" s="173"/>
      <c r="DK71" s="174"/>
      <c r="DL71" s="174"/>
      <c r="DM71" s="174"/>
      <c r="DN71" s="174"/>
      <c r="DO71" s="174"/>
      <c r="DP71" s="174"/>
      <c r="DQ71" s="174"/>
      <c r="DR71" s="174"/>
      <c r="DS71" s="175"/>
    </row>
    <row r="72" spans="1:123" ht="60" customHeight="1" thickBot="1">
      <c r="A72" s="329"/>
      <c r="B72" s="327"/>
      <c r="C72" s="327"/>
      <c r="D72" s="264"/>
      <c r="E72" s="272" t="s">
        <v>68</v>
      </c>
      <c r="F72" s="267"/>
      <c r="G72" s="270"/>
      <c r="H72" s="159">
        <v>5</v>
      </c>
      <c r="I72" s="155">
        <f t="shared" si="2"/>
        <v>16</v>
      </c>
      <c r="J72" s="81" t="s">
        <v>55</v>
      </c>
      <c r="K72" s="204"/>
      <c r="L72" s="207"/>
      <c r="M72" s="82"/>
      <c r="N72" s="166">
        <v>2</v>
      </c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>
        <v>5</v>
      </c>
      <c r="AW72" s="167">
        <v>3</v>
      </c>
      <c r="AX72" s="166"/>
      <c r="AY72" s="168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166"/>
      <c r="BM72" s="166"/>
      <c r="BN72" s="166"/>
      <c r="BO72" s="166"/>
      <c r="BP72" s="169"/>
      <c r="BQ72" s="170"/>
      <c r="BR72" s="169">
        <v>1</v>
      </c>
      <c r="BS72" s="169"/>
      <c r="BT72" s="166"/>
      <c r="BU72" s="166"/>
      <c r="BV72" s="166"/>
      <c r="BW72" s="166"/>
      <c r="BX72" s="166"/>
      <c r="BY72" s="166"/>
      <c r="BZ72" s="166"/>
      <c r="CA72" s="166"/>
      <c r="CB72" s="169">
        <v>2</v>
      </c>
      <c r="CC72" s="169"/>
      <c r="CD72" s="166"/>
      <c r="CE72" s="166"/>
      <c r="CF72" s="169"/>
      <c r="CG72" s="169"/>
      <c r="CH72" s="166"/>
      <c r="CI72" s="166"/>
      <c r="CJ72" s="166"/>
      <c r="CK72" s="166"/>
      <c r="CL72" s="166"/>
      <c r="CM72" s="166"/>
      <c r="CN72" s="166"/>
      <c r="CO72" s="166"/>
      <c r="CP72" s="166"/>
      <c r="CQ72" s="169"/>
      <c r="CR72" s="169"/>
      <c r="CS72" s="166"/>
      <c r="CT72" s="169"/>
      <c r="CU72" s="166">
        <v>2</v>
      </c>
      <c r="CV72" s="167">
        <v>1</v>
      </c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76"/>
      <c r="DJ72" s="177"/>
      <c r="DK72" s="166"/>
      <c r="DL72" s="166"/>
      <c r="DM72" s="166"/>
      <c r="DN72" s="166"/>
      <c r="DO72" s="166"/>
      <c r="DP72" s="166"/>
      <c r="DQ72" s="166"/>
      <c r="DR72" s="166"/>
      <c r="DS72" s="178"/>
    </row>
    <row r="73" spans="1:123" ht="60" customHeight="1" thickBot="1">
      <c r="A73" s="340"/>
      <c r="B73" s="326"/>
      <c r="C73" s="326"/>
      <c r="D73" s="264"/>
      <c r="E73" s="273"/>
      <c r="F73" s="267"/>
      <c r="G73" s="270"/>
      <c r="H73" s="159">
        <v>7</v>
      </c>
      <c r="I73" s="155">
        <f t="shared" si="2"/>
        <v>16</v>
      </c>
      <c r="J73" s="81" t="s">
        <v>56</v>
      </c>
      <c r="K73" s="204"/>
      <c r="L73" s="207"/>
      <c r="M73" s="82"/>
      <c r="N73" s="166">
        <v>2</v>
      </c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>
        <v>5</v>
      </c>
      <c r="AW73" s="179">
        <v>3</v>
      </c>
      <c r="AX73" s="166"/>
      <c r="AY73" s="168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  <c r="BP73" s="169"/>
      <c r="BQ73" s="170"/>
      <c r="BR73" s="180">
        <v>1</v>
      </c>
      <c r="BS73" s="180"/>
      <c r="BT73" s="166"/>
      <c r="BU73" s="166"/>
      <c r="BV73" s="166"/>
      <c r="BW73" s="181"/>
      <c r="BX73" s="166"/>
      <c r="BY73" s="166"/>
      <c r="BZ73" s="166"/>
      <c r="CA73" s="166"/>
      <c r="CB73" s="180">
        <v>2</v>
      </c>
      <c r="CC73" s="180"/>
      <c r="CD73" s="166"/>
      <c r="CE73" s="166"/>
      <c r="CF73" s="180"/>
      <c r="CG73" s="180"/>
      <c r="CH73" s="166"/>
      <c r="CI73" s="166"/>
      <c r="CJ73" s="166"/>
      <c r="CK73" s="166"/>
      <c r="CL73" s="166"/>
      <c r="CM73" s="166"/>
      <c r="CN73" s="166"/>
      <c r="CO73" s="166"/>
      <c r="CP73" s="166"/>
      <c r="CQ73" s="180"/>
      <c r="CR73" s="180"/>
      <c r="CS73" s="166"/>
      <c r="CT73" s="180"/>
      <c r="CU73" s="166">
        <v>2</v>
      </c>
      <c r="CV73" s="167">
        <v>1</v>
      </c>
      <c r="CW73" s="181"/>
      <c r="CX73" s="181"/>
      <c r="CY73" s="181"/>
      <c r="CZ73" s="181"/>
      <c r="DA73" s="181"/>
      <c r="DB73" s="181"/>
      <c r="DC73" s="181"/>
      <c r="DD73" s="181"/>
      <c r="DE73" s="181"/>
      <c r="DF73" s="181"/>
      <c r="DG73" s="181"/>
      <c r="DH73" s="181"/>
      <c r="DI73" s="182"/>
      <c r="DJ73" s="177"/>
      <c r="DK73" s="166"/>
      <c r="DL73" s="166"/>
      <c r="DM73" s="166"/>
      <c r="DN73" s="166"/>
      <c r="DO73" s="181"/>
      <c r="DP73" s="166"/>
      <c r="DQ73" s="166"/>
      <c r="DR73" s="166"/>
      <c r="DS73" s="178"/>
    </row>
    <row r="74" spans="1:123" ht="60" customHeight="1" thickBot="1">
      <c r="A74" s="340"/>
      <c r="B74" s="326"/>
      <c r="C74" s="326"/>
      <c r="D74" s="264"/>
      <c r="E74" s="273"/>
      <c r="F74" s="267"/>
      <c r="G74" s="270"/>
      <c r="H74" s="159">
        <v>6</v>
      </c>
      <c r="I74" s="155">
        <f t="shared" si="2"/>
        <v>16</v>
      </c>
      <c r="J74" s="81" t="s">
        <v>57</v>
      </c>
      <c r="K74" s="204"/>
      <c r="L74" s="207"/>
      <c r="M74" s="82"/>
      <c r="N74" s="166">
        <v>2</v>
      </c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>
        <v>5</v>
      </c>
      <c r="AW74" s="179">
        <v>3</v>
      </c>
      <c r="AX74" s="166"/>
      <c r="AY74" s="168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9"/>
      <c r="BQ74" s="170"/>
      <c r="BR74" s="180">
        <v>1</v>
      </c>
      <c r="BS74" s="180"/>
      <c r="BT74" s="166"/>
      <c r="BU74" s="166"/>
      <c r="BV74" s="166"/>
      <c r="BW74" s="180"/>
      <c r="BX74" s="166"/>
      <c r="BY74" s="166"/>
      <c r="BZ74" s="166"/>
      <c r="CA74" s="166"/>
      <c r="CB74" s="180">
        <v>2</v>
      </c>
      <c r="CC74" s="180"/>
      <c r="CD74" s="180"/>
      <c r="CE74" s="166"/>
      <c r="CF74" s="180"/>
      <c r="CG74" s="180"/>
      <c r="CH74" s="166"/>
      <c r="CI74" s="166"/>
      <c r="CJ74" s="166"/>
      <c r="CK74" s="166"/>
      <c r="CL74" s="166"/>
      <c r="CM74" s="166"/>
      <c r="CN74" s="166"/>
      <c r="CO74" s="166"/>
      <c r="CP74" s="166"/>
      <c r="CQ74" s="180"/>
      <c r="CR74" s="180"/>
      <c r="CS74" s="166"/>
      <c r="CT74" s="180"/>
      <c r="CU74" s="166">
        <v>2</v>
      </c>
      <c r="CV74" s="167">
        <v>1</v>
      </c>
      <c r="CW74" s="181"/>
      <c r="CX74" s="181"/>
      <c r="CY74" s="181"/>
      <c r="CZ74" s="181"/>
      <c r="DA74" s="181"/>
      <c r="DB74" s="181"/>
      <c r="DC74" s="181"/>
      <c r="DD74" s="181"/>
      <c r="DE74" s="181"/>
      <c r="DF74" s="181"/>
      <c r="DG74" s="181"/>
      <c r="DH74" s="181"/>
      <c r="DI74" s="182"/>
      <c r="DJ74" s="177"/>
      <c r="DK74" s="166"/>
      <c r="DL74" s="166"/>
      <c r="DM74" s="166"/>
      <c r="DN74" s="166"/>
      <c r="DO74" s="181"/>
      <c r="DP74" s="166"/>
      <c r="DQ74" s="166"/>
      <c r="DR74" s="166"/>
      <c r="DS74" s="178"/>
    </row>
    <row r="75" spans="1:123" ht="60" customHeight="1" thickBot="1">
      <c r="A75" s="340"/>
      <c r="B75" s="326"/>
      <c r="C75" s="326"/>
      <c r="D75" s="264"/>
      <c r="E75" s="273"/>
      <c r="F75" s="267"/>
      <c r="G75" s="270"/>
      <c r="H75" s="159">
        <v>7</v>
      </c>
      <c r="I75" s="155">
        <f t="shared" si="2"/>
        <v>16</v>
      </c>
      <c r="J75" s="81" t="s">
        <v>58</v>
      </c>
      <c r="K75" s="204"/>
      <c r="L75" s="207"/>
      <c r="M75" s="82"/>
      <c r="N75" s="166">
        <v>2</v>
      </c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>
        <v>5</v>
      </c>
      <c r="AW75" s="179">
        <v>3</v>
      </c>
      <c r="AX75" s="166"/>
      <c r="AY75" s="168"/>
      <c r="AZ75" s="166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66"/>
      <c r="BP75" s="180"/>
      <c r="BQ75" s="170"/>
      <c r="BR75" s="180">
        <v>1</v>
      </c>
      <c r="BS75" s="180"/>
      <c r="BT75" s="181"/>
      <c r="BU75" s="166"/>
      <c r="BV75" s="181"/>
      <c r="BW75" s="180"/>
      <c r="BX75" s="181"/>
      <c r="BY75" s="181"/>
      <c r="BZ75" s="181"/>
      <c r="CA75" s="181"/>
      <c r="CB75" s="180">
        <v>2</v>
      </c>
      <c r="CC75" s="180"/>
      <c r="CD75" s="180"/>
      <c r="CE75" s="181"/>
      <c r="CF75" s="180"/>
      <c r="CG75" s="180"/>
      <c r="CH75" s="181"/>
      <c r="CI75" s="166"/>
      <c r="CJ75" s="181"/>
      <c r="CK75" s="181"/>
      <c r="CL75" s="181"/>
      <c r="CM75" s="181"/>
      <c r="CN75" s="181"/>
      <c r="CO75" s="181"/>
      <c r="CP75" s="181"/>
      <c r="CQ75" s="180"/>
      <c r="CR75" s="180"/>
      <c r="CS75" s="181"/>
      <c r="CT75" s="180"/>
      <c r="CU75" s="181">
        <v>2</v>
      </c>
      <c r="CV75" s="167">
        <v>1</v>
      </c>
      <c r="CW75" s="181"/>
      <c r="CX75" s="181"/>
      <c r="CY75" s="181"/>
      <c r="CZ75" s="181"/>
      <c r="DA75" s="181"/>
      <c r="DB75" s="181"/>
      <c r="DC75" s="181"/>
      <c r="DD75" s="181"/>
      <c r="DE75" s="181"/>
      <c r="DF75" s="181"/>
      <c r="DG75" s="181"/>
      <c r="DH75" s="181"/>
      <c r="DI75" s="182"/>
      <c r="DJ75" s="177"/>
      <c r="DK75" s="181"/>
      <c r="DL75" s="181"/>
      <c r="DM75" s="181"/>
      <c r="DN75" s="181"/>
      <c r="DO75" s="181"/>
      <c r="DP75" s="181"/>
      <c r="DQ75" s="181"/>
      <c r="DR75" s="181"/>
      <c r="DS75" s="183"/>
    </row>
    <row r="76" spans="1:123" ht="60" customHeight="1" thickBot="1">
      <c r="A76" s="340"/>
      <c r="B76" s="326"/>
      <c r="C76" s="326"/>
      <c r="D76" s="264"/>
      <c r="E76" s="273"/>
      <c r="F76" s="267"/>
      <c r="G76" s="270"/>
      <c r="H76" s="159">
        <v>7</v>
      </c>
      <c r="I76" s="155">
        <f t="shared" si="2"/>
        <v>16</v>
      </c>
      <c r="J76" s="81" t="s">
        <v>59</v>
      </c>
      <c r="K76" s="205"/>
      <c r="L76" s="207"/>
      <c r="M76" s="82"/>
      <c r="N76" s="166">
        <v>2</v>
      </c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>
        <v>5</v>
      </c>
      <c r="AW76" s="179">
        <v>3</v>
      </c>
      <c r="AX76" s="166"/>
      <c r="AY76" s="168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  <c r="BM76" s="166"/>
      <c r="BN76" s="166"/>
      <c r="BO76" s="166"/>
      <c r="BP76" s="180"/>
      <c r="BQ76" s="170"/>
      <c r="BR76" s="180">
        <v>1</v>
      </c>
      <c r="BS76" s="180"/>
      <c r="BT76" s="181"/>
      <c r="BU76" s="166"/>
      <c r="BV76" s="181"/>
      <c r="BW76" s="180"/>
      <c r="BX76" s="181"/>
      <c r="BY76" s="181"/>
      <c r="BZ76" s="181"/>
      <c r="CA76" s="181"/>
      <c r="CB76" s="180">
        <v>2</v>
      </c>
      <c r="CC76" s="180"/>
      <c r="CD76" s="180"/>
      <c r="CE76" s="181"/>
      <c r="CF76" s="180"/>
      <c r="CG76" s="180"/>
      <c r="CH76" s="181"/>
      <c r="CI76" s="166"/>
      <c r="CJ76" s="181"/>
      <c r="CK76" s="181"/>
      <c r="CL76" s="181"/>
      <c r="CM76" s="181"/>
      <c r="CN76" s="181"/>
      <c r="CO76" s="181"/>
      <c r="CP76" s="181"/>
      <c r="CQ76" s="180"/>
      <c r="CR76" s="180"/>
      <c r="CS76" s="181"/>
      <c r="CT76" s="180"/>
      <c r="CU76" s="181">
        <v>2</v>
      </c>
      <c r="CV76" s="167">
        <v>1</v>
      </c>
      <c r="CW76" s="181"/>
      <c r="CX76" s="181"/>
      <c r="CY76" s="181"/>
      <c r="CZ76" s="181"/>
      <c r="DA76" s="181"/>
      <c r="DB76" s="181"/>
      <c r="DC76" s="181"/>
      <c r="DD76" s="181"/>
      <c r="DE76" s="181"/>
      <c r="DF76" s="181"/>
      <c r="DG76" s="181"/>
      <c r="DH76" s="181"/>
      <c r="DI76" s="182"/>
      <c r="DJ76" s="177"/>
      <c r="DK76" s="181"/>
      <c r="DL76" s="181"/>
      <c r="DM76" s="181"/>
      <c r="DN76" s="181"/>
      <c r="DO76" s="181"/>
      <c r="DP76" s="181"/>
      <c r="DQ76" s="181"/>
      <c r="DR76" s="181"/>
      <c r="DS76" s="183"/>
    </row>
    <row r="77" spans="1:123" ht="60" customHeight="1" thickBot="1">
      <c r="A77" s="340"/>
      <c r="B77" s="275" t="s">
        <v>69</v>
      </c>
      <c r="C77" s="276"/>
      <c r="D77" s="264"/>
      <c r="E77" s="273"/>
      <c r="F77" s="268"/>
      <c r="G77" s="271"/>
      <c r="H77" s="159">
        <v>11</v>
      </c>
      <c r="I77" s="155">
        <f t="shared" si="2"/>
        <v>15</v>
      </c>
      <c r="J77" s="81" t="s">
        <v>60</v>
      </c>
      <c r="K77" s="209">
        <f ca="1">K65+1</f>
        <v>46269</v>
      </c>
      <c r="L77" s="207"/>
      <c r="M77" s="82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>
        <v>5</v>
      </c>
      <c r="AW77" s="179">
        <v>4</v>
      </c>
      <c r="AX77" s="181"/>
      <c r="AY77" s="184"/>
      <c r="AZ77" s="181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  <c r="BM77" s="166"/>
      <c r="BN77" s="166"/>
      <c r="BO77" s="166"/>
      <c r="BP77" s="180"/>
      <c r="BQ77" s="170"/>
      <c r="BR77" s="181">
        <v>1</v>
      </c>
      <c r="BS77" s="181"/>
      <c r="BT77" s="181"/>
      <c r="BU77" s="181"/>
      <c r="BV77" s="181"/>
      <c r="BW77" s="181"/>
      <c r="BX77" s="181"/>
      <c r="BY77" s="181"/>
      <c r="BZ77" s="181"/>
      <c r="CA77" s="181"/>
      <c r="CB77" s="181">
        <v>2</v>
      </c>
      <c r="CC77" s="181"/>
      <c r="CD77" s="181"/>
      <c r="CE77" s="181"/>
      <c r="CF77" s="181"/>
      <c r="CG77" s="181"/>
      <c r="CH77" s="181"/>
      <c r="CI77" s="181"/>
      <c r="CJ77" s="181"/>
      <c r="CK77" s="181"/>
      <c r="CL77" s="181"/>
      <c r="CM77" s="181"/>
      <c r="CN77" s="181"/>
      <c r="CO77" s="181"/>
      <c r="CP77" s="181"/>
      <c r="CQ77" s="181"/>
      <c r="CR77" s="181"/>
      <c r="CS77" s="181"/>
      <c r="CT77" s="181"/>
      <c r="CU77" s="181">
        <v>2</v>
      </c>
      <c r="CV77" s="167">
        <v>1</v>
      </c>
      <c r="CW77" s="181"/>
      <c r="CX77" s="181"/>
      <c r="CY77" s="181"/>
      <c r="CZ77" s="181"/>
      <c r="DA77" s="181"/>
      <c r="DB77" s="181"/>
      <c r="DC77" s="181"/>
      <c r="DD77" s="181"/>
      <c r="DE77" s="181"/>
      <c r="DF77" s="181"/>
      <c r="DG77" s="181"/>
      <c r="DH77" s="181"/>
      <c r="DI77" s="182"/>
      <c r="DJ77" s="177"/>
      <c r="DK77" s="181"/>
      <c r="DL77" s="181"/>
      <c r="DM77" s="181"/>
      <c r="DN77" s="181"/>
      <c r="DO77" s="181"/>
      <c r="DP77" s="181"/>
      <c r="DQ77" s="181"/>
      <c r="DR77" s="181"/>
      <c r="DS77" s="183"/>
    </row>
    <row r="78" spans="1:123" ht="60" customHeight="1" thickBot="1">
      <c r="A78" s="340"/>
      <c r="B78" s="277"/>
      <c r="C78" s="278"/>
      <c r="D78" s="265"/>
      <c r="E78" s="274"/>
      <c r="F78" s="327"/>
      <c r="G78" s="336"/>
      <c r="H78" s="159">
        <v>7</v>
      </c>
      <c r="I78" s="155">
        <f t="shared" si="2"/>
        <v>16</v>
      </c>
      <c r="J78" s="81" t="s">
        <v>61</v>
      </c>
      <c r="K78" s="210"/>
      <c r="L78" s="207"/>
      <c r="M78" s="82"/>
      <c r="N78" s="181"/>
      <c r="O78" s="181"/>
      <c r="P78" s="181"/>
      <c r="Q78" s="166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>
        <v>5</v>
      </c>
      <c r="AW78" s="179">
        <v>4</v>
      </c>
      <c r="AX78" s="181"/>
      <c r="AY78" s="184"/>
      <c r="AZ78" s="181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6"/>
      <c r="BO78" s="166"/>
      <c r="BP78" s="180"/>
      <c r="BQ78" s="170"/>
      <c r="BR78" s="181">
        <v>1</v>
      </c>
      <c r="BS78" s="181"/>
      <c r="BT78" s="181"/>
      <c r="BU78" s="198"/>
      <c r="BV78" s="181"/>
      <c r="BW78" s="181"/>
      <c r="BX78" s="181"/>
      <c r="BY78" s="181"/>
      <c r="BZ78" s="181"/>
      <c r="CA78" s="181"/>
      <c r="CB78" s="181">
        <v>2</v>
      </c>
      <c r="CC78" s="181"/>
      <c r="CD78" s="181"/>
      <c r="CE78" s="181"/>
      <c r="CF78" s="181"/>
      <c r="CG78" s="181"/>
      <c r="CH78" s="181"/>
      <c r="CI78" s="181"/>
      <c r="CJ78" s="181"/>
      <c r="CK78" s="181"/>
      <c r="CL78" s="181"/>
      <c r="CM78" s="181"/>
      <c r="CN78" s="181"/>
      <c r="CO78" s="181"/>
      <c r="CP78" s="181"/>
      <c r="CQ78" s="181"/>
      <c r="CR78" s="181"/>
      <c r="CS78" s="181"/>
      <c r="CT78" s="181"/>
      <c r="CU78" s="181">
        <v>3</v>
      </c>
      <c r="CV78" s="167">
        <v>1</v>
      </c>
      <c r="CW78" s="181"/>
      <c r="CX78" s="181"/>
      <c r="CY78" s="181"/>
      <c r="CZ78" s="181"/>
      <c r="DA78" s="181"/>
      <c r="DB78" s="181"/>
      <c r="DC78" s="181"/>
      <c r="DD78" s="181"/>
      <c r="DE78" s="181"/>
      <c r="DF78" s="181"/>
      <c r="DG78" s="181"/>
      <c r="DH78" s="181"/>
      <c r="DI78" s="182"/>
      <c r="DJ78" s="177"/>
      <c r="DK78" s="181"/>
      <c r="DL78" s="181"/>
      <c r="DM78" s="181"/>
      <c r="DN78" s="181"/>
      <c r="DO78" s="181"/>
      <c r="DP78" s="181"/>
      <c r="DQ78" s="181"/>
      <c r="DR78" s="181"/>
      <c r="DS78" s="183"/>
    </row>
    <row r="79" spans="1:123" ht="60" customHeight="1" thickBot="1">
      <c r="A79" s="340"/>
      <c r="B79" s="277"/>
      <c r="C79" s="278"/>
      <c r="D79" s="281" t="s">
        <v>70</v>
      </c>
      <c r="E79" s="327"/>
      <c r="F79" s="326"/>
      <c r="G79" s="338"/>
      <c r="H79" s="159">
        <v>5</v>
      </c>
      <c r="I79" s="155">
        <f t="shared" ref="I79:I106" si="3">SUM(M79:DI79)</f>
        <v>16</v>
      </c>
      <c r="J79" s="81" t="s">
        <v>62</v>
      </c>
      <c r="K79" s="210"/>
      <c r="L79" s="207"/>
      <c r="M79" s="82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181">
        <v>5</v>
      </c>
      <c r="AW79" s="179">
        <v>4</v>
      </c>
      <c r="AX79" s="181"/>
      <c r="AY79" s="184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66"/>
      <c r="BP79" s="180"/>
      <c r="BQ79" s="170"/>
      <c r="BR79" s="181">
        <v>1</v>
      </c>
      <c r="BS79" s="181"/>
      <c r="BT79" s="181"/>
      <c r="BU79" s="181"/>
      <c r="BV79" s="181"/>
      <c r="BW79" s="181"/>
      <c r="BX79" s="181"/>
      <c r="BY79" s="181"/>
      <c r="BZ79" s="181"/>
      <c r="CA79" s="181"/>
      <c r="CB79" s="181">
        <v>2</v>
      </c>
      <c r="CC79" s="181"/>
      <c r="CD79" s="181"/>
      <c r="CE79" s="181"/>
      <c r="CF79" s="181"/>
      <c r="CG79" s="181"/>
      <c r="CH79" s="181"/>
      <c r="CI79" s="181"/>
      <c r="CJ79" s="181"/>
      <c r="CK79" s="181"/>
      <c r="CL79" s="181"/>
      <c r="CM79" s="181"/>
      <c r="CN79" s="181"/>
      <c r="CO79" s="181"/>
      <c r="CP79" s="181"/>
      <c r="CQ79" s="181"/>
      <c r="CR79" s="181"/>
      <c r="CS79" s="181"/>
      <c r="CT79" s="181"/>
      <c r="CU79" s="181">
        <v>3</v>
      </c>
      <c r="CV79" s="167">
        <v>1</v>
      </c>
      <c r="CW79" s="181"/>
      <c r="CX79" s="181"/>
      <c r="CY79" s="181"/>
      <c r="CZ79" s="181"/>
      <c r="DA79" s="181"/>
      <c r="DB79" s="181"/>
      <c r="DC79" s="181"/>
      <c r="DD79" s="181"/>
      <c r="DE79" s="181"/>
      <c r="DF79" s="181"/>
      <c r="DG79" s="181"/>
      <c r="DH79" s="181"/>
      <c r="DI79" s="182"/>
      <c r="DJ79" s="177"/>
      <c r="DK79" s="181"/>
      <c r="DL79" s="181"/>
      <c r="DM79" s="181"/>
      <c r="DN79" s="181"/>
      <c r="DO79" s="181"/>
      <c r="DP79" s="181"/>
      <c r="DQ79" s="181"/>
      <c r="DR79" s="181"/>
      <c r="DS79" s="183"/>
    </row>
    <row r="80" spans="1:123" ht="60" customHeight="1" thickBot="1">
      <c r="A80" s="340"/>
      <c r="B80" s="277"/>
      <c r="C80" s="278"/>
      <c r="D80" s="282"/>
      <c r="E80" s="326"/>
      <c r="F80" s="326"/>
      <c r="G80" s="338"/>
      <c r="H80" s="159">
        <v>10</v>
      </c>
      <c r="I80" s="155">
        <f t="shared" si="3"/>
        <v>16</v>
      </c>
      <c r="J80" s="81" t="s">
        <v>63</v>
      </c>
      <c r="K80" s="210"/>
      <c r="L80" s="207"/>
      <c r="M80" s="82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>
        <v>5</v>
      </c>
      <c r="AW80" s="186">
        <v>4</v>
      </c>
      <c r="AX80" s="185"/>
      <c r="AY80" s="187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66"/>
      <c r="BP80" s="188"/>
      <c r="BQ80" s="170"/>
      <c r="BR80" s="185">
        <v>1</v>
      </c>
      <c r="BS80" s="185"/>
      <c r="BT80" s="185"/>
      <c r="BU80" s="185"/>
      <c r="BV80" s="185"/>
      <c r="BW80" s="185"/>
      <c r="BX80" s="185"/>
      <c r="BY80" s="185"/>
      <c r="BZ80" s="185"/>
      <c r="CA80" s="181"/>
      <c r="CB80" s="185">
        <v>2</v>
      </c>
      <c r="CC80" s="185"/>
      <c r="CD80" s="185"/>
      <c r="CE80" s="185"/>
      <c r="CF80" s="185"/>
      <c r="CG80" s="185"/>
      <c r="CH80" s="185"/>
      <c r="CI80" s="185"/>
      <c r="CJ80" s="185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>
        <v>3</v>
      </c>
      <c r="CV80" s="167">
        <v>1</v>
      </c>
      <c r="CW80" s="185"/>
      <c r="CX80" s="185"/>
      <c r="CY80" s="185"/>
      <c r="CZ80" s="185"/>
      <c r="DA80" s="185"/>
      <c r="DB80" s="185"/>
      <c r="DC80" s="185"/>
      <c r="DD80" s="185"/>
      <c r="DE80" s="185"/>
      <c r="DF80" s="185"/>
      <c r="DG80" s="185"/>
      <c r="DH80" s="185"/>
      <c r="DI80" s="189"/>
      <c r="DJ80" s="190"/>
      <c r="DK80" s="185"/>
      <c r="DL80" s="185"/>
      <c r="DM80" s="185"/>
      <c r="DN80" s="185"/>
      <c r="DO80" s="185"/>
      <c r="DP80" s="185"/>
      <c r="DQ80" s="185"/>
      <c r="DR80" s="185"/>
      <c r="DS80" s="183"/>
    </row>
    <row r="81" spans="1:123" ht="60" customHeight="1" thickBot="1">
      <c r="A81" s="340"/>
      <c r="B81" s="277"/>
      <c r="C81" s="278"/>
      <c r="D81" s="282"/>
      <c r="E81" s="334"/>
      <c r="F81" s="326"/>
      <c r="G81" s="338"/>
      <c r="H81" s="159">
        <v>9</v>
      </c>
      <c r="I81" s="155">
        <f t="shared" si="3"/>
        <v>16</v>
      </c>
      <c r="J81" s="81" t="s">
        <v>66</v>
      </c>
      <c r="K81" s="210"/>
      <c r="L81" s="207"/>
      <c r="M81" s="82"/>
      <c r="N81" s="185">
        <v>2</v>
      </c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>
        <v>5</v>
      </c>
      <c r="AW81" s="186">
        <v>3</v>
      </c>
      <c r="AX81" s="185"/>
      <c r="AY81" s="187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  <c r="BM81" s="185"/>
      <c r="BN81" s="185"/>
      <c r="BO81" s="166"/>
      <c r="BP81" s="188"/>
      <c r="BQ81" s="170"/>
      <c r="BR81" s="185">
        <v>1</v>
      </c>
      <c r="BS81" s="185"/>
      <c r="BT81" s="185"/>
      <c r="BU81" s="185"/>
      <c r="BV81" s="185"/>
      <c r="BW81" s="185"/>
      <c r="BX81" s="185"/>
      <c r="BY81" s="185"/>
      <c r="BZ81" s="185"/>
      <c r="CA81" s="185"/>
      <c r="CB81" s="185">
        <v>2</v>
      </c>
      <c r="CC81" s="185"/>
      <c r="CD81" s="185"/>
      <c r="CE81" s="185"/>
      <c r="CF81" s="185"/>
      <c r="CG81" s="185"/>
      <c r="CH81" s="185"/>
      <c r="CI81" s="185"/>
      <c r="CJ81" s="185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>
        <v>2</v>
      </c>
      <c r="CV81" s="167">
        <v>1</v>
      </c>
      <c r="CW81" s="185"/>
      <c r="CX81" s="185"/>
      <c r="CY81" s="185"/>
      <c r="CZ81" s="185"/>
      <c r="DA81" s="185"/>
      <c r="DB81" s="185"/>
      <c r="DC81" s="185"/>
      <c r="DD81" s="185"/>
      <c r="DE81" s="185"/>
      <c r="DF81" s="185"/>
      <c r="DG81" s="185"/>
      <c r="DH81" s="185"/>
      <c r="DI81" s="189"/>
      <c r="DJ81" s="190"/>
      <c r="DK81" s="185"/>
      <c r="DL81" s="185"/>
      <c r="DM81" s="185"/>
      <c r="DN81" s="185"/>
      <c r="DO81" s="185"/>
      <c r="DP81" s="185"/>
      <c r="DQ81" s="185"/>
      <c r="DR81" s="185"/>
      <c r="DS81" s="183"/>
    </row>
    <row r="82" spans="1:123" ht="60" customHeight="1" thickBot="1">
      <c r="A82" s="340"/>
      <c r="B82" s="277"/>
      <c r="C82" s="278"/>
      <c r="D82" s="282"/>
      <c r="E82" s="284" t="s">
        <v>71</v>
      </c>
      <c r="F82" s="325"/>
      <c r="G82" s="287" t="s">
        <v>72</v>
      </c>
      <c r="H82" s="160">
        <v>11</v>
      </c>
      <c r="I82" s="155">
        <f t="shared" si="3"/>
        <v>16</v>
      </c>
      <c r="J82" s="81" t="s">
        <v>67</v>
      </c>
      <c r="K82" s="211"/>
      <c r="L82" s="241"/>
      <c r="M82" s="82"/>
      <c r="N82" s="191">
        <v>2</v>
      </c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>
        <v>5</v>
      </c>
      <c r="AW82" s="192">
        <v>3</v>
      </c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3"/>
      <c r="BQ82" s="170"/>
      <c r="BR82" s="191">
        <v>1</v>
      </c>
      <c r="BS82" s="191"/>
      <c r="BT82" s="191"/>
      <c r="BU82" s="191"/>
      <c r="BV82" s="191"/>
      <c r="BW82" s="191"/>
      <c r="BX82" s="191"/>
      <c r="BY82" s="191"/>
      <c r="BZ82" s="191"/>
      <c r="CA82" s="191"/>
      <c r="CB82" s="191">
        <v>2</v>
      </c>
      <c r="CC82" s="191"/>
      <c r="CD82" s="191"/>
      <c r="CE82" s="191"/>
      <c r="CF82" s="191"/>
      <c r="CG82" s="191"/>
      <c r="CH82" s="191"/>
      <c r="CI82" s="191"/>
      <c r="CJ82" s="191"/>
      <c r="CK82" s="191"/>
      <c r="CL82" s="191"/>
      <c r="CM82" s="191"/>
      <c r="CN82" s="191"/>
      <c r="CO82" s="191"/>
      <c r="CP82" s="191"/>
      <c r="CQ82" s="191"/>
      <c r="CR82" s="191"/>
      <c r="CS82" s="191"/>
      <c r="CT82" s="191"/>
      <c r="CU82" s="191">
        <v>2</v>
      </c>
      <c r="CV82" s="192">
        <v>1</v>
      </c>
      <c r="CW82" s="191"/>
      <c r="CX82" s="191"/>
      <c r="CY82" s="191"/>
      <c r="CZ82" s="191"/>
      <c r="DA82" s="191"/>
      <c r="DB82" s="191"/>
      <c r="DC82" s="191"/>
      <c r="DD82" s="191"/>
      <c r="DE82" s="191"/>
      <c r="DF82" s="191"/>
      <c r="DG82" s="191"/>
      <c r="DH82" s="191"/>
      <c r="DI82" s="194"/>
      <c r="DJ82" s="195"/>
      <c r="DK82" s="191"/>
      <c r="DL82" s="191"/>
      <c r="DM82" s="191"/>
      <c r="DN82" s="191"/>
      <c r="DO82" s="191"/>
      <c r="DP82" s="191"/>
      <c r="DQ82" s="191"/>
      <c r="DR82" s="191"/>
      <c r="DS82" s="196"/>
    </row>
    <row r="83" spans="1:123" ht="60" customHeight="1" thickBot="1">
      <c r="A83" s="340"/>
      <c r="B83" s="277"/>
      <c r="C83" s="278"/>
      <c r="D83" s="282"/>
      <c r="E83" s="285"/>
      <c r="F83" s="325"/>
      <c r="G83" s="288"/>
      <c r="H83" s="163">
        <v>11</v>
      </c>
      <c r="I83" s="155">
        <f t="shared" si="3"/>
        <v>16</v>
      </c>
      <c r="J83" s="81" t="s">
        <v>53</v>
      </c>
      <c r="K83" s="203">
        <f ca="1">+K89</f>
        <v>46270</v>
      </c>
      <c r="L83" s="206" t="s">
        <v>54</v>
      </c>
      <c r="M83" s="82"/>
      <c r="N83" s="166">
        <v>2</v>
      </c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>
        <v>5</v>
      </c>
      <c r="AW83" s="167">
        <v>3</v>
      </c>
      <c r="AX83" s="166"/>
      <c r="AY83" s="168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  <c r="BM83" s="166"/>
      <c r="BN83" s="166"/>
      <c r="BO83" s="166"/>
      <c r="BP83" s="169"/>
      <c r="BQ83" s="315"/>
      <c r="BR83" s="171">
        <v>1</v>
      </c>
      <c r="BS83" s="171"/>
      <c r="BT83" s="171"/>
      <c r="BU83" s="171"/>
      <c r="BV83" s="171"/>
      <c r="BW83" s="171"/>
      <c r="BX83" s="171"/>
      <c r="BY83" s="171"/>
      <c r="BZ83" s="171"/>
      <c r="CA83" s="171"/>
      <c r="CB83" s="171">
        <v>2</v>
      </c>
      <c r="CC83" s="171"/>
      <c r="CD83" s="171"/>
      <c r="CE83" s="171"/>
      <c r="CF83" s="171"/>
      <c r="CG83" s="171"/>
      <c r="CH83" s="171"/>
      <c r="CI83" s="171"/>
      <c r="CJ83" s="171"/>
      <c r="CK83" s="171"/>
      <c r="CL83" s="171"/>
      <c r="CM83" s="171"/>
      <c r="CN83" s="166"/>
      <c r="CO83" s="171"/>
      <c r="CP83" s="171"/>
      <c r="CQ83" s="171"/>
      <c r="CR83" s="171"/>
      <c r="CS83" s="171"/>
      <c r="CT83" s="171"/>
      <c r="CU83" s="171">
        <v>2</v>
      </c>
      <c r="CV83" s="167">
        <v>1</v>
      </c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72"/>
      <c r="DJ83" s="173"/>
      <c r="DK83" s="174"/>
      <c r="DL83" s="174"/>
      <c r="DM83" s="174"/>
      <c r="DN83" s="174"/>
      <c r="DO83" s="174"/>
      <c r="DP83" s="174"/>
      <c r="DQ83" s="174"/>
      <c r="DR83" s="174"/>
      <c r="DS83" s="175"/>
    </row>
    <row r="84" spans="1:123" ht="60" customHeight="1" thickBot="1">
      <c r="A84" s="260" t="s">
        <v>73</v>
      </c>
      <c r="B84" s="277"/>
      <c r="C84" s="278"/>
      <c r="D84" s="282"/>
      <c r="E84" s="285"/>
      <c r="F84" s="325"/>
      <c r="G84" s="288"/>
      <c r="H84" s="159">
        <v>11</v>
      </c>
      <c r="I84" s="155">
        <f t="shared" si="3"/>
        <v>16</v>
      </c>
      <c r="J84" s="81" t="s">
        <v>55</v>
      </c>
      <c r="K84" s="204"/>
      <c r="L84" s="206"/>
      <c r="M84" s="82"/>
      <c r="N84" s="166">
        <v>2</v>
      </c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166"/>
      <c r="AU84" s="166"/>
      <c r="AV84" s="166">
        <v>5</v>
      </c>
      <c r="AW84" s="167">
        <v>3</v>
      </c>
      <c r="AX84" s="166"/>
      <c r="AY84" s="168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166"/>
      <c r="BM84" s="166"/>
      <c r="BN84" s="166"/>
      <c r="BO84" s="166"/>
      <c r="BP84" s="169"/>
      <c r="BQ84" s="315"/>
      <c r="BR84" s="169">
        <v>1</v>
      </c>
      <c r="BS84" s="169"/>
      <c r="BT84" s="166"/>
      <c r="BU84" s="166"/>
      <c r="BV84" s="166"/>
      <c r="BW84" s="166"/>
      <c r="BX84" s="166"/>
      <c r="BY84" s="166"/>
      <c r="BZ84" s="166"/>
      <c r="CA84" s="166"/>
      <c r="CB84" s="169">
        <v>2</v>
      </c>
      <c r="CC84" s="169"/>
      <c r="CD84" s="166"/>
      <c r="CE84" s="166"/>
      <c r="CF84" s="169"/>
      <c r="CG84" s="169"/>
      <c r="CH84" s="166"/>
      <c r="CI84" s="166"/>
      <c r="CJ84" s="166"/>
      <c r="CK84" s="166"/>
      <c r="CL84" s="166"/>
      <c r="CM84" s="166"/>
      <c r="CN84" s="166"/>
      <c r="CO84" s="166"/>
      <c r="CP84" s="166"/>
      <c r="CQ84" s="169"/>
      <c r="CR84" s="169"/>
      <c r="CS84" s="166"/>
      <c r="CT84" s="169"/>
      <c r="CU84" s="166">
        <v>2</v>
      </c>
      <c r="CV84" s="167">
        <v>1</v>
      </c>
      <c r="CW84" s="166"/>
      <c r="CX84" s="166"/>
      <c r="CY84" s="166"/>
      <c r="CZ84" s="166"/>
      <c r="DA84" s="166"/>
      <c r="DB84" s="166"/>
      <c r="DC84" s="166"/>
      <c r="DD84" s="166"/>
      <c r="DE84" s="166"/>
      <c r="DF84" s="166"/>
      <c r="DG84" s="166"/>
      <c r="DH84" s="166"/>
      <c r="DI84" s="176"/>
      <c r="DJ84" s="177"/>
      <c r="DK84" s="166"/>
      <c r="DL84" s="166"/>
      <c r="DM84" s="166"/>
      <c r="DN84" s="166"/>
      <c r="DO84" s="166"/>
      <c r="DP84" s="166"/>
      <c r="DQ84" s="166"/>
      <c r="DR84" s="166"/>
      <c r="DS84" s="178"/>
    </row>
    <row r="85" spans="1:123" ht="60" customHeight="1" thickBot="1">
      <c r="A85" s="261"/>
      <c r="B85" s="277"/>
      <c r="C85" s="278"/>
      <c r="D85" s="282"/>
      <c r="E85" s="285"/>
      <c r="F85" s="325"/>
      <c r="G85" s="288"/>
      <c r="H85" s="159">
        <v>15</v>
      </c>
      <c r="I85" s="155">
        <f t="shared" si="3"/>
        <v>16</v>
      </c>
      <c r="J85" s="81" t="s">
        <v>56</v>
      </c>
      <c r="K85" s="204"/>
      <c r="L85" s="206"/>
      <c r="M85" s="82"/>
      <c r="N85" s="166">
        <v>2</v>
      </c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>
        <v>5</v>
      </c>
      <c r="AW85" s="179">
        <v>3</v>
      </c>
      <c r="AX85" s="166"/>
      <c r="AY85" s="168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  <c r="BM85" s="166"/>
      <c r="BN85" s="166"/>
      <c r="BO85" s="166"/>
      <c r="BP85" s="169"/>
      <c r="BQ85" s="315"/>
      <c r="BR85" s="180">
        <v>1</v>
      </c>
      <c r="BS85" s="180"/>
      <c r="BT85" s="166"/>
      <c r="BU85" s="166"/>
      <c r="BV85" s="166"/>
      <c r="BW85" s="181"/>
      <c r="BX85" s="166"/>
      <c r="BY85" s="166"/>
      <c r="BZ85" s="166"/>
      <c r="CA85" s="166"/>
      <c r="CB85" s="180">
        <v>2</v>
      </c>
      <c r="CC85" s="180"/>
      <c r="CD85" s="166"/>
      <c r="CE85" s="166"/>
      <c r="CF85" s="180"/>
      <c r="CG85" s="180"/>
      <c r="CH85" s="166"/>
      <c r="CI85" s="166"/>
      <c r="CJ85" s="166"/>
      <c r="CK85" s="166"/>
      <c r="CL85" s="166"/>
      <c r="CM85" s="166"/>
      <c r="CN85" s="166"/>
      <c r="CO85" s="166"/>
      <c r="CP85" s="166"/>
      <c r="CQ85" s="180"/>
      <c r="CR85" s="180"/>
      <c r="CS85" s="166"/>
      <c r="CT85" s="180"/>
      <c r="CU85" s="166">
        <v>2</v>
      </c>
      <c r="CV85" s="167">
        <v>1</v>
      </c>
      <c r="CW85" s="181"/>
      <c r="CX85" s="181"/>
      <c r="CY85" s="181"/>
      <c r="CZ85" s="181"/>
      <c r="DA85" s="181"/>
      <c r="DB85" s="181"/>
      <c r="DC85" s="181"/>
      <c r="DD85" s="181"/>
      <c r="DE85" s="181"/>
      <c r="DF85" s="181"/>
      <c r="DG85" s="181"/>
      <c r="DH85" s="181"/>
      <c r="DI85" s="182"/>
      <c r="DJ85" s="177"/>
      <c r="DK85" s="166"/>
      <c r="DL85" s="166"/>
      <c r="DM85" s="166"/>
      <c r="DN85" s="166"/>
      <c r="DO85" s="181"/>
      <c r="DP85" s="166"/>
      <c r="DQ85" s="166"/>
      <c r="DR85" s="166"/>
      <c r="DS85" s="178"/>
    </row>
    <row r="86" spans="1:123" ht="60" customHeight="1" thickBot="1">
      <c r="A86" s="261"/>
      <c r="B86" s="277"/>
      <c r="C86" s="278"/>
      <c r="D86" s="282"/>
      <c r="E86" s="285"/>
      <c r="F86" s="325"/>
      <c r="G86" s="288"/>
      <c r="H86" s="159">
        <v>13</v>
      </c>
      <c r="I86" s="155">
        <f t="shared" si="3"/>
        <v>16</v>
      </c>
      <c r="J86" s="81" t="s">
        <v>57</v>
      </c>
      <c r="K86" s="204"/>
      <c r="L86" s="206"/>
      <c r="M86" s="82"/>
      <c r="N86" s="166">
        <v>2</v>
      </c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>
        <v>5</v>
      </c>
      <c r="AW86" s="179">
        <v>3</v>
      </c>
      <c r="AX86" s="166"/>
      <c r="AY86" s="168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166"/>
      <c r="BM86" s="166"/>
      <c r="BN86" s="166"/>
      <c r="BO86" s="166"/>
      <c r="BP86" s="169"/>
      <c r="BQ86" s="315"/>
      <c r="BR86" s="180">
        <v>1</v>
      </c>
      <c r="BS86" s="180"/>
      <c r="BT86" s="166"/>
      <c r="BU86" s="166"/>
      <c r="BV86" s="166"/>
      <c r="BW86" s="180"/>
      <c r="BX86" s="166"/>
      <c r="BY86" s="166"/>
      <c r="BZ86" s="166"/>
      <c r="CA86" s="166"/>
      <c r="CB86" s="180">
        <v>2</v>
      </c>
      <c r="CC86" s="180"/>
      <c r="CD86" s="180"/>
      <c r="CE86" s="166"/>
      <c r="CF86" s="180"/>
      <c r="CG86" s="180"/>
      <c r="CH86" s="166"/>
      <c r="CI86" s="166"/>
      <c r="CJ86" s="166"/>
      <c r="CK86" s="166"/>
      <c r="CL86" s="166"/>
      <c r="CM86" s="166"/>
      <c r="CN86" s="166"/>
      <c r="CO86" s="166"/>
      <c r="CP86" s="166"/>
      <c r="CQ86" s="180"/>
      <c r="CR86" s="180"/>
      <c r="CS86" s="166"/>
      <c r="CT86" s="180"/>
      <c r="CU86" s="166">
        <v>2</v>
      </c>
      <c r="CV86" s="167">
        <v>1</v>
      </c>
      <c r="CW86" s="181"/>
      <c r="CX86" s="181"/>
      <c r="CY86" s="181"/>
      <c r="CZ86" s="181"/>
      <c r="DA86" s="181"/>
      <c r="DB86" s="181"/>
      <c r="DC86" s="181"/>
      <c r="DD86" s="181"/>
      <c r="DE86" s="181"/>
      <c r="DF86" s="181"/>
      <c r="DG86" s="181"/>
      <c r="DH86" s="181"/>
      <c r="DI86" s="182"/>
      <c r="DJ86" s="177"/>
      <c r="DK86" s="166"/>
      <c r="DL86" s="166"/>
      <c r="DM86" s="166"/>
      <c r="DN86" s="166"/>
      <c r="DO86" s="181"/>
      <c r="DP86" s="166"/>
      <c r="DQ86" s="166"/>
      <c r="DR86" s="166"/>
      <c r="DS86" s="178"/>
    </row>
    <row r="87" spans="1:123" ht="60" customHeight="1" thickBot="1">
      <c r="A87" s="261"/>
      <c r="B87" s="277"/>
      <c r="C87" s="278"/>
      <c r="D87" s="282"/>
      <c r="E87" s="285"/>
      <c r="F87" s="325"/>
      <c r="G87" s="288"/>
      <c r="H87" s="159">
        <v>13</v>
      </c>
      <c r="I87" s="155">
        <f t="shared" si="3"/>
        <v>16</v>
      </c>
      <c r="J87" s="81" t="s">
        <v>58</v>
      </c>
      <c r="K87" s="204"/>
      <c r="L87" s="206"/>
      <c r="M87" s="82"/>
      <c r="N87" s="166">
        <v>2</v>
      </c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>
        <v>5</v>
      </c>
      <c r="AW87" s="179">
        <v>3</v>
      </c>
      <c r="AX87" s="166"/>
      <c r="AY87" s="168"/>
      <c r="AZ87" s="166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66"/>
      <c r="BP87" s="180"/>
      <c r="BQ87" s="315"/>
      <c r="BR87" s="180">
        <v>2</v>
      </c>
      <c r="BS87" s="180"/>
      <c r="BT87" s="181"/>
      <c r="BU87" s="166"/>
      <c r="BV87" s="181"/>
      <c r="BW87" s="180"/>
      <c r="BX87" s="181"/>
      <c r="BY87" s="181"/>
      <c r="BZ87" s="181"/>
      <c r="CA87" s="181"/>
      <c r="CB87" s="180">
        <v>1</v>
      </c>
      <c r="CC87" s="180"/>
      <c r="CD87" s="180"/>
      <c r="CE87" s="181"/>
      <c r="CF87" s="180"/>
      <c r="CG87" s="180"/>
      <c r="CH87" s="181"/>
      <c r="CI87" s="166"/>
      <c r="CJ87" s="181"/>
      <c r="CK87" s="181"/>
      <c r="CL87" s="181"/>
      <c r="CM87" s="181"/>
      <c r="CN87" s="181"/>
      <c r="CO87" s="181"/>
      <c r="CP87" s="181"/>
      <c r="CQ87" s="180"/>
      <c r="CR87" s="180"/>
      <c r="CS87" s="181"/>
      <c r="CT87" s="180"/>
      <c r="CU87" s="181">
        <v>2</v>
      </c>
      <c r="CV87" s="167">
        <v>1</v>
      </c>
      <c r="CW87" s="181"/>
      <c r="CX87" s="181"/>
      <c r="CY87" s="181"/>
      <c r="CZ87" s="181"/>
      <c r="DA87" s="181"/>
      <c r="DB87" s="181"/>
      <c r="DC87" s="181"/>
      <c r="DD87" s="181"/>
      <c r="DE87" s="181"/>
      <c r="DF87" s="181"/>
      <c r="DG87" s="181"/>
      <c r="DH87" s="181"/>
      <c r="DI87" s="182"/>
      <c r="DJ87" s="177"/>
      <c r="DK87" s="181"/>
      <c r="DL87" s="181"/>
      <c r="DM87" s="181"/>
      <c r="DN87" s="181"/>
      <c r="DO87" s="181"/>
      <c r="DP87" s="181"/>
      <c r="DQ87" s="181"/>
      <c r="DR87" s="181"/>
      <c r="DS87" s="183"/>
    </row>
    <row r="88" spans="1:123" ht="60" customHeight="1" thickBot="1">
      <c r="A88" s="261"/>
      <c r="B88" s="277"/>
      <c r="C88" s="278"/>
      <c r="D88" s="282"/>
      <c r="E88" s="285"/>
      <c r="F88" s="290" t="s">
        <v>74</v>
      </c>
      <c r="G88" s="288"/>
      <c r="H88" s="159">
        <v>15</v>
      </c>
      <c r="I88" s="155">
        <f t="shared" si="3"/>
        <v>16</v>
      </c>
      <c r="J88" s="81" t="s">
        <v>59</v>
      </c>
      <c r="K88" s="205"/>
      <c r="L88" s="206"/>
      <c r="M88" s="82"/>
      <c r="N88" s="166">
        <v>2</v>
      </c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>
        <v>5</v>
      </c>
      <c r="AW88" s="179">
        <v>3</v>
      </c>
      <c r="AX88" s="166"/>
      <c r="AY88" s="168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166"/>
      <c r="BM88" s="166"/>
      <c r="BN88" s="166"/>
      <c r="BO88" s="166"/>
      <c r="BP88" s="180"/>
      <c r="BQ88" s="315"/>
      <c r="BR88" s="180">
        <v>2</v>
      </c>
      <c r="BS88" s="180"/>
      <c r="BT88" s="181"/>
      <c r="BU88" s="166"/>
      <c r="BV88" s="181"/>
      <c r="BW88" s="180"/>
      <c r="BX88" s="181"/>
      <c r="BY88" s="181"/>
      <c r="BZ88" s="181"/>
      <c r="CA88" s="181"/>
      <c r="CB88" s="180">
        <v>1</v>
      </c>
      <c r="CC88" s="180"/>
      <c r="CD88" s="180"/>
      <c r="CE88" s="181"/>
      <c r="CF88" s="180"/>
      <c r="CG88" s="180"/>
      <c r="CH88" s="181"/>
      <c r="CI88" s="166"/>
      <c r="CJ88" s="181"/>
      <c r="CK88" s="181"/>
      <c r="CL88" s="181"/>
      <c r="CM88" s="181"/>
      <c r="CN88" s="181"/>
      <c r="CO88" s="181"/>
      <c r="CP88" s="181"/>
      <c r="CQ88" s="180"/>
      <c r="CR88" s="180"/>
      <c r="CS88" s="181"/>
      <c r="CT88" s="180"/>
      <c r="CU88" s="181">
        <v>2</v>
      </c>
      <c r="CV88" s="167">
        <v>1</v>
      </c>
      <c r="CW88" s="181"/>
      <c r="CX88" s="181"/>
      <c r="CY88" s="181"/>
      <c r="CZ88" s="181"/>
      <c r="DA88" s="181"/>
      <c r="DB88" s="181"/>
      <c r="DC88" s="181"/>
      <c r="DD88" s="181"/>
      <c r="DE88" s="181"/>
      <c r="DF88" s="181"/>
      <c r="DG88" s="181"/>
      <c r="DH88" s="181"/>
      <c r="DI88" s="182"/>
      <c r="DJ88" s="177"/>
      <c r="DK88" s="181"/>
      <c r="DL88" s="181"/>
      <c r="DM88" s="181"/>
      <c r="DN88" s="181"/>
      <c r="DO88" s="181"/>
      <c r="DP88" s="181"/>
      <c r="DQ88" s="181"/>
      <c r="DR88" s="181"/>
      <c r="DS88" s="183"/>
    </row>
    <row r="89" spans="1:123" ht="60" customHeight="1" thickBot="1">
      <c r="A89" s="261"/>
      <c r="B89" s="279"/>
      <c r="C89" s="280"/>
      <c r="D89" s="282"/>
      <c r="E89" s="285"/>
      <c r="F89" s="291"/>
      <c r="G89" s="289"/>
      <c r="H89" s="159">
        <v>15</v>
      </c>
      <c r="I89" s="155">
        <f t="shared" si="3"/>
        <v>16</v>
      </c>
      <c r="J89" s="81" t="s">
        <v>60</v>
      </c>
      <c r="K89" s="209">
        <f ca="1">K77+1</f>
        <v>46270</v>
      </c>
      <c r="L89" s="206"/>
      <c r="M89" s="82"/>
      <c r="N89" s="181">
        <v>2</v>
      </c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>
        <v>5</v>
      </c>
      <c r="AW89" s="179">
        <v>3</v>
      </c>
      <c r="AX89" s="181"/>
      <c r="AY89" s="184"/>
      <c r="AZ89" s="181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  <c r="BM89" s="166"/>
      <c r="BN89" s="166"/>
      <c r="BO89" s="166"/>
      <c r="BP89" s="180"/>
      <c r="BQ89" s="315"/>
      <c r="BR89" s="181">
        <v>2</v>
      </c>
      <c r="BS89" s="181"/>
      <c r="BT89" s="181"/>
      <c r="BU89" s="181"/>
      <c r="BV89" s="181"/>
      <c r="BW89" s="181"/>
      <c r="BX89" s="181"/>
      <c r="BY89" s="181"/>
      <c r="BZ89" s="181"/>
      <c r="CA89" s="181"/>
      <c r="CB89" s="181">
        <v>1</v>
      </c>
      <c r="CC89" s="181"/>
      <c r="CD89" s="181"/>
      <c r="CE89" s="181"/>
      <c r="CF89" s="181"/>
      <c r="CG89" s="181"/>
      <c r="CH89" s="181"/>
      <c r="CI89" s="181"/>
      <c r="CJ89" s="181"/>
      <c r="CK89" s="181"/>
      <c r="CL89" s="181"/>
      <c r="CM89" s="181"/>
      <c r="CN89" s="181"/>
      <c r="CO89" s="181"/>
      <c r="CP89" s="181"/>
      <c r="CQ89" s="181"/>
      <c r="CR89" s="181"/>
      <c r="CS89" s="181"/>
      <c r="CT89" s="181"/>
      <c r="CU89" s="181">
        <v>2</v>
      </c>
      <c r="CV89" s="167">
        <v>1</v>
      </c>
      <c r="CW89" s="181"/>
      <c r="CX89" s="181"/>
      <c r="CY89" s="181"/>
      <c r="CZ89" s="181"/>
      <c r="DA89" s="181"/>
      <c r="DB89" s="181"/>
      <c r="DC89" s="181"/>
      <c r="DD89" s="181"/>
      <c r="DE89" s="181"/>
      <c r="DF89" s="181"/>
      <c r="DG89" s="181"/>
      <c r="DH89" s="181"/>
      <c r="DI89" s="182"/>
      <c r="DJ89" s="177"/>
      <c r="DK89" s="181"/>
      <c r="DL89" s="181"/>
      <c r="DM89" s="181"/>
      <c r="DN89" s="181"/>
      <c r="DO89" s="181"/>
      <c r="DP89" s="181"/>
      <c r="DQ89" s="181"/>
      <c r="DR89" s="181"/>
      <c r="DS89" s="183"/>
    </row>
    <row r="90" spans="1:123" ht="60" customHeight="1" thickBot="1">
      <c r="A90" s="261"/>
      <c r="B90" s="327"/>
      <c r="C90" s="327"/>
      <c r="D90" s="282"/>
      <c r="E90" s="286"/>
      <c r="F90" s="291"/>
      <c r="G90" s="293" t="s">
        <v>75</v>
      </c>
      <c r="H90" s="159">
        <v>11</v>
      </c>
      <c r="I90" s="155">
        <f t="shared" si="3"/>
        <v>16</v>
      </c>
      <c r="J90" s="81" t="s">
        <v>61</v>
      </c>
      <c r="K90" s="210"/>
      <c r="L90" s="206"/>
      <c r="M90" s="82"/>
      <c r="N90" s="181">
        <v>2</v>
      </c>
      <c r="O90" s="181"/>
      <c r="P90" s="181"/>
      <c r="Q90" s="166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81"/>
      <c r="AL90" s="181"/>
      <c r="AM90" s="181"/>
      <c r="AN90" s="181"/>
      <c r="AO90" s="181"/>
      <c r="AP90" s="181"/>
      <c r="AQ90" s="181"/>
      <c r="AR90" s="181"/>
      <c r="AS90" s="181"/>
      <c r="AT90" s="181"/>
      <c r="AU90" s="181"/>
      <c r="AV90" s="181">
        <v>5</v>
      </c>
      <c r="AW90" s="179">
        <v>3</v>
      </c>
      <c r="AX90" s="181"/>
      <c r="AY90" s="184"/>
      <c r="AZ90" s="181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166"/>
      <c r="BM90" s="166"/>
      <c r="BN90" s="166"/>
      <c r="BO90" s="166"/>
      <c r="BP90" s="180"/>
      <c r="BQ90" s="315"/>
      <c r="BR90" s="181">
        <v>2</v>
      </c>
      <c r="BS90" s="181"/>
      <c r="BT90" s="181"/>
      <c r="BU90" s="198"/>
      <c r="BV90" s="181"/>
      <c r="BW90" s="181"/>
      <c r="BX90" s="181"/>
      <c r="BY90" s="181"/>
      <c r="BZ90" s="181"/>
      <c r="CA90" s="181"/>
      <c r="CB90" s="181">
        <v>1</v>
      </c>
      <c r="CC90" s="181"/>
      <c r="CD90" s="181"/>
      <c r="CE90" s="181"/>
      <c r="CF90" s="181"/>
      <c r="CG90" s="181"/>
      <c r="CH90" s="181"/>
      <c r="CI90" s="181"/>
      <c r="CJ90" s="181"/>
      <c r="CK90" s="181"/>
      <c r="CL90" s="181"/>
      <c r="CM90" s="181"/>
      <c r="CN90" s="181"/>
      <c r="CO90" s="181"/>
      <c r="CP90" s="181"/>
      <c r="CQ90" s="181"/>
      <c r="CR90" s="181"/>
      <c r="CS90" s="181"/>
      <c r="CT90" s="181"/>
      <c r="CU90" s="181">
        <v>2</v>
      </c>
      <c r="CV90" s="167">
        <v>1</v>
      </c>
      <c r="CW90" s="181"/>
      <c r="CX90" s="181"/>
      <c r="CY90" s="181"/>
      <c r="CZ90" s="181"/>
      <c r="DA90" s="181"/>
      <c r="DB90" s="181"/>
      <c r="DC90" s="181"/>
      <c r="DD90" s="181"/>
      <c r="DE90" s="181"/>
      <c r="DF90" s="181"/>
      <c r="DG90" s="181"/>
      <c r="DH90" s="181"/>
      <c r="DI90" s="182"/>
      <c r="DJ90" s="177"/>
      <c r="DK90" s="181"/>
      <c r="DL90" s="181"/>
      <c r="DM90" s="181"/>
      <c r="DN90" s="181"/>
      <c r="DO90" s="181"/>
      <c r="DP90" s="181"/>
      <c r="DQ90" s="181"/>
      <c r="DR90" s="181"/>
      <c r="DS90" s="183"/>
    </row>
    <row r="91" spans="1:123" ht="60" customHeight="1" thickBot="1">
      <c r="A91" s="261"/>
      <c r="B91" s="326"/>
      <c r="C91" s="326"/>
      <c r="D91" s="283"/>
      <c r="E91" s="327"/>
      <c r="F91" s="291"/>
      <c r="G91" s="294"/>
      <c r="H91" s="159">
        <v>11</v>
      </c>
      <c r="I91" s="155">
        <f t="shared" si="3"/>
        <v>16</v>
      </c>
      <c r="J91" s="81" t="s">
        <v>62</v>
      </c>
      <c r="K91" s="210"/>
      <c r="L91" s="206"/>
      <c r="M91" s="82"/>
      <c r="N91" s="181">
        <v>2</v>
      </c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>
        <v>5</v>
      </c>
      <c r="AW91" s="179">
        <v>3</v>
      </c>
      <c r="AX91" s="181"/>
      <c r="AY91" s="184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66"/>
      <c r="BP91" s="180"/>
      <c r="BQ91" s="315"/>
      <c r="BR91" s="181">
        <v>2</v>
      </c>
      <c r="BS91" s="181"/>
      <c r="BT91" s="181"/>
      <c r="BU91" s="181"/>
      <c r="BV91" s="181"/>
      <c r="BW91" s="181"/>
      <c r="BX91" s="181"/>
      <c r="BY91" s="181"/>
      <c r="BZ91" s="181"/>
      <c r="CA91" s="181"/>
      <c r="CB91" s="181">
        <v>1</v>
      </c>
      <c r="CC91" s="181"/>
      <c r="CD91" s="181"/>
      <c r="CE91" s="181"/>
      <c r="CF91" s="181"/>
      <c r="CG91" s="181"/>
      <c r="CH91" s="181"/>
      <c r="CI91" s="181"/>
      <c r="CJ91" s="181"/>
      <c r="CK91" s="181"/>
      <c r="CL91" s="181"/>
      <c r="CM91" s="181"/>
      <c r="CN91" s="181"/>
      <c r="CO91" s="181"/>
      <c r="CP91" s="181"/>
      <c r="CQ91" s="181"/>
      <c r="CR91" s="181"/>
      <c r="CS91" s="181"/>
      <c r="CT91" s="181"/>
      <c r="CU91" s="181">
        <v>2</v>
      </c>
      <c r="CV91" s="167">
        <v>1</v>
      </c>
      <c r="CW91" s="181"/>
      <c r="CX91" s="181"/>
      <c r="CY91" s="181"/>
      <c r="CZ91" s="181"/>
      <c r="DA91" s="181"/>
      <c r="DB91" s="181"/>
      <c r="DC91" s="181"/>
      <c r="DD91" s="181"/>
      <c r="DE91" s="181"/>
      <c r="DF91" s="181"/>
      <c r="DG91" s="181"/>
      <c r="DH91" s="181"/>
      <c r="DI91" s="182"/>
      <c r="DJ91" s="177"/>
      <c r="DK91" s="181"/>
      <c r="DL91" s="181"/>
      <c r="DM91" s="181"/>
      <c r="DN91" s="181"/>
      <c r="DO91" s="181"/>
      <c r="DP91" s="181"/>
      <c r="DQ91" s="181"/>
      <c r="DR91" s="181"/>
      <c r="DS91" s="183"/>
    </row>
    <row r="92" spans="1:123" ht="60" customHeight="1" thickBot="1">
      <c r="A92" s="261"/>
      <c r="B92" s="326"/>
      <c r="C92" s="326"/>
      <c r="D92" s="327"/>
      <c r="E92" s="326"/>
      <c r="F92" s="291"/>
      <c r="G92" s="294"/>
      <c r="H92" s="159">
        <v>8</v>
      </c>
      <c r="I92" s="155">
        <f t="shared" si="3"/>
        <v>16</v>
      </c>
      <c r="J92" s="81" t="s">
        <v>63</v>
      </c>
      <c r="K92" s="210"/>
      <c r="L92" s="206"/>
      <c r="M92" s="82"/>
      <c r="N92" s="185">
        <v>2</v>
      </c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>
        <v>3</v>
      </c>
      <c r="AW92" s="186">
        <v>5</v>
      </c>
      <c r="AX92" s="185"/>
      <c r="AY92" s="187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66"/>
      <c r="BP92" s="188"/>
      <c r="BQ92" s="315"/>
      <c r="BR92" s="185">
        <v>2</v>
      </c>
      <c r="BS92" s="185"/>
      <c r="BT92" s="185"/>
      <c r="BU92" s="185"/>
      <c r="BV92" s="185"/>
      <c r="BW92" s="185"/>
      <c r="BX92" s="185"/>
      <c r="BY92" s="185"/>
      <c r="BZ92" s="185"/>
      <c r="CA92" s="181"/>
      <c r="CB92" s="185">
        <v>1</v>
      </c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85"/>
      <c r="CQ92" s="185"/>
      <c r="CR92" s="185"/>
      <c r="CS92" s="185"/>
      <c r="CT92" s="185"/>
      <c r="CU92" s="185">
        <v>2</v>
      </c>
      <c r="CV92" s="167">
        <v>1</v>
      </c>
      <c r="CW92" s="185"/>
      <c r="CX92" s="185"/>
      <c r="CY92" s="185"/>
      <c r="CZ92" s="185"/>
      <c r="DA92" s="185"/>
      <c r="DB92" s="185"/>
      <c r="DC92" s="185"/>
      <c r="DD92" s="185"/>
      <c r="DE92" s="185"/>
      <c r="DF92" s="185"/>
      <c r="DG92" s="185"/>
      <c r="DH92" s="185"/>
      <c r="DI92" s="189"/>
      <c r="DJ92" s="190"/>
      <c r="DK92" s="185"/>
      <c r="DL92" s="185"/>
      <c r="DM92" s="185"/>
      <c r="DN92" s="185"/>
      <c r="DO92" s="185"/>
      <c r="DP92" s="185"/>
      <c r="DQ92" s="185"/>
      <c r="DR92" s="185"/>
      <c r="DS92" s="183"/>
    </row>
    <row r="93" spans="1:123" ht="60" customHeight="1" thickBot="1">
      <c r="A93" s="261"/>
      <c r="B93" s="326"/>
      <c r="C93" s="326"/>
      <c r="D93" s="326"/>
      <c r="E93" s="326"/>
      <c r="F93" s="291"/>
      <c r="G93" s="294"/>
      <c r="H93" s="159">
        <v>10</v>
      </c>
      <c r="I93" s="155">
        <f t="shared" si="3"/>
        <v>16</v>
      </c>
      <c r="J93" s="81" t="s">
        <v>66</v>
      </c>
      <c r="K93" s="210"/>
      <c r="L93" s="206"/>
      <c r="M93" s="82"/>
      <c r="N93" s="185">
        <v>2</v>
      </c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>
        <v>3</v>
      </c>
      <c r="AW93" s="186">
        <v>5</v>
      </c>
      <c r="AX93" s="185"/>
      <c r="AY93" s="187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66"/>
      <c r="BP93" s="188"/>
      <c r="BQ93" s="315"/>
      <c r="BR93" s="185">
        <v>2</v>
      </c>
      <c r="BS93" s="185"/>
      <c r="BT93" s="185"/>
      <c r="BU93" s="185"/>
      <c r="BV93" s="185"/>
      <c r="BW93" s="185"/>
      <c r="BX93" s="185"/>
      <c r="BY93" s="185"/>
      <c r="BZ93" s="185"/>
      <c r="CA93" s="185"/>
      <c r="CB93" s="185">
        <v>1</v>
      </c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>
        <v>2</v>
      </c>
      <c r="CV93" s="167">
        <v>1</v>
      </c>
      <c r="CW93" s="185"/>
      <c r="CX93" s="185"/>
      <c r="CY93" s="185"/>
      <c r="CZ93" s="185"/>
      <c r="DA93" s="185"/>
      <c r="DB93" s="185"/>
      <c r="DC93" s="185"/>
      <c r="DD93" s="185"/>
      <c r="DE93" s="185"/>
      <c r="DF93" s="185"/>
      <c r="DG93" s="185"/>
      <c r="DH93" s="185"/>
      <c r="DI93" s="189"/>
      <c r="DJ93" s="190"/>
      <c r="DK93" s="185"/>
      <c r="DL93" s="185"/>
      <c r="DM93" s="185"/>
      <c r="DN93" s="185"/>
      <c r="DO93" s="185"/>
      <c r="DP93" s="185"/>
      <c r="DQ93" s="185"/>
      <c r="DR93" s="185"/>
      <c r="DS93" s="183"/>
    </row>
    <row r="94" spans="1:123" ht="60" customHeight="1" thickBot="1">
      <c r="A94" s="261"/>
      <c r="B94" s="326"/>
      <c r="C94" s="326"/>
      <c r="D94" s="326"/>
      <c r="E94" s="296" t="s">
        <v>76</v>
      </c>
      <c r="F94" s="291"/>
      <c r="G94" s="294"/>
      <c r="H94" s="160">
        <v>13</v>
      </c>
      <c r="I94" s="155">
        <f t="shared" si="3"/>
        <v>16</v>
      </c>
      <c r="J94" s="81" t="s">
        <v>67</v>
      </c>
      <c r="K94" s="211"/>
      <c r="L94" s="240"/>
      <c r="M94" s="82"/>
      <c r="N94" s="191">
        <v>2</v>
      </c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>
        <v>3</v>
      </c>
      <c r="AW94" s="192">
        <v>5</v>
      </c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3"/>
      <c r="BQ94" s="315"/>
      <c r="BR94" s="191">
        <v>2</v>
      </c>
      <c r="BS94" s="191"/>
      <c r="BT94" s="191"/>
      <c r="BU94" s="191"/>
      <c r="BV94" s="191"/>
      <c r="BW94" s="191"/>
      <c r="BX94" s="191"/>
      <c r="BY94" s="191"/>
      <c r="BZ94" s="191"/>
      <c r="CA94" s="191"/>
      <c r="CB94" s="191">
        <v>1</v>
      </c>
      <c r="CC94" s="191"/>
      <c r="CD94" s="191"/>
      <c r="CE94" s="191"/>
      <c r="CF94" s="191"/>
      <c r="CG94" s="191"/>
      <c r="CH94" s="191"/>
      <c r="CI94" s="191"/>
      <c r="CJ94" s="191"/>
      <c r="CK94" s="191"/>
      <c r="CL94" s="191"/>
      <c r="CM94" s="191"/>
      <c r="CN94" s="191"/>
      <c r="CO94" s="191"/>
      <c r="CP94" s="191"/>
      <c r="CQ94" s="191"/>
      <c r="CR94" s="191"/>
      <c r="CS94" s="191"/>
      <c r="CT94" s="191"/>
      <c r="CU94" s="191">
        <v>2</v>
      </c>
      <c r="CV94" s="192">
        <v>1</v>
      </c>
      <c r="CW94" s="191"/>
      <c r="CX94" s="191"/>
      <c r="CY94" s="191"/>
      <c r="CZ94" s="191"/>
      <c r="DA94" s="191"/>
      <c r="DB94" s="191"/>
      <c r="DC94" s="191"/>
      <c r="DD94" s="191"/>
      <c r="DE94" s="191"/>
      <c r="DF94" s="191"/>
      <c r="DG94" s="191"/>
      <c r="DH94" s="191"/>
      <c r="DI94" s="194"/>
      <c r="DJ94" s="195"/>
      <c r="DK94" s="191"/>
      <c r="DL94" s="191"/>
      <c r="DM94" s="191"/>
      <c r="DN94" s="191"/>
      <c r="DO94" s="191"/>
      <c r="DP94" s="191"/>
      <c r="DQ94" s="191"/>
      <c r="DR94" s="191"/>
      <c r="DS94" s="196"/>
    </row>
    <row r="95" spans="1:123" ht="60" customHeight="1" thickBot="1">
      <c r="A95" s="261"/>
      <c r="B95" s="326"/>
      <c r="C95" s="326"/>
      <c r="D95" s="326"/>
      <c r="E95" s="297"/>
      <c r="F95" s="291"/>
      <c r="G95" s="294"/>
      <c r="H95" s="158">
        <v>13</v>
      </c>
      <c r="I95" s="155">
        <f t="shared" si="3"/>
        <v>16</v>
      </c>
      <c r="J95" s="81" t="s">
        <v>53</v>
      </c>
      <c r="K95" s="203">
        <f ca="1">+K101</f>
        <v>46271</v>
      </c>
      <c r="L95" s="206" t="s">
        <v>54</v>
      </c>
      <c r="M95" s="82"/>
      <c r="N95" s="9">
        <v>2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>
        <v>3</v>
      </c>
      <c r="AW95" s="10">
        <v>5</v>
      </c>
      <c r="AX95" s="9"/>
      <c r="AY95" s="11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12"/>
      <c r="BQ95" s="341"/>
      <c r="BR95" s="14">
        <v>2</v>
      </c>
      <c r="BS95" s="14"/>
      <c r="BT95" s="14"/>
      <c r="BU95" s="14"/>
      <c r="BV95" s="14"/>
      <c r="BW95" s="14"/>
      <c r="BX95" s="14"/>
      <c r="BY95" s="14"/>
      <c r="BZ95" s="14"/>
      <c r="CA95" s="14"/>
      <c r="CB95" s="14">
        <v>1</v>
      </c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9"/>
      <c r="CO95" s="14"/>
      <c r="CP95" s="14"/>
      <c r="CQ95" s="14"/>
      <c r="CR95" s="14"/>
      <c r="CS95" s="14"/>
      <c r="CT95" s="14"/>
      <c r="CU95" s="14">
        <v>2</v>
      </c>
      <c r="CV95" s="10">
        <v>1</v>
      </c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15"/>
      <c r="DJ95" s="16"/>
      <c r="DK95" s="17"/>
      <c r="DL95" s="17"/>
      <c r="DM95" s="17"/>
      <c r="DN95" s="17"/>
      <c r="DO95" s="17"/>
      <c r="DP95" s="17"/>
      <c r="DQ95" s="17"/>
      <c r="DR95" s="17"/>
      <c r="DS95" s="18"/>
    </row>
    <row r="96" spans="1:123" ht="60" customHeight="1" thickBot="1">
      <c r="A96" s="261"/>
      <c r="B96" s="326"/>
      <c r="C96" s="326"/>
      <c r="D96" s="326"/>
      <c r="E96" s="297"/>
      <c r="F96" s="292"/>
      <c r="G96" s="294"/>
      <c r="H96" s="159">
        <v>13</v>
      </c>
      <c r="I96" s="155">
        <f t="shared" si="3"/>
        <v>13</v>
      </c>
      <c r="J96" s="81" t="s">
        <v>55</v>
      </c>
      <c r="K96" s="204"/>
      <c r="L96" s="207"/>
      <c r="M96" s="82"/>
      <c r="N96" s="9">
        <v>2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10">
        <v>5</v>
      </c>
      <c r="AX96" s="9"/>
      <c r="AY96" s="11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12"/>
      <c r="BQ96" s="341"/>
      <c r="BR96" s="12">
        <v>2</v>
      </c>
      <c r="BS96" s="12"/>
      <c r="BT96" s="9"/>
      <c r="BU96" s="9"/>
      <c r="BV96" s="9"/>
      <c r="BW96" s="9"/>
      <c r="BX96" s="9"/>
      <c r="BY96" s="9"/>
      <c r="BZ96" s="9"/>
      <c r="CA96" s="9"/>
      <c r="CB96" s="12">
        <v>1</v>
      </c>
      <c r="CC96" s="12"/>
      <c r="CD96" s="9"/>
      <c r="CE96" s="9"/>
      <c r="CF96" s="12"/>
      <c r="CG96" s="12"/>
      <c r="CH96" s="9"/>
      <c r="CI96" s="9"/>
      <c r="CJ96" s="9"/>
      <c r="CK96" s="9"/>
      <c r="CL96" s="9"/>
      <c r="CM96" s="9"/>
      <c r="CN96" s="9"/>
      <c r="CO96" s="9"/>
      <c r="CP96" s="9"/>
      <c r="CQ96" s="12"/>
      <c r="CR96" s="12"/>
      <c r="CS96" s="9"/>
      <c r="CT96" s="12"/>
      <c r="CU96" s="9">
        <v>2</v>
      </c>
      <c r="CV96" s="10">
        <v>1</v>
      </c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19"/>
      <c r="DJ96" s="26"/>
      <c r="DK96" s="9"/>
      <c r="DL96" s="9"/>
      <c r="DM96" s="9"/>
      <c r="DN96" s="9"/>
      <c r="DO96" s="9"/>
      <c r="DP96" s="9"/>
      <c r="DQ96" s="9"/>
      <c r="DR96" s="9"/>
      <c r="DS96" s="20"/>
    </row>
    <row r="97" spans="1:123" ht="60" customHeight="1" thickBot="1">
      <c r="A97" s="261"/>
      <c r="B97" s="326"/>
      <c r="C97" s="326"/>
      <c r="D97" s="326"/>
      <c r="E97" s="297"/>
      <c r="F97" s="327"/>
      <c r="G97" s="295"/>
      <c r="H97" s="159">
        <v>11</v>
      </c>
      <c r="I97" s="155">
        <f t="shared" si="3"/>
        <v>16</v>
      </c>
      <c r="J97" s="81" t="s">
        <v>56</v>
      </c>
      <c r="K97" s="204"/>
      <c r="L97" s="207"/>
      <c r="M97" s="82"/>
      <c r="N97" s="9">
        <v>2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>
        <v>3</v>
      </c>
      <c r="AW97" s="21">
        <v>5</v>
      </c>
      <c r="AX97" s="9"/>
      <c r="AY97" s="11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12"/>
      <c r="BQ97" s="341"/>
      <c r="BR97" s="22">
        <v>2</v>
      </c>
      <c r="BS97" s="22"/>
      <c r="BT97" s="9"/>
      <c r="BU97" s="9"/>
      <c r="BV97" s="9"/>
      <c r="BW97" s="23"/>
      <c r="BX97" s="9"/>
      <c r="BY97" s="9"/>
      <c r="BZ97" s="9"/>
      <c r="CA97" s="9"/>
      <c r="CB97" s="22">
        <v>1</v>
      </c>
      <c r="CC97" s="22"/>
      <c r="CD97" s="9"/>
      <c r="CE97" s="9"/>
      <c r="CF97" s="22"/>
      <c r="CG97" s="22"/>
      <c r="CH97" s="9"/>
      <c r="CI97" s="9"/>
      <c r="CJ97" s="9"/>
      <c r="CK97" s="9"/>
      <c r="CL97" s="9"/>
      <c r="CM97" s="9"/>
      <c r="CN97" s="9"/>
      <c r="CO97" s="9"/>
      <c r="CP97" s="9"/>
      <c r="CQ97" s="22"/>
      <c r="CR97" s="22"/>
      <c r="CS97" s="9"/>
      <c r="CT97" s="22"/>
      <c r="CU97" s="9">
        <v>2</v>
      </c>
      <c r="CV97" s="10">
        <v>1</v>
      </c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4"/>
      <c r="DJ97" s="26"/>
      <c r="DK97" s="9"/>
      <c r="DL97" s="9"/>
      <c r="DM97" s="9"/>
      <c r="DN97" s="9"/>
      <c r="DO97" s="23"/>
      <c r="DP97" s="9"/>
      <c r="DQ97" s="9"/>
      <c r="DR97" s="9"/>
      <c r="DS97" s="20"/>
    </row>
    <row r="98" spans="1:123" ht="60" customHeight="1" thickBot="1">
      <c r="A98" s="261"/>
      <c r="B98" s="326"/>
      <c r="C98" s="326"/>
      <c r="D98" s="326"/>
      <c r="E98" s="297"/>
      <c r="F98" s="269" t="s">
        <v>77</v>
      </c>
      <c r="G98" s="338"/>
      <c r="H98" s="159">
        <v>12</v>
      </c>
      <c r="I98" s="155">
        <f t="shared" si="3"/>
        <v>16</v>
      </c>
      <c r="J98" s="81" t="s">
        <v>57</v>
      </c>
      <c r="K98" s="204"/>
      <c r="L98" s="207"/>
      <c r="M98" s="82"/>
      <c r="N98" s="9">
        <v>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>
        <v>3</v>
      </c>
      <c r="AW98" s="21">
        <v>5</v>
      </c>
      <c r="AX98" s="9"/>
      <c r="AY98" s="11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12"/>
      <c r="BQ98" s="341"/>
      <c r="BR98" s="22">
        <v>2</v>
      </c>
      <c r="BS98" s="22"/>
      <c r="BT98" s="9"/>
      <c r="BU98" s="9"/>
      <c r="BV98" s="9"/>
      <c r="BW98" s="22"/>
      <c r="BX98" s="9"/>
      <c r="BY98" s="9"/>
      <c r="BZ98" s="9"/>
      <c r="CA98" s="9"/>
      <c r="CB98" s="22">
        <v>1</v>
      </c>
      <c r="CC98" s="22"/>
      <c r="CD98" s="22"/>
      <c r="CE98" s="9"/>
      <c r="CF98" s="22"/>
      <c r="CG98" s="22"/>
      <c r="CH98" s="9"/>
      <c r="CI98" s="9"/>
      <c r="CJ98" s="9"/>
      <c r="CK98" s="9"/>
      <c r="CL98" s="9"/>
      <c r="CM98" s="9"/>
      <c r="CN98" s="9"/>
      <c r="CO98" s="9"/>
      <c r="CP98" s="9"/>
      <c r="CQ98" s="22"/>
      <c r="CR98" s="22"/>
      <c r="CS98" s="9"/>
      <c r="CT98" s="22"/>
      <c r="CU98" s="9">
        <v>2</v>
      </c>
      <c r="CV98" s="10">
        <v>1</v>
      </c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4"/>
      <c r="DJ98" s="26"/>
      <c r="DK98" s="9"/>
      <c r="DL98" s="9"/>
      <c r="DM98" s="9"/>
      <c r="DN98" s="9"/>
      <c r="DO98" s="23"/>
      <c r="DP98" s="9"/>
      <c r="DQ98" s="9"/>
      <c r="DR98" s="9"/>
      <c r="DS98" s="20"/>
    </row>
    <row r="99" spans="1:123" ht="60" customHeight="1" thickBot="1">
      <c r="A99" s="262"/>
      <c r="B99" s="326"/>
      <c r="C99" s="326"/>
      <c r="D99" s="326"/>
      <c r="E99" s="297"/>
      <c r="F99" s="270"/>
      <c r="G99" s="338"/>
      <c r="H99" s="159">
        <v>12</v>
      </c>
      <c r="I99" s="155">
        <f t="shared" si="3"/>
        <v>16</v>
      </c>
      <c r="J99" s="81" t="s">
        <v>58</v>
      </c>
      <c r="K99" s="204"/>
      <c r="L99" s="207"/>
      <c r="M99" s="82"/>
      <c r="N99" s="9">
        <v>2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>
        <v>4</v>
      </c>
      <c r="AW99" s="21">
        <v>5</v>
      </c>
      <c r="AX99" s="9"/>
      <c r="AY99" s="11"/>
      <c r="AZ99" s="9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9"/>
      <c r="BP99" s="22"/>
      <c r="BQ99" s="341"/>
      <c r="BR99" s="22"/>
      <c r="BS99" s="22"/>
      <c r="BT99" s="23"/>
      <c r="BU99" s="9"/>
      <c r="BV99" s="23"/>
      <c r="BW99" s="22"/>
      <c r="BX99" s="23"/>
      <c r="BY99" s="23"/>
      <c r="BZ99" s="23"/>
      <c r="CA99" s="23"/>
      <c r="CB99" s="22">
        <v>2</v>
      </c>
      <c r="CC99" s="22"/>
      <c r="CD99" s="22"/>
      <c r="CE99" s="23"/>
      <c r="CF99" s="22"/>
      <c r="CG99" s="22"/>
      <c r="CH99" s="23"/>
      <c r="CI99" s="9"/>
      <c r="CJ99" s="23"/>
      <c r="CK99" s="23"/>
      <c r="CL99" s="23"/>
      <c r="CM99" s="23"/>
      <c r="CN99" s="23"/>
      <c r="CO99" s="23"/>
      <c r="CP99" s="23"/>
      <c r="CQ99" s="22"/>
      <c r="CR99" s="22"/>
      <c r="CS99" s="23"/>
      <c r="CT99" s="22"/>
      <c r="CU99" s="23">
        <v>2</v>
      </c>
      <c r="CV99" s="10">
        <v>1</v>
      </c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4"/>
      <c r="DJ99" s="26"/>
      <c r="DK99" s="23"/>
      <c r="DL99" s="23"/>
      <c r="DM99" s="23"/>
      <c r="DN99" s="23"/>
      <c r="DO99" s="23"/>
      <c r="DP99" s="23"/>
      <c r="DQ99" s="23"/>
      <c r="DR99" s="23"/>
      <c r="DS99" s="27"/>
    </row>
    <row r="100" spans="1:123" ht="60" customHeight="1" thickBot="1">
      <c r="A100" s="329"/>
      <c r="B100" s="326"/>
      <c r="C100" s="326"/>
      <c r="D100" s="326"/>
      <c r="E100" s="297"/>
      <c r="F100" s="270"/>
      <c r="G100" s="338"/>
      <c r="H100" s="159">
        <v>8</v>
      </c>
      <c r="I100" s="155">
        <f t="shared" si="3"/>
        <v>16</v>
      </c>
      <c r="J100" s="81" t="s">
        <v>59</v>
      </c>
      <c r="K100" s="205"/>
      <c r="L100" s="207"/>
      <c r="M100" s="82"/>
      <c r="N100" s="9">
        <v>2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>
        <v>4</v>
      </c>
      <c r="AW100" s="21">
        <v>5</v>
      </c>
      <c r="AX100" s="9"/>
      <c r="AY100" s="11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22"/>
      <c r="BQ100" s="341"/>
      <c r="BR100" s="22"/>
      <c r="BS100" s="22"/>
      <c r="BT100" s="23"/>
      <c r="BU100" s="9"/>
      <c r="BV100" s="23"/>
      <c r="BW100" s="22"/>
      <c r="BX100" s="23"/>
      <c r="BY100" s="23"/>
      <c r="BZ100" s="23"/>
      <c r="CA100" s="23"/>
      <c r="CB100" s="22">
        <v>2</v>
      </c>
      <c r="CC100" s="22"/>
      <c r="CD100" s="22"/>
      <c r="CE100" s="23"/>
      <c r="CF100" s="22"/>
      <c r="CG100" s="22"/>
      <c r="CH100" s="23"/>
      <c r="CI100" s="9"/>
      <c r="CJ100" s="23"/>
      <c r="CK100" s="23"/>
      <c r="CL100" s="23"/>
      <c r="CM100" s="23"/>
      <c r="CN100" s="23"/>
      <c r="CO100" s="23"/>
      <c r="CP100" s="23"/>
      <c r="CQ100" s="22"/>
      <c r="CR100" s="22"/>
      <c r="CS100" s="23"/>
      <c r="CT100" s="22"/>
      <c r="CU100" s="23">
        <v>2</v>
      </c>
      <c r="CV100" s="10">
        <v>1</v>
      </c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4"/>
      <c r="DJ100" s="26"/>
      <c r="DK100" s="23"/>
      <c r="DL100" s="23"/>
      <c r="DM100" s="23"/>
      <c r="DN100" s="23"/>
      <c r="DO100" s="23"/>
      <c r="DP100" s="23"/>
      <c r="DQ100" s="23"/>
      <c r="DR100" s="23"/>
      <c r="DS100" s="27"/>
    </row>
    <row r="101" spans="1:123" ht="60" customHeight="1" thickBot="1">
      <c r="A101" s="330"/>
      <c r="B101" s="275" t="s">
        <v>78</v>
      </c>
      <c r="C101" s="276"/>
      <c r="D101" s="326"/>
      <c r="E101" s="297"/>
      <c r="F101" s="270"/>
      <c r="G101" s="338"/>
      <c r="H101" s="159">
        <v>14</v>
      </c>
      <c r="I101" s="155">
        <f t="shared" si="3"/>
        <v>15</v>
      </c>
      <c r="J101" s="81" t="s">
        <v>60</v>
      </c>
      <c r="K101" s="209">
        <f ca="1">K89+1</f>
        <v>46271</v>
      </c>
      <c r="L101" s="207"/>
      <c r="M101" s="82"/>
      <c r="N101" s="23"/>
      <c r="O101" s="23">
        <v>2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>
        <v>4</v>
      </c>
      <c r="AW101" s="21">
        <v>5</v>
      </c>
      <c r="AX101" s="23"/>
      <c r="AY101" s="25"/>
      <c r="AZ101" s="23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22"/>
      <c r="BQ101" s="341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>
        <v>2</v>
      </c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2</v>
      </c>
      <c r="CV101" s="10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4"/>
      <c r="DJ101" s="26"/>
      <c r="DK101" s="23"/>
      <c r="DL101" s="23"/>
      <c r="DM101" s="23"/>
      <c r="DN101" s="23"/>
      <c r="DO101" s="23"/>
      <c r="DP101" s="23"/>
      <c r="DQ101" s="23"/>
      <c r="DR101" s="23"/>
      <c r="DS101" s="27"/>
    </row>
    <row r="102" spans="1:123" ht="60" customHeight="1" thickBot="1">
      <c r="A102" s="330"/>
      <c r="B102" s="277"/>
      <c r="C102" s="278"/>
      <c r="D102" s="326"/>
      <c r="E102" s="297"/>
      <c r="F102" s="270"/>
      <c r="G102" s="338"/>
      <c r="H102" s="159">
        <v>14</v>
      </c>
      <c r="I102" s="155">
        <f t="shared" si="3"/>
        <v>15</v>
      </c>
      <c r="J102" s="81" t="s">
        <v>61</v>
      </c>
      <c r="K102" s="210"/>
      <c r="L102" s="207"/>
      <c r="M102" s="82"/>
      <c r="N102" s="23"/>
      <c r="O102" s="23">
        <v>2</v>
      </c>
      <c r="P102" s="23"/>
      <c r="Q102" s="9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>
        <v>4</v>
      </c>
      <c r="AW102" s="21">
        <v>5</v>
      </c>
      <c r="AX102" s="23"/>
      <c r="AY102" s="25"/>
      <c r="AZ102" s="23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22"/>
      <c r="BQ102" s="341"/>
      <c r="BR102" s="23"/>
      <c r="BS102" s="23"/>
      <c r="BT102" s="23"/>
      <c r="BU102" s="165"/>
      <c r="BV102" s="23"/>
      <c r="BW102" s="23"/>
      <c r="BX102" s="23"/>
      <c r="BY102" s="23"/>
      <c r="BZ102" s="23"/>
      <c r="CA102" s="23"/>
      <c r="CB102" s="23">
        <v>2</v>
      </c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2</v>
      </c>
      <c r="CV102" s="10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4"/>
      <c r="DJ102" s="26"/>
      <c r="DK102" s="23"/>
      <c r="DL102" s="23"/>
      <c r="DM102" s="23"/>
      <c r="DN102" s="23"/>
      <c r="DO102" s="23"/>
      <c r="DP102" s="23"/>
      <c r="DQ102" s="23"/>
      <c r="DR102" s="23"/>
      <c r="DS102" s="27"/>
    </row>
    <row r="103" spans="1:123" ht="60" customHeight="1" thickBot="1">
      <c r="A103" s="330"/>
      <c r="B103" s="277"/>
      <c r="C103" s="278"/>
      <c r="D103" s="326"/>
      <c r="E103" s="297"/>
      <c r="F103" s="270"/>
      <c r="G103" s="338"/>
      <c r="H103" s="159">
        <v>14</v>
      </c>
      <c r="I103" s="155">
        <f t="shared" si="3"/>
        <v>16</v>
      </c>
      <c r="J103" s="81" t="s">
        <v>62</v>
      </c>
      <c r="K103" s="210"/>
      <c r="L103" s="207"/>
      <c r="M103" s="82"/>
      <c r="N103" s="23"/>
      <c r="O103" s="23">
        <v>2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>
        <v>4</v>
      </c>
      <c r="AW103" s="21">
        <v>5</v>
      </c>
      <c r="AX103" s="23"/>
      <c r="AY103" s="25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9"/>
      <c r="BP103" s="22"/>
      <c r="BQ103" s="341"/>
      <c r="BR103" s="23">
        <v>1</v>
      </c>
      <c r="BS103" s="23"/>
      <c r="BT103" s="23"/>
      <c r="BU103" s="23"/>
      <c r="BV103" s="23"/>
      <c r="BW103" s="23"/>
      <c r="BX103" s="23"/>
      <c r="BY103" s="23"/>
      <c r="BZ103" s="23"/>
      <c r="CA103" s="23"/>
      <c r="CB103" s="23">
        <v>2</v>
      </c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2</v>
      </c>
      <c r="CV103" s="10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4"/>
      <c r="DJ103" s="26"/>
      <c r="DK103" s="23"/>
      <c r="DL103" s="23"/>
      <c r="DM103" s="23"/>
      <c r="DN103" s="23"/>
      <c r="DO103" s="23"/>
      <c r="DP103" s="23"/>
      <c r="DQ103" s="23"/>
      <c r="DR103" s="23"/>
      <c r="DS103" s="27"/>
    </row>
    <row r="104" spans="1:123" ht="60" customHeight="1" thickBot="1">
      <c r="A104" s="330"/>
      <c r="B104" s="277"/>
      <c r="C104" s="278"/>
      <c r="D104" s="326"/>
      <c r="E104" s="297"/>
      <c r="F104" s="270"/>
      <c r="G104" s="338"/>
      <c r="H104" s="159">
        <v>14</v>
      </c>
      <c r="I104" s="155">
        <f t="shared" si="3"/>
        <v>16</v>
      </c>
      <c r="J104" s="81" t="s">
        <v>63</v>
      </c>
      <c r="K104" s="210"/>
      <c r="L104" s="207"/>
      <c r="M104" s="82"/>
      <c r="N104" s="28"/>
      <c r="O104" s="28">
        <v>3</v>
      </c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>
        <v>4</v>
      </c>
      <c r="AW104" s="29">
        <v>5</v>
      </c>
      <c r="AX104" s="28"/>
      <c r="AY104" s="30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9"/>
      <c r="BP104" s="31"/>
      <c r="BQ104" s="341"/>
      <c r="BR104" s="28">
        <v>1</v>
      </c>
      <c r="BS104" s="28"/>
      <c r="BT104" s="28"/>
      <c r="BU104" s="28"/>
      <c r="BV104" s="28"/>
      <c r="BW104" s="28"/>
      <c r="BX104" s="28"/>
      <c r="BY104" s="28"/>
      <c r="BZ104" s="28"/>
      <c r="CA104" s="23"/>
      <c r="CB104" s="28">
        <v>1</v>
      </c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>
        <v>2</v>
      </c>
      <c r="CV104" s="10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32"/>
      <c r="DJ104" s="33"/>
      <c r="DK104" s="28"/>
      <c r="DL104" s="28"/>
      <c r="DM104" s="28"/>
      <c r="DN104" s="28"/>
      <c r="DO104" s="28"/>
      <c r="DP104" s="28"/>
      <c r="DQ104" s="28"/>
      <c r="DR104" s="28"/>
      <c r="DS104" s="27"/>
    </row>
    <row r="105" spans="1:123" ht="60" customHeight="1" thickBot="1">
      <c r="A105" s="330"/>
      <c r="B105" s="277"/>
      <c r="C105" s="278"/>
      <c r="D105" s="326"/>
      <c r="E105" s="297"/>
      <c r="F105" s="270"/>
      <c r="G105" s="338"/>
      <c r="H105" s="159">
        <v>14</v>
      </c>
      <c r="I105" s="155">
        <f t="shared" si="3"/>
        <v>16</v>
      </c>
      <c r="J105" s="81" t="s">
        <v>66</v>
      </c>
      <c r="K105" s="210"/>
      <c r="L105" s="207"/>
      <c r="M105" s="82"/>
      <c r="N105" s="28"/>
      <c r="O105" s="28">
        <v>3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>
        <v>4</v>
      </c>
      <c r="AW105" s="29">
        <v>5</v>
      </c>
      <c r="AX105" s="28"/>
      <c r="AY105" s="30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9"/>
      <c r="BP105" s="31"/>
      <c r="BQ105" s="341"/>
      <c r="BR105" s="28">
        <v>1</v>
      </c>
      <c r="BS105" s="28"/>
      <c r="BT105" s="28"/>
      <c r="BU105" s="28"/>
      <c r="BV105" s="28"/>
      <c r="BW105" s="28"/>
      <c r="BX105" s="28"/>
      <c r="BY105" s="28"/>
      <c r="BZ105" s="28"/>
      <c r="CA105" s="28"/>
      <c r="CB105" s="28">
        <v>1</v>
      </c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>
        <v>2</v>
      </c>
      <c r="CV105" s="10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32"/>
      <c r="DJ105" s="33"/>
      <c r="DK105" s="28"/>
      <c r="DL105" s="28"/>
      <c r="DM105" s="28"/>
      <c r="DN105" s="28"/>
      <c r="DO105" s="28"/>
      <c r="DP105" s="28"/>
      <c r="DQ105" s="28"/>
      <c r="DR105" s="28"/>
      <c r="DS105" s="27"/>
    </row>
    <row r="106" spans="1:123" ht="60" customHeight="1" thickBot="1">
      <c r="A106" s="330"/>
      <c r="B106" s="277"/>
      <c r="C106" s="278"/>
      <c r="D106" s="326"/>
      <c r="E106" s="298"/>
      <c r="F106" s="270"/>
      <c r="G106" s="338"/>
      <c r="H106" s="160">
        <v>14</v>
      </c>
      <c r="I106" s="155">
        <f t="shared" si="3"/>
        <v>16</v>
      </c>
      <c r="J106" s="81" t="s">
        <v>67</v>
      </c>
      <c r="K106" s="211"/>
      <c r="L106" s="208"/>
      <c r="M106" s="82"/>
      <c r="N106" s="34"/>
      <c r="O106" s="34">
        <v>3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>
        <v>4</v>
      </c>
      <c r="AW106" s="35">
        <v>5</v>
      </c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6"/>
      <c r="BQ106" s="341"/>
      <c r="BR106" s="34">
        <v>1</v>
      </c>
      <c r="BS106" s="34"/>
      <c r="BT106" s="34"/>
      <c r="BU106" s="34"/>
      <c r="BV106" s="34"/>
      <c r="BW106" s="34"/>
      <c r="BX106" s="34"/>
      <c r="BY106" s="34"/>
      <c r="BZ106" s="34"/>
      <c r="CA106" s="34"/>
      <c r="CB106" s="34">
        <v>1</v>
      </c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>
        <v>2</v>
      </c>
      <c r="CV106" s="35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7"/>
      <c r="DJ106" s="38"/>
      <c r="DK106" s="34"/>
      <c r="DL106" s="34"/>
      <c r="DM106" s="34"/>
      <c r="DN106" s="34"/>
      <c r="DO106" s="34"/>
      <c r="DP106" s="34"/>
      <c r="DQ106" s="34"/>
      <c r="DR106" s="34"/>
      <c r="DS106" s="39"/>
    </row>
    <row r="107" spans="1:123" ht="60" customHeight="1" thickBot="1">
      <c r="A107" s="330"/>
      <c r="B107" s="277"/>
      <c r="C107" s="278"/>
      <c r="D107" s="326"/>
      <c r="E107" s="299" t="s">
        <v>79</v>
      </c>
      <c r="F107" s="270"/>
      <c r="G107" s="328"/>
      <c r="H107" s="158">
        <v>13</v>
      </c>
      <c r="I107" s="155">
        <f t="shared" ref="I107:I118" si="4">SUM(M107:DI107)</f>
        <v>16</v>
      </c>
      <c r="J107" s="81" t="s">
        <v>53</v>
      </c>
      <c r="K107" s="203">
        <f ca="1">+K113</f>
        <v>46272</v>
      </c>
      <c r="L107" s="206" t="s">
        <v>54</v>
      </c>
      <c r="M107" s="82"/>
      <c r="N107" s="9"/>
      <c r="O107" s="9">
        <v>3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>
        <v>4</v>
      </c>
      <c r="AW107" s="10">
        <v>5</v>
      </c>
      <c r="AX107" s="9"/>
      <c r="AY107" s="11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12"/>
      <c r="BQ107" s="341"/>
      <c r="BR107" s="14">
        <v>1</v>
      </c>
      <c r="BS107" s="14"/>
      <c r="BT107" s="14"/>
      <c r="BU107" s="14"/>
      <c r="BV107" s="14"/>
      <c r="BW107" s="14"/>
      <c r="BX107" s="14"/>
      <c r="BY107" s="14"/>
      <c r="BZ107" s="14"/>
      <c r="CA107" s="14"/>
      <c r="CB107" s="14">
        <v>1</v>
      </c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9"/>
      <c r="CO107" s="14"/>
      <c r="CP107" s="14"/>
      <c r="CQ107" s="14"/>
      <c r="CR107" s="14"/>
      <c r="CS107" s="14"/>
      <c r="CT107" s="14"/>
      <c r="CU107" s="14">
        <v>2</v>
      </c>
      <c r="CV107" s="10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15"/>
      <c r="DJ107" s="16"/>
      <c r="DK107" s="17"/>
      <c r="DL107" s="17"/>
      <c r="DM107" s="17"/>
      <c r="DN107" s="17"/>
      <c r="DO107" s="17"/>
      <c r="DP107" s="17"/>
      <c r="DQ107" s="17"/>
      <c r="DR107" s="17"/>
      <c r="DS107" s="18"/>
    </row>
    <row r="108" spans="1:123" ht="60" customHeight="1" thickBot="1">
      <c r="A108" s="330"/>
      <c r="B108" s="277"/>
      <c r="C108" s="278"/>
      <c r="D108" s="326"/>
      <c r="E108" s="300"/>
      <c r="F108" s="270"/>
      <c r="G108" s="328"/>
      <c r="H108" s="159">
        <v>13</v>
      </c>
      <c r="I108" s="155">
        <f t="shared" si="4"/>
        <v>16</v>
      </c>
      <c r="J108" s="81" t="s">
        <v>55</v>
      </c>
      <c r="K108" s="204"/>
      <c r="L108" s="206"/>
      <c r="M108" s="82"/>
      <c r="N108" s="9"/>
      <c r="O108" s="9">
        <v>3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>
        <v>3</v>
      </c>
      <c r="AW108" s="10">
        <v>5</v>
      </c>
      <c r="AX108" s="9"/>
      <c r="AY108" s="11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12"/>
      <c r="BQ108" s="341"/>
      <c r="BR108" s="12">
        <v>1</v>
      </c>
      <c r="BS108" s="12"/>
      <c r="BT108" s="9"/>
      <c r="BU108" s="9"/>
      <c r="BV108" s="9"/>
      <c r="BW108" s="9"/>
      <c r="BX108" s="9"/>
      <c r="BY108" s="9"/>
      <c r="BZ108" s="9"/>
      <c r="CA108" s="9"/>
      <c r="CB108" s="12">
        <v>2</v>
      </c>
      <c r="CC108" s="12"/>
      <c r="CD108" s="9"/>
      <c r="CE108" s="9"/>
      <c r="CF108" s="12"/>
      <c r="CG108" s="12"/>
      <c r="CH108" s="9"/>
      <c r="CI108" s="9"/>
      <c r="CJ108" s="9"/>
      <c r="CK108" s="9"/>
      <c r="CL108" s="9"/>
      <c r="CM108" s="9"/>
      <c r="CN108" s="9"/>
      <c r="CO108" s="9"/>
      <c r="CP108" s="9"/>
      <c r="CQ108" s="12"/>
      <c r="CR108" s="12"/>
      <c r="CS108" s="9"/>
      <c r="CT108" s="12"/>
      <c r="CU108" s="9">
        <v>2</v>
      </c>
      <c r="CV108" s="10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19"/>
      <c r="DJ108" s="26"/>
      <c r="DK108" s="9"/>
      <c r="DL108" s="9"/>
      <c r="DM108" s="9"/>
      <c r="DN108" s="9"/>
      <c r="DO108" s="9"/>
      <c r="DP108" s="9"/>
      <c r="DQ108" s="9"/>
      <c r="DR108" s="9"/>
      <c r="DS108" s="20"/>
    </row>
    <row r="109" spans="1:123" ht="60" customHeight="1" thickBot="1">
      <c r="A109" s="330"/>
      <c r="B109" s="277"/>
      <c r="C109" s="278"/>
      <c r="D109" s="326"/>
      <c r="E109" s="300"/>
      <c r="F109" s="270"/>
      <c r="G109" s="328"/>
      <c r="H109" s="159">
        <v>10</v>
      </c>
      <c r="I109" s="155">
        <f t="shared" si="4"/>
        <v>16</v>
      </c>
      <c r="J109" s="81" t="s">
        <v>56</v>
      </c>
      <c r="K109" s="204"/>
      <c r="L109" s="206"/>
      <c r="M109" s="82"/>
      <c r="N109" s="9"/>
      <c r="O109" s="9">
        <v>3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>
        <v>3</v>
      </c>
      <c r="AW109" s="21">
        <v>5</v>
      </c>
      <c r="AX109" s="9"/>
      <c r="AY109" s="11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12"/>
      <c r="BQ109" s="341"/>
      <c r="BR109" s="22">
        <v>1</v>
      </c>
      <c r="BS109" s="22"/>
      <c r="BT109" s="9"/>
      <c r="BU109" s="9"/>
      <c r="BV109" s="9"/>
      <c r="BW109" s="23"/>
      <c r="BX109" s="9"/>
      <c r="BY109" s="9"/>
      <c r="BZ109" s="9"/>
      <c r="CA109" s="9"/>
      <c r="CB109" s="22">
        <v>2</v>
      </c>
      <c r="CC109" s="22"/>
      <c r="CD109" s="9"/>
      <c r="CE109" s="9"/>
      <c r="CF109" s="22"/>
      <c r="CG109" s="22"/>
      <c r="CH109" s="9"/>
      <c r="CI109" s="9"/>
      <c r="CJ109" s="9"/>
      <c r="CK109" s="9"/>
      <c r="CL109" s="9"/>
      <c r="CM109" s="9"/>
      <c r="CN109" s="9"/>
      <c r="CO109" s="9"/>
      <c r="CP109" s="9"/>
      <c r="CQ109" s="22"/>
      <c r="CR109" s="22"/>
      <c r="CS109" s="9"/>
      <c r="CT109" s="22"/>
      <c r="CU109" s="9">
        <v>2</v>
      </c>
      <c r="CV109" s="10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4"/>
      <c r="DJ109" s="26"/>
      <c r="DK109" s="9"/>
      <c r="DL109" s="9"/>
      <c r="DM109" s="9"/>
      <c r="DN109" s="9"/>
      <c r="DO109" s="23"/>
      <c r="DP109" s="9"/>
      <c r="DQ109" s="9"/>
      <c r="DR109" s="9"/>
      <c r="DS109" s="20"/>
    </row>
    <row r="110" spans="1:123" ht="60" customHeight="1" thickBot="1">
      <c r="A110" s="330"/>
      <c r="B110" s="277"/>
      <c r="C110" s="278"/>
      <c r="D110" s="326"/>
      <c r="E110" s="300"/>
      <c r="F110" s="270"/>
      <c r="G110" s="328"/>
      <c r="H110" s="159">
        <v>10</v>
      </c>
      <c r="I110" s="155">
        <f t="shared" si="4"/>
        <v>16</v>
      </c>
      <c r="J110" s="81" t="s">
        <v>57</v>
      </c>
      <c r="K110" s="204"/>
      <c r="L110" s="206"/>
      <c r="M110" s="82"/>
      <c r="N110" s="9"/>
      <c r="O110" s="9">
        <v>3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>
        <v>3</v>
      </c>
      <c r="AW110" s="21">
        <v>5</v>
      </c>
      <c r="AX110" s="9"/>
      <c r="AY110" s="11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12"/>
      <c r="BQ110" s="341"/>
      <c r="BR110" s="22">
        <v>1</v>
      </c>
      <c r="BS110" s="22"/>
      <c r="BT110" s="9"/>
      <c r="BU110" s="9"/>
      <c r="BV110" s="9"/>
      <c r="BW110" s="22"/>
      <c r="BX110" s="9"/>
      <c r="BY110" s="9"/>
      <c r="BZ110" s="9"/>
      <c r="CA110" s="9"/>
      <c r="CB110" s="22">
        <v>2</v>
      </c>
      <c r="CC110" s="22"/>
      <c r="CD110" s="22"/>
      <c r="CE110" s="9"/>
      <c r="CF110" s="22"/>
      <c r="CG110" s="22"/>
      <c r="CH110" s="9"/>
      <c r="CI110" s="9"/>
      <c r="CJ110" s="9"/>
      <c r="CK110" s="9"/>
      <c r="CL110" s="9"/>
      <c r="CM110" s="9"/>
      <c r="CN110" s="9"/>
      <c r="CO110" s="9"/>
      <c r="CP110" s="9"/>
      <c r="CQ110" s="22"/>
      <c r="CR110" s="22"/>
      <c r="CS110" s="9"/>
      <c r="CT110" s="22"/>
      <c r="CU110" s="9">
        <v>2</v>
      </c>
      <c r="CV110" s="10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4"/>
      <c r="DJ110" s="26"/>
      <c r="DK110" s="9"/>
      <c r="DL110" s="9"/>
      <c r="DM110" s="9"/>
      <c r="DN110" s="9"/>
      <c r="DO110" s="23"/>
      <c r="DP110" s="9"/>
      <c r="DQ110" s="9"/>
      <c r="DR110" s="9"/>
      <c r="DS110" s="20"/>
    </row>
    <row r="111" spans="1:123" ht="60" customHeight="1" thickBot="1">
      <c r="A111" s="281" t="s">
        <v>80</v>
      </c>
      <c r="B111" s="277"/>
      <c r="C111" s="278"/>
      <c r="D111" s="325"/>
      <c r="E111" s="300"/>
      <c r="F111" s="270"/>
      <c r="G111" s="331"/>
      <c r="H111" s="159">
        <v>10</v>
      </c>
      <c r="I111" s="155">
        <f t="shared" si="4"/>
        <v>16</v>
      </c>
      <c r="J111" s="81" t="s">
        <v>58</v>
      </c>
      <c r="K111" s="204"/>
      <c r="L111" s="206"/>
      <c r="M111" s="82"/>
      <c r="N111" s="9"/>
      <c r="O111" s="9">
        <v>3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>
        <v>3</v>
      </c>
      <c r="AW111" s="21">
        <v>5</v>
      </c>
      <c r="AX111" s="9"/>
      <c r="AY111" s="11"/>
      <c r="AZ111" s="9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9"/>
      <c r="BP111" s="22"/>
      <c r="BQ111" s="341"/>
      <c r="BR111" s="22">
        <v>1</v>
      </c>
      <c r="BS111" s="22"/>
      <c r="BT111" s="23"/>
      <c r="BU111" s="9"/>
      <c r="BV111" s="23"/>
      <c r="BW111" s="22"/>
      <c r="BX111" s="23"/>
      <c r="BY111" s="23"/>
      <c r="BZ111" s="23"/>
      <c r="CA111" s="23"/>
      <c r="CB111" s="22">
        <v>2</v>
      </c>
      <c r="CC111" s="22"/>
      <c r="CD111" s="22"/>
      <c r="CE111" s="23"/>
      <c r="CF111" s="22"/>
      <c r="CG111" s="22"/>
      <c r="CH111" s="23"/>
      <c r="CI111" s="9"/>
      <c r="CJ111" s="23"/>
      <c r="CK111" s="23"/>
      <c r="CL111" s="23"/>
      <c r="CM111" s="23"/>
      <c r="CN111" s="23"/>
      <c r="CO111" s="23"/>
      <c r="CP111" s="23"/>
      <c r="CQ111" s="22"/>
      <c r="CR111" s="22"/>
      <c r="CS111" s="23"/>
      <c r="CT111" s="22"/>
      <c r="CU111" s="23">
        <v>2</v>
      </c>
      <c r="CV111" s="10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4"/>
      <c r="DJ111" s="26"/>
      <c r="DK111" s="23"/>
      <c r="DL111" s="23"/>
      <c r="DM111" s="23"/>
      <c r="DN111" s="23"/>
      <c r="DO111" s="23"/>
      <c r="DP111" s="23"/>
      <c r="DQ111" s="23"/>
      <c r="DR111" s="23"/>
      <c r="DS111" s="27"/>
    </row>
    <row r="112" spans="1:123" ht="60" customHeight="1" thickBot="1">
      <c r="A112" s="282"/>
      <c r="B112" s="277"/>
      <c r="C112" s="278"/>
      <c r="D112" s="325"/>
      <c r="E112" s="300"/>
      <c r="F112" s="270"/>
      <c r="G112" s="328"/>
      <c r="H112" s="159">
        <v>14</v>
      </c>
      <c r="I112" s="155">
        <f t="shared" si="4"/>
        <v>16</v>
      </c>
      <c r="J112" s="81" t="s">
        <v>59</v>
      </c>
      <c r="K112" s="205"/>
      <c r="L112" s="206"/>
      <c r="M112" s="82"/>
      <c r="N112" s="9"/>
      <c r="O112" s="9">
        <v>3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>
        <v>3</v>
      </c>
      <c r="AW112" s="21">
        <v>5</v>
      </c>
      <c r="AX112" s="9"/>
      <c r="AY112" s="11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22"/>
      <c r="BQ112" s="341"/>
      <c r="BR112" s="22">
        <v>1</v>
      </c>
      <c r="BS112" s="22"/>
      <c r="BT112" s="23"/>
      <c r="BU112" s="9"/>
      <c r="BV112" s="23"/>
      <c r="BW112" s="22"/>
      <c r="BX112" s="23"/>
      <c r="BY112" s="23"/>
      <c r="BZ112" s="23"/>
      <c r="CA112" s="23"/>
      <c r="CB112" s="22">
        <v>2</v>
      </c>
      <c r="CC112" s="22"/>
      <c r="CD112" s="22"/>
      <c r="CE112" s="23"/>
      <c r="CF112" s="22"/>
      <c r="CG112" s="22"/>
      <c r="CH112" s="23"/>
      <c r="CI112" s="9"/>
      <c r="CJ112" s="23"/>
      <c r="CK112" s="23"/>
      <c r="CL112" s="23"/>
      <c r="CM112" s="23"/>
      <c r="CN112" s="23"/>
      <c r="CO112" s="23"/>
      <c r="CP112" s="23"/>
      <c r="CQ112" s="22"/>
      <c r="CR112" s="22"/>
      <c r="CS112" s="23"/>
      <c r="CT112" s="22"/>
      <c r="CU112" s="23">
        <v>2</v>
      </c>
      <c r="CV112" s="10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4"/>
      <c r="DJ112" s="26"/>
      <c r="DK112" s="23"/>
      <c r="DL112" s="23"/>
      <c r="DM112" s="23"/>
      <c r="DN112" s="23"/>
      <c r="DO112" s="23"/>
      <c r="DP112" s="23"/>
      <c r="DQ112" s="23"/>
      <c r="DR112" s="23"/>
      <c r="DS112" s="27"/>
    </row>
    <row r="113" spans="1:123" ht="60" customHeight="1" thickBot="1">
      <c r="A113" s="282"/>
      <c r="B113" s="277"/>
      <c r="C113" s="278"/>
      <c r="D113" s="325"/>
      <c r="E113" s="300"/>
      <c r="F113" s="270"/>
      <c r="G113" s="328"/>
      <c r="H113" s="159">
        <v>14</v>
      </c>
      <c r="I113" s="155">
        <f t="shared" si="4"/>
        <v>16</v>
      </c>
      <c r="J113" s="81" t="s">
        <v>60</v>
      </c>
      <c r="K113" s="209">
        <f ca="1">K101+1</f>
        <v>46272</v>
      </c>
      <c r="L113" s="206"/>
      <c r="M113" s="82"/>
      <c r="N113" s="23"/>
      <c r="O113" s="23">
        <v>3</v>
      </c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>
        <v>3</v>
      </c>
      <c r="AW113" s="21">
        <v>5</v>
      </c>
      <c r="AX113" s="23"/>
      <c r="AY113" s="25"/>
      <c r="AZ113" s="23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22"/>
      <c r="BQ113" s="341"/>
      <c r="BR113" s="23">
        <v>1</v>
      </c>
      <c r="BS113" s="23"/>
      <c r="BT113" s="23"/>
      <c r="BU113" s="23"/>
      <c r="BV113" s="23"/>
      <c r="BW113" s="23"/>
      <c r="BX113" s="23"/>
      <c r="BY113" s="23"/>
      <c r="BZ113" s="23"/>
      <c r="CA113" s="23"/>
      <c r="CB113" s="23">
        <v>2</v>
      </c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2</v>
      </c>
      <c r="CV113" s="10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4"/>
      <c r="DJ113" s="26"/>
      <c r="DK113" s="23"/>
      <c r="DL113" s="23"/>
      <c r="DM113" s="23"/>
      <c r="DN113" s="23"/>
      <c r="DO113" s="23"/>
      <c r="DP113" s="23"/>
      <c r="DQ113" s="23"/>
      <c r="DR113" s="23"/>
      <c r="DS113" s="27"/>
    </row>
    <row r="114" spans="1:123" ht="60" customHeight="1" thickBot="1">
      <c r="A114" s="282"/>
      <c r="B114" s="277"/>
      <c r="C114" s="278"/>
      <c r="D114" s="325"/>
      <c r="E114" s="300"/>
      <c r="F114" s="270"/>
      <c r="G114" s="328"/>
      <c r="H114" s="159">
        <v>14</v>
      </c>
      <c r="I114" s="155">
        <f t="shared" si="4"/>
        <v>16</v>
      </c>
      <c r="J114" s="81" t="s">
        <v>61</v>
      </c>
      <c r="K114" s="210"/>
      <c r="L114" s="206"/>
      <c r="M114" s="82"/>
      <c r="N114" s="23"/>
      <c r="O114" s="23">
        <v>3</v>
      </c>
      <c r="P114" s="23"/>
      <c r="Q114" s="9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>
        <v>3</v>
      </c>
      <c r="AW114" s="21">
        <v>5</v>
      </c>
      <c r="AX114" s="23"/>
      <c r="AY114" s="25"/>
      <c r="AZ114" s="23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22"/>
      <c r="BQ114" s="341"/>
      <c r="BR114" s="23">
        <v>1</v>
      </c>
      <c r="BS114" s="23"/>
      <c r="BT114" s="23"/>
      <c r="BU114" s="23"/>
      <c r="BV114" s="23"/>
      <c r="BW114" s="23"/>
      <c r="BX114" s="23"/>
      <c r="BY114" s="23"/>
      <c r="BZ114" s="23"/>
      <c r="CA114" s="23"/>
      <c r="CB114" s="23">
        <v>2</v>
      </c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2</v>
      </c>
      <c r="CV114" s="10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4"/>
      <c r="DJ114" s="26"/>
      <c r="DK114" s="23"/>
      <c r="DL114" s="23"/>
      <c r="DM114" s="23"/>
      <c r="DN114" s="23"/>
      <c r="DO114" s="23"/>
      <c r="DP114" s="23"/>
      <c r="DQ114" s="23"/>
      <c r="DR114" s="23"/>
      <c r="DS114" s="27"/>
    </row>
    <row r="115" spans="1:123" ht="60" customHeight="1" thickBot="1">
      <c r="A115" s="282"/>
      <c r="B115" s="277"/>
      <c r="C115" s="278"/>
      <c r="D115" s="296" t="s">
        <v>81</v>
      </c>
      <c r="E115" s="301"/>
      <c r="F115" s="270"/>
      <c r="G115" s="328"/>
      <c r="H115" s="159">
        <v>15</v>
      </c>
      <c r="I115" s="155">
        <f t="shared" si="4"/>
        <v>16</v>
      </c>
      <c r="J115" s="81" t="s">
        <v>62</v>
      </c>
      <c r="K115" s="210"/>
      <c r="L115" s="206"/>
      <c r="M115" s="82"/>
      <c r="N115" s="23"/>
      <c r="O115" s="23">
        <v>3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>
        <v>4</v>
      </c>
      <c r="AW115" s="21">
        <v>5</v>
      </c>
      <c r="AX115" s="23"/>
      <c r="AY115" s="25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9"/>
      <c r="BP115" s="22"/>
      <c r="BQ115" s="341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>
        <v>2</v>
      </c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2</v>
      </c>
      <c r="CV115" s="10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4"/>
      <c r="DJ115" s="26"/>
      <c r="DK115" s="23"/>
      <c r="DL115" s="23"/>
      <c r="DM115" s="23"/>
      <c r="DN115" s="23"/>
      <c r="DO115" s="23"/>
      <c r="DP115" s="23"/>
      <c r="DQ115" s="23"/>
      <c r="DR115" s="23"/>
      <c r="DS115" s="27"/>
    </row>
    <row r="116" spans="1:123" ht="60" customHeight="1" thickBot="1">
      <c r="A116" s="282"/>
      <c r="B116" s="279"/>
      <c r="C116" s="280"/>
      <c r="D116" s="297"/>
      <c r="E116" s="302" t="s">
        <v>82</v>
      </c>
      <c r="F116" s="270"/>
      <c r="G116" s="328"/>
      <c r="H116" s="159">
        <v>13</v>
      </c>
      <c r="I116" s="155">
        <f t="shared" si="4"/>
        <v>16</v>
      </c>
      <c r="J116" s="81" t="s">
        <v>63</v>
      </c>
      <c r="K116" s="210"/>
      <c r="L116" s="206"/>
      <c r="M116" s="82"/>
      <c r="N116" s="28"/>
      <c r="O116" s="28">
        <v>3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>
        <v>4</v>
      </c>
      <c r="AW116" s="29">
        <v>5</v>
      </c>
      <c r="AX116" s="28"/>
      <c r="AY116" s="30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9"/>
      <c r="BP116" s="31"/>
      <c r="BQ116" s="341"/>
      <c r="BR116" s="28"/>
      <c r="BS116" s="28"/>
      <c r="BT116" s="28"/>
      <c r="BU116" s="28"/>
      <c r="BV116" s="28"/>
      <c r="BW116" s="28"/>
      <c r="BX116" s="28"/>
      <c r="BY116" s="28"/>
      <c r="BZ116" s="28"/>
      <c r="CA116" s="23"/>
      <c r="CB116" s="28">
        <v>2</v>
      </c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>
        <v>2</v>
      </c>
      <c r="CV116" s="10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32"/>
      <c r="DJ116" s="33"/>
      <c r="DK116" s="28"/>
      <c r="DL116" s="28"/>
      <c r="DM116" s="28"/>
      <c r="DN116" s="28"/>
      <c r="DO116" s="28"/>
      <c r="DP116" s="28"/>
      <c r="DQ116" s="28"/>
      <c r="DR116" s="28"/>
      <c r="DS116" s="27"/>
    </row>
    <row r="117" spans="1:123" ht="60" customHeight="1" thickBot="1">
      <c r="A117" s="282"/>
      <c r="B117" s="332"/>
      <c r="C117" s="333"/>
      <c r="D117" s="297"/>
      <c r="E117" s="303"/>
      <c r="F117" s="270"/>
      <c r="G117" s="328"/>
      <c r="H117" s="159">
        <v>9</v>
      </c>
      <c r="I117" s="155">
        <f t="shared" si="4"/>
        <v>16</v>
      </c>
      <c r="J117" s="81" t="s">
        <v>66</v>
      </c>
      <c r="K117" s="210"/>
      <c r="L117" s="206"/>
      <c r="M117" s="82"/>
      <c r="N117" s="28"/>
      <c r="O117" s="28">
        <v>3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>
        <v>4</v>
      </c>
      <c r="AW117" s="29">
        <v>5</v>
      </c>
      <c r="AX117" s="28"/>
      <c r="AY117" s="30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9"/>
      <c r="BP117" s="31"/>
      <c r="BQ117" s="341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>
        <v>2</v>
      </c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>
        <v>2</v>
      </c>
      <c r="CV117" s="10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32"/>
      <c r="DJ117" s="33"/>
      <c r="DK117" s="28"/>
      <c r="DL117" s="28"/>
      <c r="DM117" s="28"/>
      <c r="DN117" s="28"/>
      <c r="DO117" s="28"/>
      <c r="DP117" s="28"/>
      <c r="DQ117" s="28"/>
      <c r="DR117" s="28"/>
      <c r="DS117" s="27"/>
    </row>
    <row r="118" spans="1:123" ht="60" customHeight="1" thickBot="1">
      <c r="A118" s="282"/>
      <c r="B118" s="326"/>
      <c r="C118" s="326"/>
      <c r="D118" s="297"/>
      <c r="E118" s="303"/>
      <c r="F118" s="270"/>
      <c r="G118" s="328"/>
      <c r="H118" s="162">
        <v>9</v>
      </c>
      <c r="I118" s="155">
        <f t="shared" si="4"/>
        <v>16</v>
      </c>
      <c r="J118" s="199" t="s">
        <v>67</v>
      </c>
      <c r="K118" s="211"/>
      <c r="L118" s="240"/>
      <c r="M118" s="82"/>
      <c r="N118" s="34"/>
      <c r="O118" s="34">
        <v>3</v>
      </c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>
        <v>4</v>
      </c>
      <c r="AW118" s="35">
        <v>5</v>
      </c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6"/>
      <c r="BQ118" s="341"/>
      <c r="BR118" s="34">
        <v>2</v>
      </c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>
        <v>2</v>
      </c>
      <c r="CV118" s="35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7"/>
      <c r="DJ118" s="38"/>
      <c r="DK118" s="34"/>
      <c r="DL118" s="34"/>
      <c r="DM118" s="34"/>
      <c r="DN118" s="34"/>
      <c r="DO118" s="34"/>
      <c r="DP118" s="34"/>
      <c r="DQ118" s="34"/>
      <c r="DR118" s="34"/>
      <c r="DS118" s="39"/>
    </row>
    <row r="119" spans="1:123" s="164" customFormat="1" ht="60" customHeight="1" thickBot="1">
      <c r="A119" s="282"/>
      <c r="B119" s="326"/>
      <c r="C119" s="326"/>
      <c r="D119" s="297"/>
      <c r="E119" s="303"/>
      <c r="F119" s="270"/>
      <c r="G119" s="299" t="s">
        <v>83</v>
      </c>
      <c r="H119" s="158">
        <v>13</v>
      </c>
      <c r="I119" s="155">
        <f t="shared" ref="I119:I130" si="5">SUM(M119:DI119)</f>
        <v>16</v>
      </c>
      <c r="J119" s="81" t="s">
        <v>53</v>
      </c>
      <c r="K119" s="203">
        <f ca="1">+K125</f>
        <v>46273</v>
      </c>
      <c r="L119" s="206" t="s">
        <v>54</v>
      </c>
      <c r="M119" s="82"/>
      <c r="N119" s="9"/>
      <c r="O119" s="9">
        <v>3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>
        <v>4</v>
      </c>
      <c r="AW119" s="10">
        <v>5</v>
      </c>
      <c r="AX119" s="9"/>
      <c r="AY119" s="11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12"/>
      <c r="BQ119" s="341"/>
      <c r="BR119" s="14">
        <v>2</v>
      </c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9"/>
      <c r="CO119" s="14"/>
      <c r="CP119" s="14"/>
      <c r="CQ119" s="14"/>
      <c r="CR119" s="14"/>
      <c r="CS119" s="14"/>
      <c r="CT119" s="14"/>
      <c r="CU119" s="14">
        <v>2</v>
      </c>
      <c r="CV119" s="10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15"/>
      <c r="DJ119" s="16"/>
      <c r="DK119" s="17"/>
      <c r="DL119" s="17"/>
      <c r="DM119" s="17"/>
      <c r="DN119" s="17"/>
      <c r="DO119" s="17"/>
      <c r="DP119" s="17"/>
      <c r="DQ119" s="17"/>
      <c r="DR119" s="17"/>
      <c r="DS119" s="18"/>
    </row>
    <row r="120" spans="1:123" ht="60" customHeight="1" thickBot="1">
      <c r="A120" s="282"/>
      <c r="B120" s="326"/>
      <c r="C120" s="326"/>
      <c r="D120" s="297"/>
      <c r="E120" s="303"/>
      <c r="F120" s="270"/>
      <c r="G120" s="300"/>
      <c r="H120" s="159">
        <v>13</v>
      </c>
      <c r="I120" s="155">
        <f t="shared" si="5"/>
        <v>16</v>
      </c>
      <c r="J120" s="81" t="s">
        <v>55</v>
      </c>
      <c r="K120" s="204"/>
      <c r="L120" s="206"/>
      <c r="M120" s="82"/>
      <c r="N120" s="9"/>
      <c r="O120" s="9">
        <v>3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>
        <v>4</v>
      </c>
      <c r="AW120" s="10">
        <v>5</v>
      </c>
      <c r="AX120" s="9"/>
      <c r="AY120" s="11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12"/>
      <c r="BQ120" s="341"/>
      <c r="BR120" s="12">
        <v>2</v>
      </c>
      <c r="BS120" s="12"/>
      <c r="BT120" s="9"/>
      <c r="BU120" s="9"/>
      <c r="BV120" s="9"/>
      <c r="BW120" s="9"/>
      <c r="BX120" s="9"/>
      <c r="BY120" s="9"/>
      <c r="BZ120" s="9"/>
      <c r="CA120" s="9"/>
      <c r="CB120" s="12"/>
      <c r="CC120" s="12"/>
      <c r="CD120" s="9"/>
      <c r="CE120" s="9"/>
      <c r="CF120" s="12"/>
      <c r="CG120" s="12"/>
      <c r="CH120" s="9"/>
      <c r="CI120" s="9"/>
      <c r="CJ120" s="9"/>
      <c r="CK120" s="9"/>
      <c r="CL120" s="9"/>
      <c r="CM120" s="9"/>
      <c r="CN120" s="9"/>
      <c r="CO120" s="9"/>
      <c r="CP120" s="9"/>
      <c r="CQ120" s="12"/>
      <c r="CR120" s="12"/>
      <c r="CS120" s="9"/>
      <c r="CT120" s="12"/>
      <c r="CU120" s="9">
        <v>2</v>
      </c>
      <c r="CV120" s="10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19"/>
      <c r="DJ120" s="26"/>
      <c r="DK120" s="9"/>
      <c r="DL120" s="9"/>
      <c r="DM120" s="9"/>
      <c r="DN120" s="9"/>
      <c r="DO120" s="9"/>
      <c r="DP120" s="9"/>
      <c r="DQ120" s="9"/>
      <c r="DR120" s="9"/>
      <c r="DS120" s="20"/>
    </row>
    <row r="121" spans="1:123" ht="60" customHeight="1" thickBot="1">
      <c r="A121" s="282"/>
      <c r="B121" s="326"/>
      <c r="C121" s="326"/>
      <c r="D121" s="297"/>
      <c r="E121" s="303"/>
      <c r="F121" s="270"/>
      <c r="G121" s="300"/>
      <c r="H121" s="159">
        <v>10</v>
      </c>
      <c r="I121" s="155">
        <f t="shared" si="5"/>
        <v>13</v>
      </c>
      <c r="J121" s="81" t="s">
        <v>56</v>
      </c>
      <c r="K121" s="204"/>
      <c r="L121" s="206"/>
      <c r="M121" s="82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>
        <v>4</v>
      </c>
      <c r="AW121" s="21">
        <v>5</v>
      </c>
      <c r="AX121" s="9"/>
      <c r="AY121" s="11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12"/>
      <c r="BQ121" s="341"/>
      <c r="BR121" s="22">
        <v>2</v>
      </c>
      <c r="BS121" s="22"/>
      <c r="BT121" s="9"/>
      <c r="BU121" s="9"/>
      <c r="BV121" s="9"/>
      <c r="BW121" s="23"/>
      <c r="BX121" s="9"/>
      <c r="BY121" s="9"/>
      <c r="BZ121" s="9"/>
      <c r="CA121" s="9"/>
      <c r="CB121" s="22"/>
      <c r="CC121" s="22"/>
      <c r="CD121" s="9"/>
      <c r="CE121" s="9"/>
      <c r="CF121" s="22"/>
      <c r="CG121" s="22"/>
      <c r="CH121" s="9"/>
      <c r="CI121" s="9"/>
      <c r="CJ121" s="9"/>
      <c r="CK121" s="9"/>
      <c r="CL121" s="9"/>
      <c r="CM121" s="9"/>
      <c r="CN121" s="9"/>
      <c r="CO121" s="9"/>
      <c r="CP121" s="9"/>
      <c r="CQ121" s="22"/>
      <c r="CR121" s="22"/>
      <c r="CS121" s="9"/>
      <c r="CT121" s="22"/>
      <c r="CU121" s="9">
        <v>2</v>
      </c>
      <c r="CV121" s="10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4"/>
      <c r="DJ121" s="26"/>
      <c r="DK121" s="9"/>
      <c r="DL121" s="9"/>
      <c r="DM121" s="9"/>
      <c r="DN121" s="9"/>
      <c r="DO121" s="23"/>
      <c r="DP121" s="9"/>
      <c r="DQ121" s="9"/>
      <c r="DR121" s="9"/>
      <c r="DS121" s="20"/>
    </row>
    <row r="122" spans="1:123" ht="60" customHeight="1" thickBot="1">
      <c r="A122" s="282"/>
      <c r="B122" s="334"/>
      <c r="C122" s="334"/>
      <c r="D122" s="298"/>
      <c r="E122" s="304"/>
      <c r="F122" s="271"/>
      <c r="G122" s="300"/>
      <c r="H122" s="159">
        <v>10</v>
      </c>
      <c r="I122" s="155">
        <f t="shared" si="5"/>
        <v>16</v>
      </c>
      <c r="J122" s="81" t="s">
        <v>57</v>
      </c>
      <c r="K122" s="204"/>
      <c r="L122" s="206"/>
      <c r="M122" s="82"/>
      <c r="N122" s="9">
        <v>3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>
        <v>4</v>
      </c>
      <c r="AW122" s="21">
        <v>5</v>
      </c>
      <c r="AX122" s="9"/>
      <c r="AY122" s="11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12"/>
      <c r="BQ122" s="341"/>
      <c r="BR122" s="22">
        <v>2</v>
      </c>
      <c r="BS122" s="22"/>
      <c r="BT122" s="9"/>
      <c r="BU122" s="9"/>
      <c r="BV122" s="9"/>
      <c r="BW122" s="22"/>
      <c r="BX122" s="9"/>
      <c r="BY122" s="9"/>
      <c r="BZ122" s="9"/>
      <c r="CA122" s="9"/>
      <c r="CB122" s="22"/>
      <c r="CC122" s="22"/>
      <c r="CD122" s="22"/>
      <c r="CE122" s="9"/>
      <c r="CF122" s="22"/>
      <c r="CG122" s="22"/>
      <c r="CH122" s="9"/>
      <c r="CI122" s="9"/>
      <c r="CJ122" s="9"/>
      <c r="CK122" s="9"/>
      <c r="CL122" s="9"/>
      <c r="CM122" s="9"/>
      <c r="CN122" s="9"/>
      <c r="CO122" s="9"/>
      <c r="CP122" s="9"/>
      <c r="CQ122" s="22"/>
      <c r="CR122" s="22"/>
      <c r="CS122" s="9"/>
      <c r="CT122" s="22"/>
      <c r="CU122" s="9">
        <v>2</v>
      </c>
      <c r="CV122" s="10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4"/>
      <c r="DJ122" s="26"/>
      <c r="DK122" s="9"/>
      <c r="DL122" s="9"/>
      <c r="DM122" s="9"/>
      <c r="DN122" s="9"/>
      <c r="DO122" s="23"/>
      <c r="DP122" s="9"/>
      <c r="DQ122" s="9"/>
      <c r="DR122" s="9"/>
      <c r="DS122" s="20"/>
    </row>
    <row r="123" spans="1:123" ht="60" customHeight="1" thickBot="1">
      <c r="A123" s="318"/>
      <c r="B123" s="326"/>
      <c r="C123" s="326"/>
      <c r="D123" s="319" t="s">
        <v>84</v>
      </c>
      <c r="E123" s="335"/>
      <c r="F123" s="333"/>
      <c r="G123" s="300"/>
      <c r="H123" s="159">
        <v>10</v>
      </c>
      <c r="I123" s="155">
        <f t="shared" si="5"/>
        <v>15</v>
      </c>
      <c r="J123" s="81" t="s">
        <v>58</v>
      </c>
      <c r="K123" s="204"/>
      <c r="L123" s="206"/>
      <c r="M123" s="82"/>
      <c r="N123" s="9">
        <v>3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>
        <v>3</v>
      </c>
      <c r="AW123" s="21">
        <v>5</v>
      </c>
      <c r="AX123" s="9"/>
      <c r="AY123" s="11"/>
      <c r="AZ123" s="9"/>
      <c r="BA123" s="23"/>
      <c r="BB123" s="23"/>
      <c r="BC123" s="23"/>
      <c r="BD123" s="23"/>
      <c r="BE123" s="23"/>
      <c r="BF123" s="23"/>
      <c r="BG123" s="202"/>
      <c r="BH123" s="23"/>
      <c r="BI123" s="23"/>
      <c r="BJ123" s="23"/>
      <c r="BK123" s="23"/>
      <c r="BL123" s="23"/>
      <c r="BM123" s="23"/>
      <c r="BN123" s="23"/>
      <c r="BO123" s="9"/>
      <c r="BP123" s="22"/>
      <c r="BQ123" s="341"/>
      <c r="BR123" s="22">
        <v>2</v>
      </c>
      <c r="BS123" s="22"/>
      <c r="BT123" s="23"/>
      <c r="BU123" s="9"/>
      <c r="BV123" s="23"/>
      <c r="BW123" s="22"/>
      <c r="BX123" s="23"/>
      <c r="BY123" s="23"/>
      <c r="BZ123" s="23"/>
      <c r="CA123" s="23"/>
      <c r="CB123" s="22"/>
      <c r="CC123" s="22"/>
      <c r="CD123" s="22"/>
      <c r="CE123" s="23"/>
      <c r="CF123" s="22"/>
      <c r="CG123" s="22"/>
      <c r="CH123" s="23"/>
      <c r="CI123" s="9"/>
      <c r="CJ123" s="23"/>
      <c r="CK123" s="23"/>
      <c r="CL123" s="23"/>
      <c r="CM123" s="23"/>
      <c r="CN123" s="23"/>
      <c r="CO123" s="23"/>
      <c r="CP123" s="23"/>
      <c r="CQ123" s="22"/>
      <c r="CR123" s="22"/>
      <c r="CS123" s="23"/>
      <c r="CT123" s="22"/>
      <c r="CU123" s="23">
        <v>2</v>
      </c>
      <c r="CV123" s="10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4"/>
      <c r="DJ123" s="26"/>
      <c r="DK123" s="23"/>
      <c r="DL123" s="23"/>
      <c r="DM123" s="23"/>
      <c r="DN123" s="23"/>
      <c r="DO123" s="23"/>
      <c r="DP123" s="23"/>
      <c r="DQ123" s="23"/>
      <c r="DR123" s="23"/>
      <c r="DS123" s="27"/>
    </row>
    <row r="124" spans="1:123" ht="60" customHeight="1" thickBot="1">
      <c r="A124" s="318"/>
      <c r="B124" s="326"/>
      <c r="C124" s="326"/>
      <c r="D124" s="320"/>
      <c r="E124" s="335"/>
      <c r="F124" s="335"/>
      <c r="G124" s="300"/>
      <c r="H124" s="159">
        <v>14</v>
      </c>
      <c r="I124" s="155">
        <f t="shared" si="5"/>
        <v>16</v>
      </c>
      <c r="J124" s="81" t="s">
        <v>59</v>
      </c>
      <c r="K124" s="205"/>
      <c r="L124" s="206"/>
      <c r="M124" s="82"/>
      <c r="N124" s="9">
        <v>3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>
        <v>3</v>
      </c>
      <c r="AW124" s="21">
        <v>4</v>
      </c>
      <c r="AX124" s="9"/>
      <c r="AY124" s="11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22"/>
      <c r="BQ124" s="341"/>
      <c r="BR124" s="22">
        <v>2</v>
      </c>
      <c r="BS124" s="22"/>
      <c r="BT124" s="23"/>
      <c r="BU124" s="9"/>
      <c r="BV124" s="23"/>
      <c r="BW124" s="22"/>
      <c r="BX124" s="23"/>
      <c r="BY124" s="23"/>
      <c r="BZ124" s="23"/>
      <c r="CA124" s="23"/>
      <c r="CB124" s="22"/>
      <c r="CC124" s="22">
        <v>2</v>
      </c>
      <c r="CD124" s="22"/>
      <c r="CE124" s="23"/>
      <c r="CF124" s="22"/>
      <c r="CG124" s="22"/>
      <c r="CH124" s="23"/>
      <c r="CI124" s="9"/>
      <c r="CJ124" s="23"/>
      <c r="CK124" s="23"/>
      <c r="CL124" s="23"/>
      <c r="CM124" s="23"/>
      <c r="CN124" s="23"/>
      <c r="CO124" s="23"/>
      <c r="CP124" s="23"/>
      <c r="CQ124" s="22"/>
      <c r="CR124" s="22"/>
      <c r="CS124" s="23"/>
      <c r="CT124" s="22"/>
      <c r="CU124" s="23">
        <v>2</v>
      </c>
      <c r="CV124" s="10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4"/>
      <c r="DJ124" s="26"/>
      <c r="DK124" s="23"/>
      <c r="DL124" s="23"/>
      <c r="DM124" s="23"/>
      <c r="DN124" s="23"/>
      <c r="DO124" s="23"/>
      <c r="DP124" s="23"/>
      <c r="DQ124" s="23"/>
      <c r="DR124" s="23"/>
      <c r="DS124" s="27"/>
    </row>
    <row r="125" spans="1:123" ht="60" customHeight="1" thickBot="1">
      <c r="A125" s="318"/>
      <c r="B125" s="326"/>
      <c r="C125" s="326"/>
      <c r="D125" s="320"/>
      <c r="E125" s="335"/>
      <c r="F125" s="335"/>
      <c r="G125" s="301"/>
      <c r="H125" s="159">
        <v>14</v>
      </c>
      <c r="I125" s="155">
        <f t="shared" si="5"/>
        <v>16</v>
      </c>
      <c r="J125" s="81" t="s">
        <v>60</v>
      </c>
      <c r="K125" s="209">
        <f ca="1">K113+1</f>
        <v>46273</v>
      </c>
      <c r="L125" s="206"/>
      <c r="M125" s="82"/>
      <c r="N125" s="23">
        <v>3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>
        <v>3</v>
      </c>
      <c r="AW125" s="21">
        <v>4</v>
      </c>
      <c r="AX125" s="23"/>
      <c r="AY125" s="25"/>
      <c r="AZ125" s="23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22"/>
      <c r="BQ125" s="341"/>
      <c r="BR125" s="23">
        <v>2</v>
      </c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>
        <v>2</v>
      </c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2</v>
      </c>
      <c r="CV125" s="10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4"/>
      <c r="DJ125" s="26"/>
      <c r="DK125" s="23"/>
      <c r="DL125" s="23"/>
      <c r="DM125" s="23"/>
      <c r="DN125" s="23"/>
      <c r="DO125" s="23"/>
      <c r="DP125" s="23"/>
      <c r="DQ125" s="23"/>
      <c r="DR125" s="23"/>
      <c r="DS125" s="27"/>
    </row>
    <row r="126" spans="1:123" ht="60" customHeight="1" thickBot="1">
      <c r="A126" s="321"/>
      <c r="B126" s="326"/>
      <c r="C126" s="326"/>
      <c r="D126" s="320"/>
      <c r="E126" s="335"/>
      <c r="F126" s="326"/>
      <c r="G126" s="336"/>
      <c r="H126" s="159">
        <v>14</v>
      </c>
      <c r="I126" s="155">
        <f t="shared" si="5"/>
        <v>16</v>
      </c>
      <c r="J126" s="81" t="s">
        <v>61</v>
      </c>
      <c r="K126" s="210"/>
      <c r="L126" s="206"/>
      <c r="M126" s="82"/>
      <c r="N126" s="23">
        <v>3</v>
      </c>
      <c r="O126" s="23"/>
      <c r="P126" s="23"/>
      <c r="Q126" s="9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>
        <v>3</v>
      </c>
      <c r="AW126" s="21">
        <v>5</v>
      </c>
      <c r="AX126" s="23"/>
      <c r="AY126" s="25"/>
      <c r="AZ126" s="23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22"/>
      <c r="BQ126" s="341"/>
      <c r="BR126" s="23">
        <v>2</v>
      </c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>
        <v>2</v>
      </c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1</v>
      </c>
      <c r="CV126" s="10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4"/>
      <c r="DJ126" s="26"/>
      <c r="DK126" s="23"/>
      <c r="DL126" s="23"/>
      <c r="DM126" s="23"/>
      <c r="DN126" s="23"/>
      <c r="DO126" s="23"/>
      <c r="DP126" s="23"/>
      <c r="DQ126" s="23"/>
      <c r="DR126" s="23"/>
      <c r="DS126" s="27"/>
    </row>
    <row r="127" spans="1:123" ht="60" customHeight="1" thickBot="1">
      <c r="A127" s="337"/>
      <c r="B127" s="326"/>
      <c r="C127" s="326"/>
      <c r="D127" s="320"/>
      <c r="E127" s="335"/>
      <c r="F127" s="326"/>
      <c r="G127" s="338"/>
      <c r="H127" s="159">
        <v>15</v>
      </c>
      <c r="I127" s="155">
        <f t="shared" si="5"/>
        <v>16</v>
      </c>
      <c r="J127" s="81" t="s">
        <v>62</v>
      </c>
      <c r="K127" s="210"/>
      <c r="L127" s="206"/>
      <c r="M127" s="82"/>
      <c r="N127" s="23">
        <v>3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>
        <v>3</v>
      </c>
      <c r="AW127" s="21">
        <v>5</v>
      </c>
      <c r="AX127" s="23"/>
      <c r="AY127" s="25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9"/>
      <c r="BP127" s="22"/>
      <c r="BQ127" s="341"/>
      <c r="BR127" s="23">
        <v>2</v>
      </c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>
        <v>2</v>
      </c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1</v>
      </c>
      <c r="CV127" s="10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4"/>
      <c r="DJ127" s="26"/>
      <c r="DK127" s="23"/>
      <c r="DL127" s="23"/>
      <c r="DM127" s="23"/>
      <c r="DN127" s="23"/>
      <c r="DO127" s="23"/>
      <c r="DP127" s="23"/>
      <c r="DQ127" s="23"/>
      <c r="DR127" s="23"/>
      <c r="DS127" s="27"/>
    </row>
    <row r="128" spans="1:123" ht="60" customHeight="1" thickBot="1">
      <c r="A128" s="330"/>
      <c r="B128" s="326"/>
      <c r="C128" s="326"/>
      <c r="D128" s="320"/>
      <c r="E128" s="335"/>
      <c r="F128" s="326"/>
      <c r="G128" s="338"/>
      <c r="H128" s="159">
        <v>13</v>
      </c>
      <c r="I128" s="155">
        <f t="shared" si="5"/>
        <v>15</v>
      </c>
      <c r="J128" s="81" t="s">
        <v>63</v>
      </c>
      <c r="K128" s="210"/>
      <c r="L128" s="206"/>
      <c r="M128" s="82"/>
      <c r="N128" s="28">
        <v>3</v>
      </c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>
        <v>3</v>
      </c>
      <c r="AW128" s="29">
        <v>5</v>
      </c>
      <c r="AX128" s="28"/>
      <c r="AY128" s="30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9"/>
      <c r="BP128" s="31"/>
      <c r="BQ128" s="341"/>
      <c r="BR128" s="28">
        <v>2</v>
      </c>
      <c r="BS128" s="28"/>
      <c r="BT128" s="28"/>
      <c r="BU128" s="28"/>
      <c r="BV128" s="28"/>
      <c r="BW128" s="28"/>
      <c r="BX128" s="28"/>
      <c r="BY128" s="28"/>
      <c r="BZ128" s="28"/>
      <c r="CA128" s="23"/>
      <c r="CB128" s="28"/>
      <c r="CC128" s="28">
        <v>2</v>
      </c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10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32"/>
      <c r="DJ128" s="33"/>
      <c r="DK128" s="28"/>
      <c r="DL128" s="28"/>
      <c r="DM128" s="28"/>
      <c r="DN128" s="28"/>
      <c r="DO128" s="28"/>
      <c r="DP128" s="28"/>
      <c r="DQ128" s="28"/>
      <c r="DR128" s="28"/>
      <c r="DS128" s="27"/>
    </row>
    <row r="129" spans="1:123" ht="60" customHeight="1" thickBot="1">
      <c r="A129" s="330"/>
      <c r="B129" s="326"/>
      <c r="C129" s="326"/>
      <c r="D129" s="320"/>
      <c r="E129" s="335"/>
      <c r="F129" s="306" t="s">
        <v>85</v>
      </c>
      <c r="G129" s="338"/>
      <c r="H129" s="159">
        <v>9</v>
      </c>
      <c r="I129" s="155">
        <f t="shared" si="5"/>
        <v>16</v>
      </c>
      <c r="J129" s="81" t="s">
        <v>66</v>
      </c>
      <c r="K129" s="210"/>
      <c r="L129" s="206"/>
      <c r="M129" s="82"/>
      <c r="N129" s="28">
        <v>3</v>
      </c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>
        <v>4</v>
      </c>
      <c r="AW129" s="29">
        <v>5</v>
      </c>
      <c r="AX129" s="28"/>
      <c r="AY129" s="30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9"/>
      <c r="BP129" s="31"/>
      <c r="BQ129" s="341"/>
      <c r="BR129" s="28">
        <v>2</v>
      </c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>
        <v>2</v>
      </c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10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32"/>
      <c r="DJ129" s="33"/>
      <c r="DK129" s="28"/>
      <c r="DL129" s="28"/>
      <c r="DM129" s="28"/>
      <c r="DN129" s="28"/>
      <c r="DO129" s="28"/>
      <c r="DP129" s="28"/>
      <c r="DQ129" s="28"/>
      <c r="DR129" s="28"/>
      <c r="DS129" s="27"/>
    </row>
    <row r="130" spans="1:123" ht="60" customHeight="1" thickBot="1">
      <c r="A130" s="330"/>
      <c r="B130" s="326"/>
      <c r="C130" s="326"/>
      <c r="D130" s="320"/>
      <c r="E130" s="335"/>
      <c r="F130" s="307"/>
      <c r="G130" s="263" t="s">
        <v>86</v>
      </c>
      <c r="H130" s="162">
        <v>9</v>
      </c>
      <c r="I130" s="155">
        <f t="shared" si="5"/>
        <v>16</v>
      </c>
      <c r="J130" s="199" t="s">
        <v>67</v>
      </c>
      <c r="K130" s="242"/>
      <c r="L130" s="240"/>
      <c r="M130" s="82"/>
      <c r="N130" s="34">
        <v>3</v>
      </c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>
        <v>4</v>
      </c>
      <c r="AW130" s="35">
        <v>5</v>
      </c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6"/>
      <c r="BQ130" s="341"/>
      <c r="BR130" s="34">
        <v>2</v>
      </c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>
        <v>2</v>
      </c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5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7"/>
      <c r="DJ130" s="38"/>
      <c r="DK130" s="34"/>
      <c r="DL130" s="34"/>
      <c r="DM130" s="34"/>
      <c r="DN130" s="34"/>
      <c r="DO130" s="34"/>
      <c r="DP130" s="34"/>
      <c r="DQ130" s="34"/>
      <c r="DR130" s="34"/>
      <c r="DS130" s="39"/>
    </row>
    <row r="131" spans="1:123" ht="69" thickBot="1">
      <c r="Q131" s="237"/>
      <c r="R131" s="237"/>
      <c r="U131" s="238" t="s">
        <v>98</v>
      </c>
      <c r="V131" s="238"/>
      <c r="W131" s="238"/>
      <c r="X131" s="238"/>
      <c r="Y131" s="238"/>
      <c r="Z131" s="83"/>
      <c r="AA131" s="83"/>
      <c r="AB131" s="83"/>
      <c r="AC131" s="83"/>
      <c r="AD131" s="83"/>
      <c r="AE131" s="83"/>
      <c r="AF131" s="83"/>
      <c r="AG131" s="83"/>
      <c r="AH131" s="83"/>
      <c r="AI131" s="239" t="s">
        <v>88</v>
      </c>
      <c r="AJ131" s="239"/>
      <c r="AK131" s="239"/>
      <c r="AL131" s="239"/>
      <c r="AM131" s="239"/>
      <c r="AN131" s="239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239" t="s">
        <v>89</v>
      </c>
      <c r="BA131" s="239"/>
      <c r="BB131" s="239"/>
      <c r="BC131" s="239"/>
      <c r="BD131" s="239"/>
      <c r="BE131" s="239"/>
      <c r="BF131" s="84"/>
      <c r="BG131" s="84"/>
      <c r="BH131" s="84"/>
    </row>
    <row r="132" spans="1:123" ht="68.25">
      <c r="U132" s="235" t="s">
        <v>90</v>
      </c>
      <c r="V132" s="235"/>
      <c r="W132" s="235"/>
      <c r="X132" s="235"/>
      <c r="Y132" s="235"/>
      <c r="Z132" s="83"/>
      <c r="AA132" s="83"/>
      <c r="AB132" s="83"/>
      <c r="AC132" s="83"/>
      <c r="AD132" s="83"/>
      <c r="AE132" s="83"/>
      <c r="AF132" s="83"/>
      <c r="AG132" s="83"/>
      <c r="AH132" s="236" t="s">
        <v>91</v>
      </c>
      <c r="AI132" s="236"/>
      <c r="AJ132" s="236"/>
      <c r="AK132" s="236"/>
      <c r="AL132" s="236"/>
      <c r="AM132" s="236"/>
      <c r="AN132" s="236"/>
      <c r="AO132" s="236"/>
      <c r="AP132" s="83"/>
      <c r="AQ132" s="83"/>
      <c r="AR132" s="83"/>
      <c r="AS132" s="83"/>
      <c r="AT132" s="83"/>
      <c r="AU132" s="83"/>
      <c r="AV132" s="83"/>
      <c r="AW132" s="83"/>
      <c r="AX132" s="83"/>
      <c r="AY132" s="236" t="s">
        <v>92</v>
      </c>
      <c r="AZ132" s="236"/>
      <c r="BA132" s="236"/>
      <c r="BB132" s="236"/>
      <c r="BC132" s="236"/>
      <c r="BD132" s="236"/>
      <c r="BE132" s="236"/>
      <c r="BF132" s="236"/>
      <c r="BG132" s="236"/>
      <c r="BH132" s="84"/>
    </row>
    <row r="133" spans="1:123" ht="42"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</row>
    <row r="134" spans="1:123" ht="42">
      <c r="R134" s="85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</row>
    <row r="135" spans="1:123" ht="42">
      <c r="P135" s="86"/>
      <c r="Q135" s="86"/>
      <c r="R135" s="87" t="s">
        <v>93</v>
      </c>
      <c r="S135" s="86"/>
      <c r="T135" s="86"/>
      <c r="U135" s="88"/>
      <c r="V135" s="88"/>
      <c r="W135" s="88"/>
      <c r="X135" s="88"/>
      <c r="Y135" s="88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</row>
    <row r="136" spans="1:123">
      <c r="P136" s="86"/>
      <c r="Q136" s="86"/>
      <c r="R136" s="87" t="s">
        <v>94</v>
      </c>
      <c r="S136" s="86"/>
      <c r="T136" s="86"/>
      <c r="U136" s="86"/>
      <c r="V136" s="86"/>
      <c r="W136" s="86"/>
      <c r="X136" s="86"/>
      <c r="Y136" s="87"/>
    </row>
    <row r="137" spans="1:123">
      <c r="P137" s="86"/>
      <c r="Q137" s="86"/>
      <c r="R137" s="87" t="s">
        <v>95</v>
      </c>
      <c r="S137" s="86"/>
      <c r="T137" s="86"/>
      <c r="U137" s="86"/>
      <c r="V137" s="86"/>
      <c r="W137" s="86"/>
      <c r="X137" s="86"/>
      <c r="Y137" s="87"/>
    </row>
    <row r="138" spans="1:123">
      <c r="P138" s="86"/>
      <c r="Q138" s="86"/>
      <c r="R138" s="87" t="s">
        <v>87</v>
      </c>
      <c r="S138" s="86"/>
      <c r="T138" s="86"/>
      <c r="U138" s="86"/>
      <c r="V138" s="86"/>
      <c r="W138" s="86"/>
      <c r="X138" s="86"/>
      <c r="Y138" s="87"/>
    </row>
    <row r="139" spans="1:123">
      <c r="P139" s="86"/>
      <c r="Q139" s="86"/>
      <c r="R139" s="87" t="s">
        <v>96</v>
      </c>
      <c r="S139" s="86"/>
      <c r="T139" s="86"/>
      <c r="U139" s="86"/>
      <c r="V139" s="86"/>
      <c r="W139" s="86"/>
      <c r="X139" s="86"/>
      <c r="Y139" s="87"/>
    </row>
    <row r="140" spans="1:123" ht="36" customHeight="1">
      <c r="P140" s="86"/>
      <c r="Q140" s="86"/>
      <c r="R140" s="87" t="s">
        <v>97</v>
      </c>
      <c r="S140" s="86"/>
      <c r="T140" s="86"/>
      <c r="U140" s="86"/>
      <c r="V140" s="86"/>
      <c r="W140" s="86"/>
      <c r="X140" s="86"/>
      <c r="Y140" s="87"/>
    </row>
    <row r="141" spans="1:123">
      <c r="P141" s="86"/>
      <c r="Q141" s="86"/>
      <c r="R141" s="87" t="s">
        <v>98</v>
      </c>
      <c r="S141" s="86"/>
      <c r="T141" s="86"/>
      <c r="U141" s="86"/>
      <c r="V141" s="86"/>
      <c r="W141" s="86"/>
      <c r="X141" s="86"/>
      <c r="Y141" s="87"/>
    </row>
    <row r="142" spans="1:123">
      <c r="R142" s="87" t="s">
        <v>99</v>
      </c>
    </row>
    <row r="153" spans="8:12" s="48" customFormat="1" ht="17.25" customHeight="1">
      <c r="H153" s="49"/>
      <c r="I153" s="49"/>
      <c r="J153" s="49"/>
      <c r="K153" s="7"/>
      <c r="L153" s="50"/>
    </row>
    <row r="159" spans="8:12" s="48" customFormat="1" ht="18" customHeight="1">
      <c r="H159" s="49"/>
      <c r="I159" s="49"/>
      <c r="J159" s="49"/>
      <c r="K159" s="7"/>
      <c r="L159" s="50"/>
    </row>
    <row r="160" spans="8:12" s="48" customFormat="1" ht="17.25" customHeight="1">
      <c r="H160" s="49"/>
      <c r="I160" s="49"/>
      <c r="J160" s="49"/>
      <c r="K160" s="7"/>
      <c r="L160" s="50"/>
    </row>
    <row r="163" spans="8:12" s="48" customFormat="1" ht="17.25" customHeight="1">
      <c r="H163" s="49"/>
      <c r="I163" s="49"/>
      <c r="J163" s="49"/>
      <c r="K163" s="7"/>
      <c r="L163" s="50"/>
    </row>
  </sheetData>
  <mergeCells count="117">
    <mergeCell ref="F88:F96"/>
    <mergeCell ref="G90:G97"/>
    <mergeCell ref="E94:E106"/>
    <mergeCell ref="F98:F122"/>
    <mergeCell ref="B101:C116"/>
    <mergeCell ref="E107:E115"/>
    <mergeCell ref="A111:A126"/>
    <mergeCell ref="D115:D122"/>
    <mergeCell ref="E116:E122"/>
    <mergeCell ref="G119:G125"/>
    <mergeCell ref="D123:D130"/>
    <mergeCell ref="F129:F130"/>
    <mergeCell ref="A11:A15"/>
    <mergeCell ref="E11:E22"/>
    <mergeCell ref="F11:F12"/>
    <mergeCell ref="G11:G13"/>
    <mergeCell ref="F14:F38"/>
    <mergeCell ref="B17:C32"/>
    <mergeCell ref="E23:E31"/>
    <mergeCell ref="A27:A42"/>
    <mergeCell ref="D31:D38"/>
    <mergeCell ref="E32:E38"/>
    <mergeCell ref="G35:G41"/>
    <mergeCell ref="D39:D47"/>
    <mergeCell ref="F45:F48"/>
    <mergeCell ref="G46:G49"/>
    <mergeCell ref="A54:A71"/>
    <mergeCell ref="F57:F68"/>
    <mergeCell ref="G59:G77"/>
    <mergeCell ref="D69:D78"/>
    <mergeCell ref="F69:F77"/>
    <mergeCell ref="E72:E78"/>
    <mergeCell ref="B77:C89"/>
    <mergeCell ref="D79:D91"/>
    <mergeCell ref="E82:E90"/>
    <mergeCell ref="G82:G89"/>
    <mergeCell ref="K107:K112"/>
    <mergeCell ref="L107:L118"/>
    <mergeCell ref="K113:K118"/>
    <mergeCell ref="K119:K124"/>
    <mergeCell ref="L119:L130"/>
    <mergeCell ref="K125:K130"/>
    <mergeCell ref="L11:L22"/>
    <mergeCell ref="K17:K22"/>
    <mergeCell ref="K71:K76"/>
    <mergeCell ref="K77:K82"/>
    <mergeCell ref="K59:K64"/>
    <mergeCell ref="K65:K70"/>
    <mergeCell ref="K47:K52"/>
    <mergeCell ref="K53:K58"/>
    <mergeCell ref="K11:K16"/>
    <mergeCell ref="K83:K88"/>
    <mergeCell ref="K23:K28"/>
    <mergeCell ref="K29:K34"/>
    <mergeCell ref="U132:Y132"/>
    <mergeCell ref="AH132:AO132"/>
    <mergeCell ref="AY132:BG132"/>
    <mergeCell ref="Q131:R131"/>
    <mergeCell ref="U131:Y131"/>
    <mergeCell ref="AI131:AN131"/>
    <mergeCell ref="AZ131:BE131"/>
    <mergeCell ref="L23:L34"/>
    <mergeCell ref="L83:L94"/>
    <mergeCell ref="L71:L82"/>
    <mergeCell ref="L59:L70"/>
    <mergeCell ref="L47:L58"/>
    <mergeCell ref="L35:L46"/>
    <mergeCell ref="DO6:DS6"/>
    <mergeCell ref="CV7:DI7"/>
    <mergeCell ref="DJ7:DS7"/>
    <mergeCell ref="J6:M10"/>
    <mergeCell ref="N6:X6"/>
    <mergeCell ref="Y6:AI6"/>
    <mergeCell ref="AJ6:AV6"/>
    <mergeCell ref="AW6:BP6"/>
    <mergeCell ref="BR6:CA6"/>
    <mergeCell ref="N7:X7"/>
    <mergeCell ref="Y7:AI7"/>
    <mergeCell ref="AJ7:AV7"/>
    <mergeCell ref="AW7:BP7"/>
    <mergeCell ref="CB6:CK6"/>
    <mergeCell ref="CL6:CU6"/>
    <mergeCell ref="CV6:DB6"/>
    <mergeCell ref="DC6:DI6"/>
    <mergeCell ref="DJ6:DN6"/>
    <mergeCell ref="N3:BP3"/>
    <mergeCell ref="BR3:DS3"/>
    <mergeCell ref="N4:Q5"/>
    <mergeCell ref="R4:U4"/>
    <mergeCell ref="AI4:AL4"/>
    <mergeCell ref="BD4:BG4"/>
    <mergeCell ref="BR4:CU4"/>
    <mergeCell ref="CV4:DI4"/>
    <mergeCell ref="DJ4:DS4"/>
    <mergeCell ref="R5:V5"/>
    <mergeCell ref="AH5:AL5"/>
    <mergeCell ref="AS5:AU5"/>
    <mergeCell ref="BD5:BH5"/>
    <mergeCell ref="CA5:CF5"/>
    <mergeCell ref="CG5:CK5"/>
    <mergeCell ref="CV5:DI5"/>
    <mergeCell ref="DJ5:DS5"/>
    <mergeCell ref="K95:K100"/>
    <mergeCell ref="L95:L106"/>
    <mergeCell ref="K101:K106"/>
    <mergeCell ref="K89:K94"/>
    <mergeCell ref="A6:A10"/>
    <mergeCell ref="B6:B10"/>
    <mergeCell ref="C6:C10"/>
    <mergeCell ref="D6:D10"/>
    <mergeCell ref="E6:E10"/>
    <mergeCell ref="F6:F10"/>
    <mergeCell ref="G6:G10"/>
    <mergeCell ref="H6:H10"/>
    <mergeCell ref="I6:I10"/>
    <mergeCell ref="K35:K40"/>
    <mergeCell ref="K41:K46"/>
  </mergeCells>
  <conditionalFormatting sqref="H11:H130">
    <cfRule type="cellIs" dxfId="87" priority="119" operator="greaterThan">
      <formula>13</formula>
    </cfRule>
  </conditionalFormatting>
  <conditionalFormatting sqref="I11:I130">
    <cfRule type="cellIs" dxfId="86" priority="8" operator="greaterThan">
      <formula>16</formula>
    </cfRule>
  </conditionalFormatting>
  <conditionalFormatting sqref="N11:AV130">
    <cfRule type="cellIs" dxfId="85" priority="9" operator="equal">
      <formula>11</formula>
    </cfRule>
  </conditionalFormatting>
  <conditionalFormatting sqref="AX11:AY18">
    <cfRule type="cellIs" dxfId="84" priority="69" operator="equal">
      <formula>11</formula>
    </cfRule>
  </conditionalFormatting>
  <conditionalFormatting sqref="AX23:AY30">
    <cfRule type="cellIs" dxfId="83" priority="255" operator="equal">
      <formula>11</formula>
    </cfRule>
  </conditionalFormatting>
  <conditionalFormatting sqref="AX35:AY42">
    <cfRule type="cellIs" dxfId="82" priority="60" operator="equal">
      <formula>11</formula>
    </cfRule>
  </conditionalFormatting>
  <conditionalFormatting sqref="AX47:AY54">
    <cfRule type="cellIs" dxfId="81" priority="53" operator="equal">
      <formula>11</formula>
    </cfRule>
  </conditionalFormatting>
  <conditionalFormatting sqref="AX59:AY66">
    <cfRule type="cellIs" dxfId="80" priority="46" operator="equal">
      <formula>11</formula>
    </cfRule>
  </conditionalFormatting>
  <conditionalFormatting sqref="AX71:AY78">
    <cfRule type="cellIs" dxfId="79" priority="39" operator="equal">
      <formula>11</formula>
    </cfRule>
  </conditionalFormatting>
  <conditionalFormatting sqref="AX83:AY90">
    <cfRule type="cellIs" dxfId="78" priority="112" operator="equal">
      <formula>11</formula>
    </cfRule>
  </conditionalFormatting>
  <conditionalFormatting sqref="AX95:AY102">
    <cfRule type="cellIs" dxfId="77" priority="31" operator="equal">
      <formula>11</formula>
    </cfRule>
  </conditionalFormatting>
  <conditionalFormatting sqref="AX107:AY114">
    <cfRule type="cellIs" dxfId="76" priority="290" operator="equal">
      <formula>11</formula>
    </cfRule>
  </conditionalFormatting>
  <conditionalFormatting sqref="AX119:AY126">
    <cfRule type="cellIs" dxfId="75" priority="204" operator="equal">
      <formula>11</formula>
    </cfRule>
  </conditionalFormatting>
  <conditionalFormatting sqref="AZ11:AZ21">
    <cfRule type="cellIs" dxfId="71" priority="70" operator="equal">
      <formula>11</formula>
    </cfRule>
  </conditionalFormatting>
  <conditionalFormatting sqref="AZ23:AZ33">
    <cfRule type="cellIs" dxfId="70" priority="256" operator="equal">
      <formula>11</formula>
    </cfRule>
  </conditionalFormatting>
  <conditionalFormatting sqref="AZ35:AZ45">
    <cfRule type="cellIs" dxfId="69" priority="61" operator="equal">
      <formula>11</formula>
    </cfRule>
  </conditionalFormatting>
  <conditionalFormatting sqref="AZ47:AZ57">
    <cfRule type="cellIs" dxfId="68" priority="54" operator="equal">
      <formula>11</formula>
    </cfRule>
  </conditionalFormatting>
  <conditionalFormatting sqref="AZ59:AZ69">
    <cfRule type="cellIs" dxfId="67" priority="47" operator="equal">
      <formula>11</formula>
    </cfRule>
  </conditionalFormatting>
  <conditionalFormatting sqref="AZ71:AZ81">
    <cfRule type="cellIs" dxfId="66" priority="40" operator="equal">
      <formula>11</formula>
    </cfRule>
  </conditionalFormatting>
  <conditionalFormatting sqref="AZ83:AZ93">
    <cfRule type="cellIs" dxfId="65" priority="113" operator="equal">
      <formula>11</formula>
    </cfRule>
  </conditionalFormatting>
  <conditionalFormatting sqref="AZ95:AZ105">
    <cfRule type="cellIs" dxfId="64" priority="32" operator="equal">
      <formula>11</formula>
    </cfRule>
  </conditionalFormatting>
  <conditionalFormatting sqref="AZ107:AZ117">
    <cfRule type="cellIs" dxfId="63" priority="291" operator="equal">
      <formula>11</formula>
    </cfRule>
  </conditionalFormatting>
  <conditionalFormatting sqref="AZ119:AZ129">
    <cfRule type="cellIs" dxfId="62" priority="205" operator="equal">
      <formula>11</formula>
    </cfRule>
  </conditionalFormatting>
  <conditionalFormatting sqref="BR13:BS13 CB13:CC13 CF13:CG13 CQ13:CR13 CT13 BR15:BS15 CB15:CD15 CF15:CG15 CQ15:CR15 CT15">
    <cfRule type="expression" dxfId="58" priority="71">
      <formula>SUM($BR15:$CU15)&gt;7</formula>
    </cfRule>
  </conditionalFormatting>
  <conditionalFormatting sqref="BR14:BS14 CB14:CD14 CF14:CG14 CQ14:CR14 CT14 BR16:BS16 CB16:CD16 CF16:CG16 CQ16:CR16 CT16">
    <cfRule type="expression" dxfId="57" priority="72">
      <formula>SUM($BR17:$CU17)&gt;7</formula>
    </cfRule>
  </conditionalFormatting>
  <conditionalFormatting sqref="BR25:BS25 CB25:CC25 CF25:CG25 CQ25:CR25 CT25 BR27:BS27 CB27:CD27 CF27:CG27 CQ27:CR27 CT27">
    <cfRule type="expression" dxfId="56" priority="257">
      <formula>SUM($BR27:$CU27)&gt;7</formula>
    </cfRule>
  </conditionalFormatting>
  <conditionalFormatting sqref="BR26:BS26 CB26:CD26 CF26:CG26 CQ26:CR26 CT26 BR28:BS28 CB28:CD28 CF28:CG28 CQ28:CR28 CT28">
    <cfRule type="expression" dxfId="55" priority="259">
      <formula>SUM($BR29:$CU29)&gt;7</formula>
    </cfRule>
  </conditionalFormatting>
  <conditionalFormatting sqref="BR37:BS37 CB37:CC37 CF37:CG37 CQ37:CR37 CT37 BR39:BS39 CB39:CD39 CF39:CG39 CQ39:CR39 CT39">
    <cfRule type="expression" dxfId="54" priority="62">
      <formula>SUM($BR39:$CU39)&gt;7</formula>
    </cfRule>
  </conditionalFormatting>
  <conditionalFormatting sqref="BR38:BS38 CB38:CD38 CF38:CG38 CQ38:CR38 CT38 BR40:BS40 CB40:CD40 CF40:CG40 CQ40:CR40 CT40">
    <cfRule type="expression" dxfId="53" priority="63">
      <formula>SUM($BR41:$CU41)&gt;7</formula>
    </cfRule>
  </conditionalFormatting>
  <conditionalFormatting sqref="BR49:BS49 CB49:CC49 CF49:CG49 CQ49:CR49 CT49 BR51:BS51 CB51:CD51 CF51:CG51 CQ51:CR51 CT51">
    <cfRule type="expression" dxfId="52" priority="55">
      <formula>SUM($BR51:$CU51)&gt;7</formula>
    </cfRule>
  </conditionalFormatting>
  <conditionalFormatting sqref="BR50:BS50 CB50:CD50 CF50:CG50 CQ50:CR50 CT50 BR52:BS52 CB52:CD52 CF52:CG52 CQ52:CR52 CT52">
    <cfRule type="expression" dxfId="51" priority="56">
      <formula>SUM($BR53:$CU53)&gt;7</formula>
    </cfRule>
  </conditionalFormatting>
  <conditionalFormatting sqref="BR61:BS61 CB61:CC61 CF61:CG61 CQ61:CR61 CT61 BR63:BS63 CB63:CD63 CF63:CG63 CQ63:CR63 CT63">
    <cfRule type="expression" dxfId="50" priority="48">
      <formula>SUM($BR63:$CU63)&gt;7</formula>
    </cfRule>
  </conditionalFormatting>
  <conditionalFormatting sqref="BR62:BS62 CB62:CD62 CF62:CG62 CQ62:CR62 CT62 BR64:BS64 CB64:CD64 CF64:CG64 CQ64:CR64 CT64">
    <cfRule type="expression" dxfId="49" priority="49">
      <formula>SUM($BR65:$CU65)&gt;7</formula>
    </cfRule>
  </conditionalFormatting>
  <conditionalFormatting sqref="BR73:BS73 CB73:CC73 CF73:CG73 CQ73:CR73 CT73 BR75:BS75 CB75:CD75 CF75:CG75 CQ75:CR75 CT75">
    <cfRule type="expression" dxfId="48" priority="41">
      <formula>SUM($BR75:$CU75)&gt;7</formula>
    </cfRule>
  </conditionalFormatting>
  <conditionalFormatting sqref="BR74:BS74 CB74:CD74 CF74:CG74 CQ74:CR74 CT74 BR76:BS76 CB76:CD76 CF76:CG76 CQ76:CR76 CT76">
    <cfRule type="expression" dxfId="47" priority="42">
      <formula>SUM($BR77:$CU77)&gt;7</formula>
    </cfRule>
  </conditionalFormatting>
  <conditionalFormatting sqref="BR85:BS85 CB85:CC85 CF85:CG85 CQ85:CR85 CT85 BR87:BS87 CB87:CD87 CF87:CG87 CQ87:CR87 CT87">
    <cfRule type="expression" dxfId="46" priority="114">
      <formula>SUM($BR87:$CU87)&gt;7</formula>
    </cfRule>
  </conditionalFormatting>
  <conditionalFormatting sqref="BR86:BS86 CB86:CD86 CF86:CG86 CQ86:CR86 CT86">
    <cfRule type="expression" dxfId="45" priority="116">
      <formula>SUM($BR89:$CU89)&gt;7</formula>
    </cfRule>
  </conditionalFormatting>
  <conditionalFormatting sqref="BR88:BS88 CB88:CD88 CF88:CG88 CQ88:CR88 CT88">
    <cfRule type="expression" dxfId="44" priority="115">
      <formula>SUM($BR91:$CU91)&gt;7</formula>
    </cfRule>
  </conditionalFormatting>
  <conditionalFormatting sqref="BR97:BS97 CB97:CC97 CF97:CG97 CQ97:CR97 CT97 BR99:BS99 CB99:CD99 CF99:CG99 CQ99:CR99 CT99">
    <cfRule type="expression" dxfId="43" priority="33">
      <formula>SUM($BR99:$CU99)&gt;7</formula>
    </cfRule>
  </conditionalFormatting>
  <conditionalFormatting sqref="BR98:BS98 CB98:CD98 CF98:CG98 CQ98:CR98 CT98">
    <cfRule type="expression" dxfId="42" priority="35">
      <formula>SUM($BR101:$CU101)&gt;7</formula>
    </cfRule>
  </conditionalFormatting>
  <conditionalFormatting sqref="BR100:BS100 CB100:CD100 CF100:CG100 CQ100:CR100 CT100">
    <cfRule type="expression" dxfId="41" priority="34">
      <formula>SUM($BR103:$CU103)&gt;7</formula>
    </cfRule>
  </conditionalFormatting>
  <conditionalFormatting sqref="BR109:BS109 CB109:CC109 CF109:CG109 CQ109:CR109 CT109 BR111:BS111 CB111:CD111 CF111:CG111 CQ111:CR111 CT111">
    <cfRule type="expression" dxfId="40" priority="292">
      <formula>SUM($BR111:$CU111)&gt;7</formula>
    </cfRule>
  </conditionalFormatting>
  <conditionalFormatting sqref="BR110:BS110 CB110:CD110 CF110:CG110 CQ110:CR110 CT110 BR112:BS112 CB112:CD112 CF112:CG112 CQ112:CR112 CT112">
    <cfRule type="expression" dxfId="39" priority="294">
      <formula>SUM($BR113:$CU113)&gt;7</formula>
    </cfRule>
  </conditionalFormatting>
  <conditionalFormatting sqref="BR121:BS121 CB121:CC121 CF121:CG121 CQ121:CR121 CT121 BR123:BS123 CB123:CD123 CF123:CG123 CQ123:CR123 CT123">
    <cfRule type="expression" dxfId="38" priority="206">
      <formula>SUM($BR123:$CU123)&gt;7</formula>
    </cfRule>
  </conditionalFormatting>
  <conditionalFormatting sqref="BR122:BS122 CB122:CD122 CF122:CG122 CQ122:CR122 CT122 BR124:BS124 CB124:CD124 CF124:CG124 CQ124:CR124 CT124">
    <cfRule type="expression" dxfId="37" priority="208">
      <formula>SUM($BR125:$CU125)&gt;7</formula>
    </cfRule>
  </conditionalFormatting>
  <conditionalFormatting sqref="BU1:BU9 CC6:CC9 CK13:CK22 CC15:CJ22 CB16:CB22 CL16:CU22 BR19:CA22 CU23:CU24 BR25:CA27 CB25:CU34 BR28:BZ30 BR31:CA34 CB73:CU82 BR79:CA82 CU83:CU84 BR85:CA87 CB85:CU94 BR88:BZ90 BR91:CA94 CB97:CU106 BR103:CA106 CU107:CU111 BR109:CJ110 CL109:CT111 CK109:CK118 BR111:CB111 CC111:CJ118 BR112:BZ114 CB112:CB118 CL112:CU118 BR115:CA118 CU119:CU123 BR121:CJ122 CL121:CT123 CK121:CK130 BR123:CB123 CC123:CJ130 BR124:BZ126 CB124:CB130 CL124:CU130 BR127:CA130">
    <cfRule type="expression" dxfId="30" priority="298">
      <formula>SUM($BR1:$CU1)&gt;7</formula>
    </cfRule>
  </conditionalFormatting>
  <conditionalFormatting sqref="CA16:CA18">
    <cfRule type="expression" dxfId="29" priority="73">
      <formula>SUM($BR17:$CU17)&gt;7</formula>
    </cfRule>
  </conditionalFormatting>
  <conditionalFormatting sqref="CA28:CA30">
    <cfRule type="expression" dxfId="28" priority="261">
      <formula>SUM($BR29:$CU29)&gt;7</formula>
    </cfRule>
  </conditionalFormatting>
  <conditionalFormatting sqref="CA40:CA42">
    <cfRule type="expression" dxfId="27" priority="64">
      <formula>SUM($BR41:$CU41)&gt;7</formula>
    </cfRule>
  </conditionalFormatting>
  <conditionalFormatting sqref="CA52:CA54">
    <cfRule type="expression" dxfId="26" priority="57">
      <formula>SUM($BR53:$CU53)&gt;7</formula>
    </cfRule>
  </conditionalFormatting>
  <conditionalFormatting sqref="CA64:CA66">
    <cfRule type="expression" dxfId="25" priority="50">
      <formula>SUM($BR65:$CU65)&gt;7</formula>
    </cfRule>
  </conditionalFormatting>
  <conditionalFormatting sqref="CA76:CA78">
    <cfRule type="expression" dxfId="24" priority="43">
      <formula>SUM($BR77:$CU77)&gt;7</formula>
    </cfRule>
  </conditionalFormatting>
  <conditionalFormatting sqref="CA88:CA90">
    <cfRule type="expression" dxfId="23" priority="117">
      <formula>SUM($BR89:$CU89)&gt;7</formula>
    </cfRule>
  </conditionalFormatting>
  <conditionalFormatting sqref="CA100:CA102">
    <cfRule type="expression" dxfId="22" priority="36">
      <formula>SUM($BR101:$CU101)&gt;7</formula>
    </cfRule>
  </conditionalFormatting>
  <conditionalFormatting sqref="CA112:CA114">
    <cfRule type="expression" dxfId="21" priority="295">
      <formula>SUM($BR113:$CU113)&gt;7</formula>
    </cfRule>
  </conditionalFormatting>
  <conditionalFormatting sqref="CA124:CA126">
    <cfRule type="expression" dxfId="20" priority="209">
      <formula>SUM($BR125:$CU125)&gt;7</formula>
    </cfRule>
  </conditionalFormatting>
  <conditionalFormatting sqref="CC1:CC4">
    <cfRule type="expression" dxfId="16" priority="299">
      <formula>SUM($BR1:$CU1)&gt;7</formula>
    </cfRule>
  </conditionalFormatting>
  <conditionalFormatting sqref="CU11:CU15 BR13:CJ14 CL13:CT15 BR15:CB15 BR16:BZ18">
    <cfRule type="expression" dxfId="15" priority="74">
      <formula>SUM($BR11:$CU11)&gt;7</formula>
    </cfRule>
  </conditionalFormatting>
  <conditionalFormatting sqref="CU35:CU36 BR37:CA39 CB37:CU46 BR40:BZ42 BR43:CA46">
    <cfRule type="expression" dxfId="14" priority="65">
      <formula>SUM($BR35:$CU35)&gt;7</formula>
    </cfRule>
  </conditionalFormatting>
  <conditionalFormatting sqref="CU47:CU48 BR49:CA51 CB49:CU58 BR52:BZ54 BR55:CA58">
    <cfRule type="expression" dxfId="13" priority="58">
      <formula>SUM($BR47:$CU47)&gt;7</formula>
    </cfRule>
  </conditionalFormatting>
  <conditionalFormatting sqref="CU59:CU60 BR61:CA63 CB61:CU70 BR64:BZ66 BR67:CA70">
    <cfRule type="expression" dxfId="12" priority="51">
      <formula>SUM($BR59:$CU59)&gt;7</formula>
    </cfRule>
  </conditionalFormatting>
  <conditionalFormatting sqref="CU71:CU72 BR73:CA75 BR76:BZ78">
    <cfRule type="expression" dxfId="11" priority="44">
      <formula>SUM($BR71:$CU71)&gt;7</formula>
    </cfRule>
  </conditionalFormatting>
  <conditionalFormatting sqref="CU95:CU96 BR97:CA99 BR100:BZ102">
    <cfRule type="expression" dxfId="10" priority="37">
      <formula>SUM($BR95:$CU95)&gt;7</formula>
    </cfRule>
  </conditionalFormatting>
  <dataValidations count="3">
    <dataValidation type="list" allowBlank="1" showInputMessage="1" showErrorMessage="1" sqref="Y135:Y141 R137:R141" xr:uid="{A4FA2828-5A20-4273-85A6-6FF24B7039B3}">
      <formula1>#REF!</formula1>
    </dataValidation>
    <dataValidation type="list" allowBlank="1" showInputMessage="1" showErrorMessage="1" sqref="U131:Y131" xr:uid="{9BC409D3-44B1-4C60-9A2A-4F717B5741A0}">
      <formula1>$R$136:$R$142</formula1>
    </dataValidation>
    <dataValidation type="list" allowBlank="1" showInputMessage="1" showErrorMessage="1" sqref="Q131" xr:uid="{AC6BE85D-ED01-467D-B0EA-0995A87F125D}">
      <formula1>$R$119:$R$119</formula1>
    </dataValidation>
  </dataValidations>
  <pageMargins left="0.23622047244094499" right="0.23622047244094499" top="0.15748031496063" bottom="0.35433070866141703" header="0.31496062992126" footer="0.31496062992126"/>
  <pageSetup paperSize="3" scale="10" fitToWidth="0" fitToHeight="0" orientation="landscape" r:id="rId1"/>
  <headerFooter>
    <oddFooter>&amp;L&amp;"Gill Sans MT,Bold"&amp;KFF0000CONFIDENTIAL. FOR INTERNAL USE ONLY.&amp;R&amp;"-,Bold"&amp;D&amp;T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7DF1-9EC2-44CC-A1D1-F2B93EA9DE44}">
  <sheetPr codeName="Sheet5">
    <tabColor theme="7" tint="0.79998168889431442"/>
  </sheetPr>
  <dimension ref="A1:K74"/>
  <sheetViews>
    <sheetView topLeftCell="A21" workbookViewId="0">
      <selection activeCell="D55" sqref="D55"/>
    </sheetView>
  </sheetViews>
  <sheetFormatPr defaultColWidth="9.140625" defaultRowHeight="15"/>
  <cols>
    <col min="1" max="1" width="7.85546875" style="1" bestFit="1" customWidth="1"/>
    <col min="2" max="2" width="41" style="1" bestFit="1" customWidth="1"/>
    <col min="3" max="3" width="16.28515625" style="1" bestFit="1" customWidth="1"/>
    <col min="4" max="4" width="16.28515625" style="1" customWidth="1"/>
    <col min="5" max="5" width="47.42578125" style="1" bestFit="1" customWidth="1"/>
    <col min="6" max="6" width="7.7109375" style="243" customWidth="1"/>
    <col min="7" max="7" width="19.85546875" style="1" customWidth="1"/>
    <col min="8" max="8" width="28.42578125" style="1" bestFit="1" customWidth="1"/>
    <col min="9" max="10" width="28.42578125" style="1" customWidth="1"/>
    <col min="11" max="11" width="53" style="1" bestFit="1" customWidth="1"/>
    <col min="12" max="16384" width="9.140625" style="1"/>
  </cols>
  <sheetData>
    <row r="1" spans="1:11" ht="18.7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G1" s="2" t="s">
        <v>105</v>
      </c>
      <c r="H1" s="2" t="s">
        <v>106</v>
      </c>
      <c r="I1" s="2" t="s">
        <v>107</v>
      </c>
      <c r="J1" s="2" t="s">
        <v>103</v>
      </c>
      <c r="K1" s="2" t="s">
        <v>108</v>
      </c>
    </row>
    <row r="2" spans="1:11">
      <c r="A2" s="3">
        <v>1</v>
      </c>
      <c r="B2" s="3" t="s">
        <v>109</v>
      </c>
      <c r="C2" s="3" t="s">
        <v>110</v>
      </c>
      <c r="D2" s="3"/>
      <c r="E2" s="3"/>
      <c r="G2" s="3">
        <v>1</v>
      </c>
      <c r="H2" s="3" t="s">
        <v>111</v>
      </c>
      <c r="I2" s="3" t="s">
        <v>112</v>
      </c>
      <c r="J2" s="3"/>
      <c r="K2" s="3" t="s">
        <v>113</v>
      </c>
    </row>
    <row r="3" spans="1:11">
      <c r="A3" s="3">
        <v>2</v>
      </c>
      <c r="B3" s="3" t="s">
        <v>114</v>
      </c>
      <c r="C3" s="3" t="s">
        <v>112</v>
      </c>
      <c r="D3" s="3"/>
      <c r="E3" s="3"/>
      <c r="G3" s="3">
        <v>2</v>
      </c>
      <c r="H3" s="3" t="s">
        <v>115</v>
      </c>
      <c r="I3" s="3" t="s">
        <v>116</v>
      </c>
      <c r="J3" s="3"/>
      <c r="K3" s="3" t="s">
        <v>113</v>
      </c>
    </row>
    <row r="4" spans="1:11">
      <c r="A4" s="3">
        <v>3</v>
      </c>
      <c r="B4" s="3" t="s">
        <v>117</v>
      </c>
      <c r="C4" s="3" t="s">
        <v>110</v>
      </c>
      <c r="D4" s="3"/>
      <c r="E4" s="3"/>
      <c r="G4" s="3">
        <v>3</v>
      </c>
      <c r="H4" s="3" t="s">
        <v>118</v>
      </c>
      <c r="I4" s="3" t="s">
        <v>116</v>
      </c>
      <c r="J4" s="3"/>
      <c r="K4" s="3" t="s">
        <v>113</v>
      </c>
    </row>
    <row r="5" spans="1:11">
      <c r="A5" s="3">
        <v>4</v>
      </c>
      <c r="B5" s="3" t="s">
        <v>119</v>
      </c>
      <c r="C5" s="3" t="s">
        <v>116</v>
      </c>
      <c r="D5" s="3"/>
      <c r="E5" s="3"/>
      <c r="G5" s="3">
        <v>4</v>
      </c>
      <c r="H5" s="3" t="s">
        <v>120</v>
      </c>
      <c r="I5" s="3" t="s">
        <v>110</v>
      </c>
      <c r="J5" s="3"/>
      <c r="K5" s="3" t="s">
        <v>113</v>
      </c>
    </row>
    <row r="6" spans="1:11">
      <c r="A6" s="3">
        <v>5</v>
      </c>
      <c r="B6" s="3" t="s">
        <v>121</v>
      </c>
      <c r="C6" s="3" t="s">
        <v>116</v>
      </c>
      <c r="D6" s="3"/>
      <c r="E6" s="3"/>
      <c r="G6" s="3">
        <v>5</v>
      </c>
      <c r="H6" s="3" t="s">
        <v>122</v>
      </c>
      <c r="I6" s="3" t="s">
        <v>116</v>
      </c>
      <c r="J6" s="3"/>
      <c r="K6" s="3" t="s">
        <v>113</v>
      </c>
    </row>
    <row r="7" spans="1:11">
      <c r="A7" s="3">
        <v>6</v>
      </c>
      <c r="B7" s="3" t="s">
        <v>123</v>
      </c>
      <c r="C7" s="3" t="s">
        <v>116</v>
      </c>
      <c r="D7" s="3"/>
      <c r="E7" s="3"/>
      <c r="G7" s="3">
        <v>6</v>
      </c>
      <c r="H7" s="3" t="s">
        <v>124</v>
      </c>
      <c r="I7" s="3" t="s">
        <v>116</v>
      </c>
      <c r="J7" s="3"/>
      <c r="K7" s="3" t="s">
        <v>125</v>
      </c>
    </row>
    <row r="8" spans="1:11">
      <c r="A8" s="3">
        <v>7</v>
      </c>
      <c r="B8" s="3" t="s">
        <v>126</v>
      </c>
      <c r="C8" s="3" t="s">
        <v>112</v>
      </c>
      <c r="D8" s="3"/>
      <c r="E8" s="3"/>
      <c r="G8" s="3"/>
      <c r="H8" s="3"/>
      <c r="I8" s="3"/>
      <c r="J8" s="3"/>
      <c r="K8" s="3"/>
    </row>
    <row r="9" spans="1:11">
      <c r="A9" s="3">
        <v>8</v>
      </c>
      <c r="B9" s="3" t="s">
        <v>127</v>
      </c>
      <c r="C9" s="3" t="s">
        <v>110</v>
      </c>
      <c r="D9" s="3"/>
      <c r="E9" s="3"/>
      <c r="G9" s="3"/>
      <c r="H9" s="3"/>
      <c r="I9" s="3"/>
      <c r="J9" s="3"/>
      <c r="K9" s="3"/>
    </row>
    <row r="10" spans="1:11">
      <c r="A10" s="3">
        <v>9</v>
      </c>
      <c r="B10" s="3" t="s">
        <v>128</v>
      </c>
      <c r="C10" s="3" t="s">
        <v>112</v>
      </c>
      <c r="D10" s="3"/>
      <c r="E10" s="3"/>
      <c r="G10" s="3"/>
      <c r="H10" s="3"/>
      <c r="I10" s="3"/>
      <c r="J10" s="3"/>
      <c r="K10" s="3"/>
    </row>
    <row r="11" spans="1:11">
      <c r="A11" s="3">
        <v>10</v>
      </c>
      <c r="B11" s="3" t="s">
        <v>129</v>
      </c>
      <c r="C11" s="3" t="s">
        <v>110</v>
      </c>
      <c r="D11" s="3"/>
      <c r="E11" s="3"/>
      <c r="G11" s="3"/>
      <c r="H11" s="3"/>
      <c r="I11" s="3"/>
      <c r="J11" s="3"/>
      <c r="K11" s="3"/>
    </row>
    <row r="12" spans="1:11">
      <c r="A12" s="3">
        <v>11</v>
      </c>
      <c r="B12" s="3" t="s">
        <v>130</v>
      </c>
      <c r="C12" s="3" t="s">
        <v>110</v>
      </c>
      <c r="D12" s="3"/>
      <c r="E12" s="3"/>
      <c r="G12" s="3"/>
      <c r="H12" s="3" t="s">
        <v>1</v>
      </c>
      <c r="I12" s="3"/>
      <c r="J12" s="3"/>
      <c r="K12" s="3"/>
    </row>
    <row r="13" spans="1:11">
      <c r="A13" s="3">
        <v>12</v>
      </c>
      <c r="B13" s="3" t="s">
        <v>131</v>
      </c>
      <c r="C13" s="3" t="s">
        <v>116</v>
      </c>
      <c r="D13" s="3"/>
      <c r="E13" s="3"/>
      <c r="G13" s="3"/>
      <c r="H13" s="3"/>
      <c r="I13" s="3"/>
      <c r="J13" s="3"/>
      <c r="K13" s="3"/>
    </row>
    <row r="14" spans="1:11">
      <c r="A14" s="3">
        <v>13</v>
      </c>
      <c r="B14" s="3" t="s">
        <v>132</v>
      </c>
      <c r="C14" s="3" t="s">
        <v>110</v>
      </c>
      <c r="D14" s="3"/>
      <c r="E14" s="3"/>
      <c r="G14" s="3"/>
      <c r="H14" s="3"/>
      <c r="I14" s="3"/>
      <c r="J14" s="3"/>
      <c r="K14" s="3"/>
    </row>
    <row r="15" spans="1:11">
      <c r="A15" s="3">
        <v>14</v>
      </c>
      <c r="B15" s="3" t="s">
        <v>133</v>
      </c>
      <c r="C15" s="3" t="s">
        <v>110</v>
      </c>
      <c r="D15" s="3"/>
      <c r="E15" s="3"/>
      <c r="G15" s="3"/>
      <c r="H15" s="3"/>
      <c r="I15" s="3"/>
      <c r="J15" s="3"/>
      <c r="K15" s="3"/>
    </row>
    <row r="16" spans="1:11">
      <c r="A16" s="3">
        <v>15</v>
      </c>
      <c r="B16" s="3" t="s">
        <v>134</v>
      </c>
      <c r="C16" s="3" t="s">
        <v>110</v>
      </c>
      <c r="D16" s="3"/>
      <c r="E16" s="3"/>
      <c r="G16" s="3"/>
      <c r="H16" s="3"/>
      <c r="I16" s="3"/>
      <c r="J16" s="3"/>
      <c r="K16" s="3"/>
    </row>
    <row r="17" spans="1:11">
      <c r="A17" s="3">
        <v>16</v>
      </c>
      <c r="B17" s="3" t="s">
        <v>135</v>
      </c>
      <c r="C17" s="3" t="s">
        <v>110</v>
      </c>
      <c r="D17" s="3"/>
      <c r="E17" s="3"/>
      <c r="G17" s="3"/>
      <c r="H17" s="3"/>
      <c r="I17" s="3"/>
      <c r="J17" s="3"/>
      <c r="K17" s="3"/>
    </row>
    <row r="18" spans="1:11">
      <c r="A18" s="3">
        <v>17</v>
      </c>
      <c r="B18" s="3" t="s">
        <v>136</v>
      </c>
      <c r="C18" s="3" t="s">
        <v>110</v>
      </c>
      <c r="D18" s="3"/>
      <c r="E18" s="3"/>
      <c r="G18" s="3"/>
      <c r="H18" s="3"/>
      <c r="I18" s="3"/>
      <c r="J18" s="3"/>
      <c r="K18" s="3"/>
    </row>
    <row r="19" spans="1:11">
      <c r="A19" s="3">
        <v>18</v>
      </c>
      <c r="B19" s="3" t="s">
        <v>137</v>
      </c>
      <c r="C19" s="3"/>
      <c r="D19" s="3"/>
      <c r="E19" s="3"/>
      <c r="G19" s="3"/>
      <c r="H19" s="3"/>
      <c r="I19" s="3"/>
      <c r="J19" s="3"/>
      <c r="K19" s="3"/>
    </row>
    <row r="20" spans="1:11">
      <c r="A20" s="3">
        <v>19</v>
      </c>
      <c r="B20" s="3" t="s">
        <v>138</v>
      </c>
      <c r="C20" s="3"/>
      <c r="D20" s="3"/>
      <c r="E20" s="3"/>
      <c r="G20" s="3"/>
      <c r="H20" s="3"/>
      <c r="I20" s="3"/>
      <c r="J20" s="3"/>
      <c r="K20" s="3"/>
    </row>
    <row r="21" spans="1:11">
      <c r="A21" s="3">
        <v>20</v>
      </c>
      <c r="B21" s="3" t="s">
        <v>139</v>
      </c>
      <c r="C21" s="3"/>
      <c r="D21" s="3"/>
      <c r="E21" s="3"/>
      <c r="G21" s="3"/>
      <c r="H21" s="3"/>
      <c r="I21" s="3"/>
      <c r="J21" s="3"/>
      <c r="K21" s="3"/>
    </row>
    <row r="22" spans="1:11">
      <c r="A22" s="3">
        <v>21</v>
      </c>
      <c r="B22" s="3" t="s">
        <v>140</v>
      </c>
      <c r="C22" s="3"/>
      <c r="D22" s="3"/>
      <c r="E22" s="3"/>
      <c r="G22" s="3"/>
      <c r="H22" s="3"/>
      <c r="I22" s="3"/>
      <c r="J22" s="3"/>
      <c r="K22" s="3"/>
    </row>
    <row r="23" spans="1:11">
      <c r="A23" s="3">
        <v>22</v>
      </c>
      <c r="B23" s="3" t="s">
        <v>141</v>
      </c>
      <c r="C23" s="3"/>
      <c r="D23" s="3"/>
      <c r="E23" s="3"/>
      <c r="G23" s="3"/>
      <c r="H23" s="3"/>
      <c r="I23" s="3"/>
      <c r="J23" s="3"/>
      <c r="K23" s="3"/>
    </row>
    <row r="24" spans="1:11">
      <c r="A24" s="3">
        <v>23</v>
      </c>
      <c r="B24" s="3" t="s">
        <v>142</v>
      </c>
      <c r="C24" s="3"/>
      <c r="D24" s="3"/>
      <c r="E24" s="3"/>
      <c r="G24" s="3"/>
      <c r="H24" s="3"/>
      <c r="I24" s="3"/>
      <c r="J24" s="3"/>
      <c r="K24" s="3"/>
    </row>
    <row r="25" spans="1:11">
      <c r="A25" s="3">
        <v>24</v>
      </c>
      <c r="B25" s="3" t="s">
        <v>143</v>
      </c>
      <c r="C25" s="3"/>
      <c r="D25" s="3"/>
      <c r="E25" s="3"/>
      <c r="G25" s="3"/>
      <c r="H25" s="3"/>
      <c r="I25" s="3"/>
      <c r="J25" s="3"/>
      <c r="K25" s="3"/>
    </row>
    <row r="26" spans="1:11">
      <c r="A26" s="3">
        <v>25</v>
      </c>
      <c r="B26" s="3" t="s">
        <v>144</v>
      </c>
      <c r="C26" s="3"/>
      <c r="D26" s="3"/>
      <c r="E26" s="3"/>
      <c r="G26" s="3"/>
      <c r="H26" s="3"/>
      <c r="I26" s="3"/>
      <c r="J26" s="3"/>
      <c r="K26" s="3"/>
    </row>
    <row r="27" spans="1:11">
      <c r="A27" s="3">
        <v>26</v>
      </c>
      <c r="B27" s="3" t="s">
        <v>145</v>
      </c>
      <c r="C27" s="3"/>
      <c r="D27" s="3"/>
      <c r="E27" s="3"/>
      <c r="G27" s="3"/>
      <c r="H27" s="3"/>
      <c r="I27" s="3"/>
      <c r="J27" s="3"/>
      <c r="K27" s="3"/>
    </row>
    <row r="28" spans="1:11">
      <c r="A28" s="3">
        <v>27</v>
      </c>
      <c r="B28" s="3" t="s">
        <v>146</v>
      </c>
      <c r="C28" s="3"/>
      <c r="D28" s="3"/>
      <c r="E28" s="3"/>
      <c r="G28" s="3"/>
      <c r="H28" s="3"/>
      <c r="I28" s="3"/>
      <c r="J28" s="3"/>
      <c r="K28" s="3"/>
    </row>
    <row r="29" spans="1:11">
      <c r="A29" s="3">
        <v>28</v>
      </c>
      <c r="B29" s="3" t="s">
        <v>147</v>
      </c>
      <c r="C29" s="3"/>
      <c r="D29" s="3"/>
      <c r="E29" s="3"/>
      <c r="G29" s="3"/>
      <c r="H29" s="3"/>
      <c r="I29" s="3"/>
      <c r="J29" s="3"/>
      <c r="K29" s="3"/>
    </row>
    <row r="30" spans="1:11">
      <c r="A30" s="3">
        <v>29</v>
      </c>
      <c r="B30" s="3" t="s">
        <v>148</v>
      </c>
      <c r="C30" s="3"/>
      <c r="D30" s="3"/>
      <c r="E30" s="3"/>
      <c r="G30" s="3"/>
      <c r="H30" s="3"/>
      <c r="I30" s="3"/>
      <c r="J30" s="3"/>
      <c r="K30" s="3"/>
    </row>
    <row r="31" spans="1:11">
      <c r="A31" s="3">
        <v>30</v>
      </c>
      <c r="B31" s="3" t="s">
        <v>111</v>
      </c>
      <c r="C31" s="3"/>
      <c r="D31" s="3"/>
      <c r="E31" s="3"/>
      <c r="G31" s="3"/>
      <c r="H31" s="3"/>
      <c r="I31" s="3"/>
      <c r="J31" s="3"/>
      <c r="K31" s="3"/>
    </row>
    <row r="32" spans="1:11">
      <c r="A32" s="3">
        <v>31</v>
      </c>
      <c r="B32" s="3" t="s">
        <v>149</v>
      </c>
      <c r="C32" s="3"/>
      <c r="D32" s="3"/>
      <c r="E32" s="3"/>
      <c r="G32" s="3"/>
      <c r="H32" s="3"/>
      <c r="I32" s="3"/>
      <c r="J32" s="3"/>
      <c r="K32" s="3"/>
    </row>
    <row r="33" spans="1:11">
      <c r="A33" s="3">
        <v>32</v>
      </c>
      <c r="B33" s="3" t="s">
        <v>150</v>
      </c>
      <c r="C33" s="3"/>
      <c r="D33" s="3"/>
      <c r="E33" s="3"/>
      <c r="G33" s="3"/>
      <c r="H33" s="3"/>
      <c r="I33" s="3"/>
      <c r="J33" s="3"/>
      <c r="K33" s="3"/>
    </row>
    <row r="34" spans="1:11">
      <c r="A34" s="3">
        <v>33</v>
      </c>
      <c r="B34" s="3" t="s">
        <v>151</v>
      </c>
      <c r="C34" s="3"/>
      <c r="D34" s="3"/>
      <c r="E34" s="3"/>
      <c r="G34" s="3"/>
      <c r="H34" s="3"/>
      <c r="I34" s="3"/>
      <c r="J34" s="3"/>
      <c r="K34" s="3"/>
    </row>
    <row r="35" spans="1:11">
      <c r="A35" s="3">
        <v>34</v>
      </c>
      <c r="B35" s="3" t="s">
        <v>152</v>
      </c>
      <c r="C35" s="3"/>
      <c r="D35" s="3"/>
      <c r="E35" s="3"/>
      <c r="G35" s="3"/>
      <c r="H35" s="3"/>
      <c r="I35" s="3"/>
      <c r="J35" s="3"/>
      <c r="K35" s="3"/>
    </row>
    <row r="36" spans="1:11">
      <c r="A36" s="3">
        <v>35</v>
      </c>
      <c r="B36" s="3" t="s">
        <v>153</v>
      </c>
      <c r="C36" s="3"/>
      <c r="D36" s="3"/>
      <c r="E36" s="3"/>
      <c r="G36" s="3"/>
      <c r="H36" s="3"/>
      <c r="I36" s="3"/>
      <c r="J36" s="3"/>
      <c r="K36" s="3"/>
    </row>
    <row r="37" spans="1:11">
      <c r="A37" s="3">
        <v>36</v>
      </c>
      <c r="B37" s="3" t="s">
        <v>154</v>
      </c>
      <c r="C37" s="3"/>
      <c r="D37" s="3"/>
      <c r="E37" s="3"/>
      <c r="G37" s="3"/>
      <c r="H37" s="3"/>
      <c r="I37" s="3"/>
      <c r="J37" s="3"/>
      <c r="K37" s="3"/>
    </row>
    <row r="38" spans="1:11">
      <c r="A38" s="3">
        <v>37</v>
      </c>
      <c r="B38" s="3" t="s">
        <v>155</v>
      </c>
      <c r="C38" s="3"/>
      <c r="D38" s="3"/>
      <c r="E38" s="3"/>
      <c r="G38" s="3"/>
      <c r="H38" s="3"/>
      <c r="I38" s="3"/>
      <c r="J38" s="3"/>
      <c r="K38" s="3"/>
    </row>
    <row r="39" spans="1:11">
      <c r="A39" s="3">
        <v>38</v>
      </c>
      <c r="B39" s="3" t="s">
        <v>156</v>
      </c>
      <c r="C39" s="3"/>
      <c r="D39" s="3"/>
      <c r="E39" s="3"/>
      <c r="G39" s="3"/>
      <c r="H39" s="3"/>
      <c r="I39" s="3"/>
      <c r="J39" s="3"/>
      <c r="K39" s="3"/>
    </row>
    <row r="40" spans="1:11">
      <c r="A40" s="3">
        <v>39</v>
      </c>
      <c r="B40" s="3" t="s">
        <v>157</v>
      </c>
      <c r="C40" s="3"/>
      <c r="D40" s="3"/>
      <c r="E40" s="3"/>
      <c r="G40" s="3"/>
      <c r="H40" s="3"/>
      <c r="I40" s="3"/>
      <c r="J40" s="3"/>
      <c r="K40" s="3"/>
    </row>
    <row r="41" spans="1:11">
      <c r="A41" s="3">
        <v>40</v>
      </c>
      <c r="B41" s="3" t="s">
        <v>158</v>
      </c>
      <c r="C41" s="3"/>
      <c r="D41" s="3"/>
      <c r="E41" s="3"/>
      <c r="G41" s="3"/>
      <c r="H41" s="3"/>
      <c r="I41" s="3"/>
      <c r="J41" s="3"/>
      <c r="K41" s="3"/>
    </row>
    <row r="42" spans="1:11">
      <c r="A42" s="3">
        <v>41</v>
      </c>
      <c r="B42" s="3" t="s">
        <v>159</v>
      </c>
      <c r="C42" s="3"/>
      <c r="D42" s="3"/>
      <c r="E42" s="3"/>
      <c r="G42" s="3"/>
      <c r="H42" s="3"/>
      <c r="I42" s="3"/>
      <c r="J42" s="3"/>
      <c r="K42" s="3"/>
    </row>
    <row r="43" spans="1:11">
      <c r="A43" s="3">
        <v>42</v>
      </c>
      <c r="B43" s="3" t="s">
        <v>160</v>
      </c>
      <c r="C43" s="3"/>
      <c r="D43" s="3"/>
      <c r="E43" s="3"/>
      <c r="G43" s="3"/>
      <c r="H43" s="3"/>
      <c r="I43" s="3"/>
      <c r="J43" s="3"/>
      <c r="K43" s="3"/>
    </row>
    <row r="44" spans="1:11">
      <c r="A44" s="3">
        <v>43</v>
      </c>
      <c r="B44" s="3" t="s">
        <v>161</v>
      </c>
      <c r="C44" s="3"/>
      <c r="D44" s="3"/>
      <c r="E44" s="3"/>
      <c r="G44" s="3"/>
      <c r="H44" s="3"/>
      <c r="I44" s="3"/>
      <c r="J44" s="3"/>
      <c r="K44" s="3"/>
    </row>
    <row r="45" spans="1:11">
      <c r="A45" s="3">
        <v>44</v>
      </c>
      <c r="B45" s="3" t="s">
        <v>162</v>
      </c>
      <c r="C45" s="3"/>
      <c r="D45" s="3"/>
      <c r="E45" s="3"/>
      <c r="G45" s="3"/>
      <c r="H45" s="3"/>
      <c r="I45" s="3"/>
      <c r="J45" s="3"/>
      <c r="K45" s="3"/>
    </row>
    <row r="46" spans="1:11">
      <c r="A46" s="3">
        <v>45</v>
      </c>
      <c r="B46" s="3" t="s">
        <v>163</v>
      </c>
      <c r="C46" s="3"/>
      <c r="D46" s="3"/>
      <c r="E46" s="3"/>
      <c r="G46" s="3"/>
      <c r="H46" s="3"/>
      <c r="I46" s="3"/>
      <c r="J46" s="3"/>
      <c r="K46" s="3"/>
    </row>
    <row r="47" spans="1:11">
      <c r="A47" s="3">
        <v>46</v>
      </c>
      <c r="B47" s="3" t="s">
        <v>164</v>
      </c>
      <c r="C47" s="3"/>
      <c r="D47" s="3"/>
      <c r="E47" s="3"/>
      <c r="G47" s="3"/>
      <c r="H47" s="3"/>
      <c r="I47" s="3"/>
      <c r="J47" s="3"/>
      <c r="K47" s="3"/>
    </row>
    <row r="48" spans="1:11">
      <c r="A48" s="3">
        <v>47</v>
      </c>
      <c r="B48" s="3" t="s">
        <v>165</v>
      </c>
      <c r="C48" s="3"/>
      <c r="D48" s="3"/>
      <c r="E48" s="3"/>
      <c r="G48" s="3"/>
      <c r="H48" s="3"/>
      <c r="I48" s="3"/>
      <c r="J48" s="3"/>
      <c r="K48" s="3"/>
    </row>
    <row r="49" spans="1:11">
      <c r="A49" s="3">
        <v>48</v>
      </c>
      <c r="B49" s="3" t="s">
        <v>166</v>
      </c>
      <c r="C49" s="3"/>
      <c r="D49" s="3"/>
      <c r="E49" s="3"/>
      <c r="G49" s="3"/>
      <c r="H49" s="3"/>
      <c r="I49" s="3"/>
      <c r="J49" s="3"/>
      <c r="K49" s="3"/>
    </row>
    <row r="50" spans="1:11">
      <c r="A50" s="3">
        <v>49</v>
      </c>
      <c r="B50" s="3" t="s">
        <v>167</v>
      </c>
      <c r="C50" s="3"/>
      <c r="D50" s="3"/>
      <c r="E50" s="3"/>
      <c r="G50" s="3"/>
      <c r="H50" s="3"/>
      <c r="I50" s="3"/>
      <c r="J50" s="3"/>
      <c r="K50" s="3"/>
    </row>
    <row r="51" spans="1:11">
      <c r="A51" s="3">
        <v>50</v>
      </c>
      <c r="B51" s="3" t="s">
        <v>168</v>
      </c>
      <c r="C51" s="3"/>
      <c r="D51" s="3"/>
      <c r="E51" s="3"/>
      <c r="G51" s="3"/>
      <c r="H51" s="3"/>
      <c r="I51" s="3"/>
      <c r="J51" s="3"/>
      <c r="K51" s="3"/>
    </row>
    <row r="52" spans="1:11">
      <c r="A52" s="3">
        <v>51</v>
      </c>
      <c r="B52" s="3" t="s">
        <v>169</v>
      </c>
      <c r="C52" s="3"/>
      <c r="D52" s="3"/>
      <c r="E52" s="3"/>
      <c r="G52" s="3"/>
      <c r="H52" s="3"/>
      <c r="I52" s="3"/>
      <c r="J52" s="3"/>
      <c r="K52" s="3"/>
    </row>
    <row r="53" spans="1:11">
      <c r="A53" s="3">
        <v>52</v>
      </c>
      <c r="B53" s="3" t="s">
        <v>170</v>
      </c>
      <c r="C53" s="3"/>
      <c r="D53" s="3"/>
      <c r="E53" s="3"/>
      <c r="G53" s="3"/>
      <c r="H53" s="3"/>
      <c r="I53" s="3"/>
      <c r="J53" s="3"/>
      <c r="K53" s="3"/>
    </row>
    <row r="54" spans="1:11">
      <c r="A54" s="3">
        <v>53</v>
      </c>
      <c r="B54" s="3" t="s">
        <v>171</v>
      </c>
      <c r="C54" s="3"/>
      <c r="D54" s="3"/>
      <c r="E54" s="3"/>
      <c r="G54" s="3"/>
      <c r="H54" s="3"/>
      <c r="I54" s="3"/>
      <c r="J54" s="3"/>
      <c r="K54" s="3"/>
    </row>
    <row r="55" spans="1:11">
      <c r="A55" s="3">
        <v>54</v>
      </c>
      <c r="B55" s="3" t="s">
        <v>172</v>
      </c>
      <c r="C55" s="3"/>
      <c r="D55" s="3"/>
      <c r="E55" s="3"/>
      <c r="G55" s="3"/>
      <c r="H55" s="3"/>
      <c r="I55" s="3"/>
      <c r="J55" s="3"/>
      <c r="K55" s="3"/>
    </row>
    <row r="56" spans="1:11">
      <c r="A56" s="3">
        <v>55</v>
      </c>
      <c r="B56" s="3" t="s">
        <v>173</v>
      </c>
      <c r="C56" s="3"/>
      <c r="D56" s="3"/>
      <c r="E56" s="3"/>
      <c r="G56" s="3"/>
      <c r="H56" s="3"/>
      <c r="I56" s="3"/>
      <c r="J56" s="3"/>
      <c r="K56" s="3"/>
    </row>
    <row r="57" spans="1:11">
      <c r="A57" s="3">
        <v>56</v>
      </c>
      <c r="B57" s="3" t="s">
        <v>174</v>
      </c>
      <c r="C57" s="3"/>
      <c r="D57" s="3"/>
      <c r="E57" s="3"/>
      <c r="G57" s="3"/>
      <c r="H57" s="3"/>
      <c r="I57" s="3"/>
      <c r="J57" s="3"/>
      <c r="K57" s="3"/>
    </row>
    <row r="58" spans="1:11">
      <c r="A58" s="3">
        <v>57</v>
      </c>
      <c r="B58" s="3" t="s">
        <v>175</v>
      </c>
      <c r="C58" s="3"/>
      <c r="D58" s="3"/>
      <c r="E58" s="3"/>
      <c r="G58" s="3"/>
      <c r="H58" s="3"/>
      <c r="I58" s="3"/>
      <c r="J58" s="3"/>
      <c r="K58" s="3"/>
    </row>
    <row r="59" spans="1:11">
      <c r="A59" s="3">
        <v>58</v>
      </c>
      <c r="B59" s="3" t="s">
        <v>176</v>
      </c>
      <c r="C59" s="3"/>
      <c r="D59" s="3"/>
      <c r="E59" s="3"/>
      <c r="G59" s="3"/>
      <c r="H59" s="3"/>
      <c r="I59" s="3"/>
      <c r="J59" s="3"/>
      <c r="K59" s="3"/>
    </row>
    <row r="60" spans="1:11">
      <c r="A60" s="3">
        <v>59</v>
      </c>
      <c r="B60" s="3" t="s">
        <v>177</v>
      </c>
      <c r="C60" s="3"/>
      <c r="D60" s="3"/>
      <c r="E60" s="3"/>
      <c r="G60" s="3"/>
      <c r="H60" s="3"/>
      <c r="I60" s="3"/>
      <c r="J60" s="3"/>
      <c r="K60" s="3"/>
    </row>
    <row r="61" spans="1:11">
      <c r="A61" s="3">
        <v>60</v>
      </c>
      <c r="B61" s="3" t="s">
        <v>178</v>
      </c>
      <c r="C61" s="3"/>
      <c r="D61" s="3"/>
      <c r="E61" s="3"/>
      <c r="G61" s="3"/>
      <c r="H61" s="3"/>
      <c r="I61" s="3"/>
      <c r="J61" s="3"/>
      <c r="K61" s="3"/>
    </row>
    <row r="62" spans="1:11">
      <c r="A62" s="3">
        <v>61</v>
      </c>
      <c r="B62" s="3" t="s">
        <v>179</v>
      </c>
      <c r="C62" s="3"/>
      <c r="D62" s="3"/>
      <c r="E62" s="3"/>
      <c r="G62" s="3"/>
      <c r="H62" s="3"/>
      <c r="I62" s="3"/>
      <c r="J62" s="3"/>
      <c r="K62" s="3"/>
    </row>
    <row r="63" spans="1:11">
      <c r="A63" s="3">
        <v>62</v>
      </c>
      <c r="B63" s="3" t="s">
        <v>180</v>
      </c>
      <c r="C63" s="3"/>
      <c r="D63" s="3"/>
      <c r="E63" s="3"/>
      <c r="G63" s="3"/>
      <c r="H63" s="3"/>
      <c r="I63" s="3"/>
      <c r="J63" s="3"/>
      <c r="K63" s="3"/>
    </row>
    <row r="64" spans="1:11">
      <c r="A64" s="3">
        <v>63</v>
      </c>
      <c r="B64" s="3" t="s">
        <v>181</v>
      </c>
      <c r="C64" s="3"/>
      <c r="D64" s="3"/>
      <c r="E64" s="3"/>
      <c r="G64" s="3"/>
      <c r="H64" s="3"/>
      <c r="I64" s="3"/>
      <c r="J64" s="3"/>
      <c r="K64" s="3"/>
    </row>
    <row r="65" spans="1:11">
      <c r="A65" s="3">
        <v>64</v>
      </c>
      <c r="B65" s="3" t="s">
        <v>182</v>
      </c>
      <c r="C65" s="3"/>
      <c r="D65" s="3"/>
      <c r="E65" s="3"/>
      <c r="G65" s="3"/>
      <c r="H65" s="3"/>
      <c r="I65" s="3"/>
      <c r="J65" s="3"/>
      <c r="K65" s="3"/>
    </row>
    <row r="66" spans="1:11">
      <c r="A66" s="3">
        <v>65</v>
      </c>
      <c r="B66" s="3" t="s">
        <v>183</v>
      </c>
      <c r="C66" s="3"/>
      <c r="D66" s="3"/>
      <c r="E66" s="3"/>
      <c r="G66" s="3"/>
      <c r="H66" s="3"/>
      <c r="I66" s="3"/>
      <c r="J66" s="3"/>
      <c r="K66" s="3"/>
    </row>
    <row r="67" spans="1:11">
      <c r="A67" s="3">
        <v>66</v>
      </c>
      <c r="B67" s="3" t="s">
        <v>184</v>
      </c>
      <c r="C67" s="3"/>
      <c r="D67" s="3"/>
      <c r="E67" s="3"/>
      <c r="G67" s="3"/>
      <c r="H67" s="3"/>
      <c r="I67" s="3"/>
      <c r="J67" s="3"/>
      <c r="K67" s="3"/>
    </row>
    <row r="68" spans="1:11">
      <c r="A68" s="3">
        <v>67</v>
      </c>
      <c r="B68" s="3" t="s">
        <v>185</v>
      </c>
      <c r="C68" s="3"/>
      <c r="D68" s="3"/>
      <c r="E68" s="3"/>
      <c r="G68" s="3"/>
      <c r="H68" s="3"/>
      <c r="I68" s="3"/>
      <c r="J68" s="3"/>
      <c r="K68" s="3"/>
    </row>
    <row r="69" spans="1:11">
      <c r="A69" s="3">
        <v>68</v>
      </c>
      <c r="B69" s="3" t="s">
        <v>186</v>
      </c>
      <c r="C69" s="3"/>
      <c r="D69" s="3"/>
      <c r="E69" s="3"/>
      <c r="G69" s="3"/>
      <c r="H69" s="3"/>
      <c r="I69" s="3"/>
      <c r="J69" s="3"/>
      <c r="K69" s="3"/>
    </row>
    <row r="70" spans="1:11">
      <c r="A70" s="3">
        <v>69</v>
      </c>
      <c r="B70" s="3" t="s">
        <v>187</v>
      </c>
      <c r="C70" s="3"/>
      <c r="D70" s="3"/>
      <c r="E70" s="3"/>
      <c r="G70" s="3"/>
      <c r="H70" s="3"/>
      <c r="I70" s="3"/>
      <c r="J70" s="3"/>
      <c r="K70" s="3"/>
    </row>
    <row r="71" spans="1:11">
      <c r="A71" s="3">
        <v>70</v>
      </c>
      <c r="B71" s="3" t="s">
        <v>188</v>
      </c>
      <c r="C71" s="3"/>
      <c r="D71" s="3"/>
      <c r="E71" s="3"/>
      <c r="G71" s="3"/>
      <c r="H71" s="3"/>
      <c r="I71" s="3"/>
      <c r="J71" s="3"/>
      <c r="K71" s="3"/>
    </row>
    <row r="72" spans="1:11">
      <c r="A72" s="3">
        <v>71</v>
      </c>
      <c r="B72" s="4" t="s">
        <v>120</v>
      </c>
      <c r="C72" s="1" t="s">
        <v>110</v>
      </c>
    </row>
    <row r="73" spans="1:11">
      <c r="A73" s="3">
        <v>72</v>
      </c>
      <c r="B73" s="4" t="s">
        <v>189</v>
      </c>
      <c r="C73" s="1" t="s">
        <v>112</v>
      </c>
    </row>
    <row r="74" spans="1:11">
      <c r="A74" s="3">
        <v>73</v>
      </c>
      <c r="B74" s="4" t="s">
        <v>190</v>
      </c>
      <c r="C74" s="1" t="s">
        <v>110</v>
      </c>
    </row>
  </sheetData>
  <mergeCells count="1">
    <mergeCell ref="F1:F104857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02B8-3031-45C5-8835-9E9C04A6CDDB}">
  <sheetPr>
    <tabColor rgb="FFC4A1E7"/>
  </sheetPr>
  <dimension ref="A1:AR602"/>
  <sheetViews>
    <sheetView zoomScale="25" zoomScaleNormal="25" zoomScaleSheetLayoutView="10" workbookViewId="0">
      <pane xSplit="2" ySplit="2" topLeftCell="C28" activePane="bottomRight" state="frozen"/>
      <selection pane="topRight" activeCell="CF70" sqref="CF70"/>
      <selection pane="bottomLeft" activeCell="CF70" sqref="CF70"/>
      <selection pane="bottomRight" activeCell="E46" sqref="E46"/>
    </sheetView>
  </sheetViews>
  <sheetFormatPr defaultRowHeight="15"/>
  <cols>
    <col min="1" max="1" width="43" customWidth="1"/>
    <col min="2" max="2" width="69.28515625" customWidth="1"/>
    <col min="3" max="17" width="30.85546875" customWidth="1"/>
    <col min="18" max="18" width="5.140625" customWidth="1"/>
    <col min="19" max="23" width="30.85546875" customWidth="1"/>
    <col min="24" max="24" width="4.42578125" customWidth="1"/>
    <col min="25" max="44" width="30.85546875" customWidth="1"/>
  </cols>
  <sheetData>
    <row r="1" spans="1:44" ht="92.25" customHeight="1">
      <c r="A1" s="248" t="s">
        <v>191</v>
      </c>
      <c r="B1" s="249"/>
      <c r="C1" s="255" t="s">
        <v>28</v>
      </c>
      <c r="D1" s="249"/>
      <c r="E1" s="249"/>
      <c r="F1" s="249"/>
      <c r="G1" s="252"/>
      <c r="H1" s="248" t="s">
        <v>29</v>
      </c>
      <c r="I1" s="249"/>
      <c r="J1" s="249"/>
      <c r="K1" s="249"/>
      <c r="L1" s="252"/>
      <c r="M1" s="248" t="s">
        <v>30</v>
      </c>
      <c r="N1" s="249"/>
      <c r="O1" s="249"/>
      <c r="P1" s="249"/>
      <c r="Q1" s="249"/>
      <c r="R1" s="129"/>
      <c r="S1" s="249" t="s">
        <v>31</v>
      </c>
      <c r="T1" s="249"/>
      <c r="U1" s="249"/>
      <c r="V1" s="249"/>
      <c r="W1" s="252"/>
      <c r="X1" s="130"/>
      <c r="Y1" s="248" t="s">
        <v>32</v>
      </c>
      <c r="Z1" s="249"/>
      <c r="AA1" s="249"/>
      <c r="AB1" s="249"/>
      <c r="AC1" s="252"/>
      <c r="AD1" s="248" t="s">
        <v>192</v>
      </c>
      <c r="AE1" s="249"/>
      <c r="AF1" s="249"/>
      <c r="AG1" s="249"/>
      <c r="AH1" s="252"/>
      <c r="AI1" s="248" t="s">
        <v>33</v>
      </c>
      <c r="AJ1" s="249"/>
      <c r="AK1" s="249"/>
      <c r="AL1" s="249"/>
      <c r="AM1" s="252"/>
      <c r="AN1" s="248" t="s">
        <v>193</v>
      </c>
      <c r="AO1" s="249"/>
      <c r="AP1" s="249"/>
      <c r="AQ1" s="249"/>
      <c r="AR1" s="252"/>
    </row>
    <row r="2" spans="1:44" ht="70.5" customHeight="1">
      <c r="A2" s="250"/>
      <c r="B2" s="251"/>
      <c r="C2" s="253"/>
      <c r="D2" s="251"/>
      <c r="E2" s="251"/>
      <c r="F2" s="251"/>
      <c r="G2" s="254"/>
      <c r="H2" s="253"/>
      <c r="I2" s="251"/>
      <c r="J2" s="251"/>
      <c r="K2" s="251"/>
      <c r="L2" s="254"/>
      <c r="M2" s="253"/>
      <c r="N2" s="251"/>
      <c r="O2" s="251"/>
      <c r="P2" s="251"/>
      <c r="Q2" s="251"/>
      <c r="R2" s="131"/>
      <c r="S2" s="251"/>
      <c r="T2" s="251"/>
      <c r="U2" s="251"/>
      <c r="V2" s="251"/>
      <c r="W2" s="254"/>
      <c r="X2" s="130"/>
      <c r="Y2" s="253"/>
      <c r="Z2" s="251"/>
      <c r="AA2" s="251"/>
      <c r="AB2" s="251"/>
      <c r="AC2" s="254"/>
      <c r="AD2" s="253"/>
      <c r="AE2" s="251"/>
      <c r="AF2" s="251"/>
      <c r="AG2" s="251"/>
      <c r="AH2" s="254"/>
      <c r="AI2" s="253"/>
      <c r="AJ2" s="251"/>
      <c r="AK2" s="251"/>
      <c r="AL2" s="251"/>
      <c r="AM2" s="254"/>
      <c r="AN2" s="253"/>
      <c r="AO2" s="251"/>
      <c r="AP2" s="251"/>
      <c r="AQ2" s="251"/>
      <c r="AR2" s="254"/>
    </row>
    <row r="3" spans="1:44" ht="46.5" customHeight="1">
      <c r="A3" s="102" t="s">
        <v>53</v>
      </c>
      <c r="B3" s="246">
        <f ca="1">TODAY()+14</f>
        <v>46278</v>
      </c>
      <c r="C3" s="132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11"/>
      <c r="R3" s="114"/>
      <c r="S3" s="108"/>
      <c r="T3" s="103"/>
      <c r="U3" s="103"/>
      <c r="V3" s="103"/>
      <c r="W3" s="103"/>
      <c r="X3" s="127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4"/>
    </row>
    <row r="4" spans="1:44" ht="46.5" customHeight="1">
      <c r="A4" s="101" t="s">
        <v>55</v>
      </c>
      <c r="B4" s="247"/>
      <c r="C4" s="133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12"/>
      <c r="R4" s="115"/>
      <c r="S4" s="109"/>
      <c r="T4" s="100"/>
      <c r="U4" s="100"/>
      <c r="V4" s="100"/>
      <c r="W4" s="100"/>
      <c r="X4" s="13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5"/>
    </row>
    <row r="5" spans="1:44" ht="46.5" customHeight="1">
      <c r="A5" s="101" t="s">
        <v>56</v>
      </c>
      <c r="B5" s="247"/>
      <c r="C5" s="133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12"/>
      <c r="R5" s="115"/>
      <c r="S5" s="109"/>
      <c r="T5" s="100"/>
      <c r="U5" s="100"/>
      <c r="V5" s="100"/>
      <c r="W5" s="100"/>
      <c r="X5" s="13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5"/>
    </row>
    <row r="6" spans="1:44" ht="46.5" customHeight="1">
      <c r="A6" s="101" t="s">
        <v>57</v>
      </c>
      <c r="B6" s="247"/>
      <c r="C6" s="133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12"/>
      <c r="R6" s="115"/>
      <c r="S6" s="109"/>
      <c r="T6" s="100"/>
      <c r="U6" s="100"/>
      <c r="V6" s="100"/>
      <c r="W6" s="100"/>
      <c r="X6" s="13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5"/>
    </row>
    <row r="7" spans="1:44" ht="46.5" customHeight="1">
      <c r="A7" s="101" t="s">
        <v>58</v>
      </c>
      <c r="B7" s="247"/>
      <c r="C7" s="133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12"/>
      <c r="R7" s="115"/>
      <c r="S7" s="109"/>
      <c r="T7" s="100"/>
      <c r="U7" s="100"/>
      <c r="V7" s="100"/>
      <c r="W7" s="100"/>
      <c r="X7" s="13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5"/>
    </row>
    <row r="8" spans="1:44" ht="46.5" customHeight="1">
      <c r="A8" s="101" t="s">
        <v>59</v>
      </c>
      <c r="B8" s="247"/>
      <c r="C8" s="13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12"/>
      <c r="R8" s="115"/>
      <c r="S8" s="109"/>
      <c r="T8" s="100"/>
      <c r="U8" s="100"/>
      <c r="V8" s="100"/>
      <c r="W8" s="100"/>
      <c r="X8" s="13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5"/>
    </row>
    <row r="9" spans="1:44" ht="46.5" customHeight="1">
      <c r="A9" s="101" t="s">
        <v>60</v>
      </c>
      <c r="B9" s="244">
        <f ca="1">TODAY()+14</f>
        <v>46278</v>
      </c>
      <c r="C9" s="13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12"/>
      <c r="R9" s="115"/>
      <c r="S9" s="109"/>
      <c r="T9" s="100"/>
      <c r="U9" s="100"/>
      <c r="V9" s="100"/>
      <c r="W9" s="100"/>
      <c r="X9" s="13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5"/>
    </row>
    <row r="10" spans="1:44" ht="46.5" customHeight="1">
      <c r="A10" s="101" t="s">
        <v>61</v>
      </c>
      <c r="B10" s="244"/>
      <c r="C10" s="133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12"/>
      <c r="R10" s="115"/>
      <c r="S10" s="109"/>
      <c r="T10" s="100"/>
      <c r="U10" s="100"/>
      <c r="V10" s="100"/>
      <c r="W10" s="100"/>
      <c r="X10" s="13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5"/>
    </row>
    <row r="11" spans="1:44" ht="46.5" customHeight="1">
      <c r="A11" s="101" t="s">
        <v>62</v>
      </c>
      <c r="B11" s="244"/>
      <c r="C11" s="133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12"/>
      <c r="R11" s="115"/>
      <c r="S11" s="109"/>
      <c r="T11" s="100"/>
      <c r="U11" s="100"/>
      <c r="V11" s="100"/>
      <c r="W11" s="100"/>
      <c r="X11" s="13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5"/>
    </row>
    <row r="12" spans="1:44" ht="46.5" customHeight="1">
      <c r="A12" s="101" t="s">
        <v>63</v>
      </c>
      <c r="B12" s="244"/>
      <c r="C12" s="133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12"/>
      <c r="R12" s="115"/>
      <c r="S12" s="109"/>
      <c r="T12" s="100"/>
      <c r="U12" s="100"/>
      <c r="V12" s="100"/>
      <c r="W12" s="100"/>
      <c r="X12" s="13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5"/>
    </row>
    <row r="13" spans="1:44" ht="46.5" customHeight="1">
      <c r="A13" s="101" t="s">
        <v>66</v>
      </c>
      <c r="B13" s="244"/>
      <c r="C13" s="133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12"/>
      <c r="R13" s="115"/>
      <c r="S13" s="109"/>
      <c r="T13" s="100"/>
      <c r="U13" s="100"/>
      <c r="V13" s="100"/>
      <c r="W13" s="100"/>
      <c r="X13" s="13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5"/>
    </row>
    <row r="14" spans="1:44" ht="46.5" customHeight="1">
      <c r="A14" s="101" t="s">
        <v>67</v>
      </c>
      <c r="B14" s="245"/>
      <c r="C14" s="134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13"/>
      <c r="R14" s="116"/>
      <c r="S14" s="110"/>
      <c r="T14" s="106"/>
      <c r="U14" s="106"/>
      <c r="V14" s="106"/>
      <c r="W14" s="106"/>
      <c r="X14" s="13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7"/>
    </row>
    <row r="15" spans="1:44" ht="46.5" customHeight="1">
      <c r="A15" s="101" t="s">
        <v>53</v>
      </c>
      <c r="B15" s="246">
        <f ca="1">B3+1</f>
        <v>46279</v>
      </c>
      <c r="C15" s="1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11"/>
      <c r="R15" s="114"/>
      <c r="S15" s="108"/>
      <c r="T15" s="103"/>
      <c r="U15" s="103"/>
      <c r="V15" s="103"/>
      <c r="W15" s="103"/>
      <c r="X15" s="1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4"/>
    </row>
    <row r="16" spans="1:44" ht="46.5" customHeight="1">
      <c r="A16" s="101" t="s">
        <v>55</v>
      </c>
      <c r="B16" s="247"/>
      <c r="C16" s="133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12"/>
      <c r="R16" s="115"/>
      <c r="S16" s="109"/>
      <c r="T16" s="100"/>
      <c r="U16" s="100"/>
      <c r="V16" s="100"/>
      <c r="W16" s="100"/>
      <c r="X16" s="13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5"/>
    </row>
    <row r="17" spans="1:44" ht="46.5" customHeight="1">
      <c r="A17" s="101" t="s">
        <v>56</v>
      </c>
      <c r="B17" s="247"/>
      <c r="C17" s="133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12"/>
      <c r="R17" s="115"/>
      <c r="S17" s="109"/>
      <c r="T17" s="100"/>
      <c r="U17" s="100"/>
      <c r="V17" s="100"/>
      <c r="W17" s="100"/>
      <c r="X17" s="13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5"/>
    </row>
    <row r="18" spans="1:44" ht="46.5" customHeight="1">
      <c r="A18" s="101" t="s">
        <v>57</v>
      </c>
      <c r="B18" s="247"/>
      <c r="C18" s="133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12"/>
      <c r="R18" s="115"/>
      <c r="S18" s="109"/>
      <c r="T18" s="100"/>
      <c r="U18" s="100"/>
      <c r="V18" s="100"/>
      <c r="W18" s="100"/>
      <c r="X18" s="13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5"/>
    </row>
    <row r="19" spans="1:44" ht="46.5" customHeight="1">
      <c r="A19" s="101" t="s">
        <v>58</v>
      </c>
      <c r="B19" s="247"/>
      <c r="C19" s="133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12"/>
      <c r="R19" s="115"/>
      <c r="S19" s="109"/>
      <c r="T19" s="100"/>
      <c r="U19" s="100"/>
      <c r="V19" s="100"/>
      <c r="W19" s="100"/>
      <c r="X19" s="13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5"/>
    </row>
    <row r="20" spans="1:44" ht="46.5" customHeight="1">
      <c r="A20" s="101" t="s">
        <v>59</v>
      </c>
      <c r="B20" s="247"/>
      <c r="C20" s="133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12"/>
      <c r="R20" s="115"/>
      <c r="S20" s="109"/>
      <c r="T20" s="100"/>
      <c r="U20" s="100"/>
      <c r="V20" s="100"/>
      <c r="W20" s="100"/>
      <c r="X20" s="13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5"/>
    </row>
    <row r="21" spans="1:44" ht="46.5" customHeight="1">
      <c r="A21" s="101" t="s">
        <v>60</v>
      </c>
      <c r="B21" s="244">
        <f ca="1">B9+1</f>
        <v>46279</v>
      </c>
      <c r="C21" s="133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12"/>
      <c r="R21" s="115"/>
      <c r="S21" s="109"/>
      <c r="T21" s="100"/>
      <c r="U21" s="100"/>
      <c r="V21" s="100"/>
      <c r="W21" s="100"/>
      <c r="X21" s="13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5"/>
    </row>
    <row r="22" spans="1:44" ht="46.5" customHeight="1">
      <c r="A22" s="101" t="s">
        <v>61</v>
      </c>
      <c r="B22" s="244"/>
      <c r="C22" s="133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12"/>
      <c r="R22" s="115"/>
      <c r="S22" s="109"/>
      <c r="T22" s="100"/>
      <c r="U22" s="100"/>
      <c r="V22" s="100"/>
      <c r="W22" s="100"/>
      <c r="X22" s="13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5"/>
    </row>
    <row r="23" spans="1:44" ht="46.5" customHeight="1">
      <c r="A23" s="101" t="s">
        <v>62</v>
      </c>
      <c r="B23" s="244"/>
      <c r="C23" s="133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12"/>
      <c r="R23" s="115"/>
      <c r="S23" s="109"/>
      <c r="T23" s="100"/>
      <c r="U23" s="100"/>
      <c r="V23" s="100"/>
      <c r="W23" s="100"/>
      <c r="X23" s="13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5"/>
    </row>
    <row r="24" spans="1:44" ht="46.5" customHeight="1">
      <c r="A24" s="101" t="s">
        <v>63</v>
      </c>
      <c r="B24" s="244"/>
      <c r="C24" s="133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12"/>
      <c r="R24" s="115"/>
      <c r="S24" s="109"/>
      <c r="T24" s="100"/>
      <c r="U24" s="100"/>
      <c r="V24" s="100"/>
      <c r="W24" s="100"/>
      <c r="X24" s="13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5"/>
    </row>
    <row r="25" spans="1:44" ht="46.5" customHeight="1">
      <c r="A25" s="101" t="s">
        <v>66</v>
      </c>
      <c r="B25" s="244"/>
      <c r="C25" s="133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12"/>
      <c r="R25" s="115"/>
      <c r="S25" s="109"/>
      <c r="T25" s="100"/>
      <c r="U25" s="100"/>
      <c r="V25" s="100"/>
      <c r="W25" s="100"/>
      <c r="X25" s="13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5"/>
    </row>
    <row r="26" spans="1:44" ht="46.5" customHeight="1">
      <c r="A26" s="101" t="s">
        <v>67</v>
      </c>
      <c r="B26" s="245"/>
      <c r="C26" s="134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13"/>
      <c r="R26" s="116"/>
      <c r="S26" s="110"/>
      <c r="T26" s="106"/>
      <c r="U26" s="106"/>
      <c r="V26" s="106"/>
      <c r="W26" s="106"/>
      <c r="X26" s="13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7"/>
    </row>
    <row r="27" spans="1:44" ht="46.5" customHeight="1">
      <c r="A27" s="101" t="s">
        <v>53</v>
      </c>
      <c r="B27" s="246">
        <f ca="1">B15+1</f>
        <v>46280</v>
      </c>
      <c r="C27" s="1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11"/>
      <c r="R27" s="114"/>
      <c r="S27" s="108"/>
      <c r="T27" s="103"/>
      <c r="U27" s="103"/>
      <c r="V27" s="103"/>
      <c r="W27" s="103"/>
      <c r="X27" s="1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4"/>
    </row>
    <row r="28" spans="1:44" ht="46.5" customHeight="1">
      <c r="A28" s="101" t="s">
        <v>55</v>
      </c>
      <c r="B28" s="247"/>
      <c r="C28" s="133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12"/>
      <c r="R28" s="115"/>
      <c r="S28" s="109"/>
      <c r="T28" s="100"/>
      <c r="U28" s="100"/>
      <c r="V28" s="100"/>
      <c r="W28" s="100"/>
      <c r="X28" s="13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5"/>
    </row>
    <row r="29" spans="1:44" ht="46.5" customHeight="1">
      <c r="A29" s="101" t="s">
        <v>56</v>
      </c>
      <c r="B29" s="247"/>
      <c r="C29" s="133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12"/>
      <c r="R29" s="115"/>
      <c r="S29" s="109"/>
      <c r="T29" s="100"/>
      <c r="U29" s="100"/>
      <c r="V29" s="100"/>
      <c r="W29" s="100"/>
      <c r="X29" s="13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5"/>
    </row>
    <row r="30" spans="1:44" ht="46.5" customHeight="1">
      <c r="A30" s="101" t="s">
        <v>57</v>
      </c>
      <c r="B30" s="247"/>
      <c r="C30" s="133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12"/>
      <c r="R30" s="115"/>
      <c r="S30" s="109"/>
      <c r="T30" s="100"/>
      <c r="U30" s="100"/>
      <c r="V30" s="100"/>
      <c r="W30" s="100"/>
      <c r="X30" s="13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5"/>
    </row>
    <row r="31" spans="1:44" ht="46.5" customHeight="1">
      <c r="A31" s="101" t="s">
        <v>58</v>
      </c>
      <c r="B31" s="247"/>
      <c r="C31" s="133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12"/>
      <c r="R31" s="115"/>
      <c r="S31" s="109"/>
      <c r="T31" s="100"/>
      <c r="U31" s="100"/>
      <c r="V31" s="100"/>
      <c r="W31" s="100"/>
      <c r="X31" s="13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5"/>
    </row>
    <row r="32" spans="1:44" ht="46.5" customHeight="1">
      <c r="A32" s="101" t="s">
        <v>59</v>
      </c>
      <c r="B32" s="247"/>
      <c r="C32" s="133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12"/>
      <c r="R32" s="115"/>
      <c r="S32" s="109"/>
      <c r="T32" s="100"/>
      <c r="U32" s="100"/>
      <c r="V32" s="100"/>
      <c r="W32" s="100"/>
      <c r="X32" s="13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5"/>
    </row>
    <row r="33" spans="1:44" ht="46.5" customHeight="1">
      <c r="A33" s="101" t="s">
        <v>60</v>
      </c>
      <c r="B33" s="244">
        <f ca="1">B21+1</f>
        <v>46280</v>
      </c>
      <c r="C33" s="133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12"/>
      <c r="R33" s="115"/>
      <c r="S33" s="109"/>
      <c r="T33" s="100"/>
      <c r="U33" s="100"/>
      <c r="V33" s="100"/>
      <c r="W33" s="100"/>
      <c r="X33" s="13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5"/>
    </row>
    <row r="34" spans="1:44" ht="46.5" customHeight="1">
      <c r="A34" s="101" t="s">
        <v>61</v>
      </c>
      <c r="B34" s="244"/>
      <c r="C34" s="133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12"/>
      <c r="R34" s="115"/>
      <c r="S34" s="109"/>
      <c r="T34" s="100"/>
      <c r="U34" s="100"/>
      <c r="V34" s="100"/>
      <c r="W34" s="100"/>
      <c r="X34" s="13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5"/>
    </row>
    <row r="35" spans="1:44" ht="46.5" customHeight="1">
      <c r="A35" s="101" t="s">
        <v>62</v>
      </c>
      <c r="B35" s="244"/>
      <c r="C35" s="133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12"/>
      <c r="R35" s="115"/>
      <c r="S35" s="109"/>
      <c r="T35" s="100"/>
      <c r="U35" s="100"/>
      <c r="V35" s="100"/>
      <c r="W35" s="100"/>
      <c r="X35" s="13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5"/>
    </row>
    <row r="36" spans="1:44" ht="46.5" customHeight="1">
      <c r="A36" s="101" t="s">
        <v>63</v>
      </c>
      <c r="B36" s="244"/>
      <c r="C36" s="133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12"/>
      <c r="R36" s="115"/>
      <c r="S36" s="109"/>
      <c r="T36" s="100"/>
      <c r="U36" s="100"/>
      <c r="V36" s="100"/>
      <c r="W36" s="100"/>
      <c r="X36" s="13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5"/>
    </row>
    <row r="37" spans="1:44" ht="46.5" customHeight="1">
      <c r="A37" s="101" t="s">
        <v>66</v>
      </c>
      <c r="B37" s="244"/>
      <c r="C37" s="133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12"/>
      <c r="R37" s="115"/>
      <c r="S37" s="109"/>
      <c r="T37" s="100"/>
      <c r="U37" s="100"/>
      <c r="V37" s="100"/>
      <c r="W37" s="100"/>
      <c r="X37" s="13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5"/>
    </row>
    <row r="38" spans="1:44" ht="46.5" customHeight="1">
      <c r="A38" s="101" t="s">
        <v>67</v>
      </c>
      <c r="B38" s="245"/>
      <c r="C38" s="134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13"/>
      <c r="R38" s="116"/>
      <c r="S38" s="110"/>
      <c r="T38" s="106"/>
      <c r="U38" s="106"/>
      <c r="V38" s="106"/>
      <c r="W38" s="106"/>
      <c r="X38" s="13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7"/>
    </row>
    <row r="39" spans="1:44" ht="46.5" customHeight="1">
      <c r="A39" s="101" t="s">
        <v>53</v>
      </c>
      <c r="B39" s="246">
        <f t="shared" ref="B39" ca="1" si="0">B27+1</f>
        <v>46281</v>
      </c>
      <c r="C39" s="13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11"/>
      <c r="R39" s="114"/>
      <c r="S39" s="108"/>
      <c r="T39" s="103"/>
      <c r="U39" s="103"/>
      <c r="V39" s="103"/>
      <c r="W39" s="103"/>
      <c r="X39" s="1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4"/>
    </row>
    <row r="40" spans="1:44" ht="46.5" customHeight="1">
      <c r="A40" s="101" t="s">
        <v>55</v>
      </c>
      <c r="B40" s="247"/>
      <c r="C40" s="133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12"/>
      <c r="R40" s="115"/>
      <c r="S40" s="109"/>
      <c r="T40" s="100"/>
      <c r="U40" s="100"/>
      <c r="V40" s="100"/>
      <c r="W40" s="100"/>
      <c r="X40" s="13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5"/>
    </row>
    <row r="41" spans="1:44" ht="46.5" customHeight="1">
      <c r="A41" s="101" t="s">
        <v>56</v>
      </c>
      <c r="B41" s="247"/>
      <c r="C41" s="133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12"/>
      <c r="R41" s="115"/>
      <c r="S41" s="109"/>
      <c r="T41" s="100"/>
      <c r="U41" s="100"/>
      <c r="V41" s="100"/>
      <c r="W41" s="100"/>
      <c r="X41" s="13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5"/>
    </row>
    <row r="42" spans="1:44" ht="46.5" customHeight="1">
      <c r="A42" s="101" t="s">
        <v>57</v>
      </c>
      <c r="B42" s="247"/>
      <c r="C42" s="133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12"/>
      <c r="R42" s="115"/>
      <c r="S42" s="109"/>
      <c r="T42" s="100"/>
      <c r="U42" s="100"/>
      <c r="V42" s="100"/>
      <c r="W42" s="100"/>
      <c r="X42" s="13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5"/>
    </row>
    <row r="43" spans="1:44" ht="46.5" customHeight="1">
      <c r="A43" s="101" t="s">
        <v>58</v>
      </c>
      <c r="B43" s="247"/>
      <c r="C43" s="133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12"/>
      <c r="R43" s="115"/>
      <c r="S43" s="109"/>
      <c r="T43" s="100"/>
      <c r="U43" s="100"/>
      <c r="V43" s="100"/>
      <c r="W43" s="100"/>
      <c r="X43" s="13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5"/>
    </row>
    <row r="44" spans="1:44" ht="46.5" customHeight="1">
      <c r="A44" s="101" t="s">
        <v>59</v>
      </c>
      <c r="B44" s="247"/>
      <c r="C44" s="133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12"/>
      <c r="R44" s="115"/>
      <c r="S44" s="109"/>
      <c r="T44" s="100"/>
      <c r="U44" s="100"/>
      <c r="V44" s="100"/>
      <c r="W44" s="100"/>
      <c r="X44" s="13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5"/>
    </row>
    <row r="45" spans="1:44" ht="46.5" customHeight="1">
      <c r="A45" s="101" t="s">
        <v>60</v>
      </c>
      <c r="B45" s="244">
        <f t="shared" ref="B45" ca="1" si="1">B33+1</f>
        <v>46281</v>
      </c>
      <c r="C45" s="133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12"/>
      <c r="R45" s="115"/>
      <c r="S45" s="109"/>
      <c r="T45" s="100"/>
      <c r="U45" s="100"/>
      <c r="V45" s="100"/>
      <c r="W45" s="100"/>
      <c r="X45" s="13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5"/>
    </row>
    <row r="46" spans="1:44" ht="46.5" customHeight="1">
      <c r="A46" s="101" t="s">
        <v>61</v>
      </c>
      <c r="B46" s="244"/>
      <c r="C46" s="133"/>
      <c r="D46" s="100"/>
      <c r="E46" s="100"/>
      <c r="F46" s="100"/>
      <c r="G46" s="197"/>
      <c r="H46" s="100"/>
      <c r="I46" s="100"/>
      <c r="J46" s="100"/>
      <c r="K46" s="100"/>
      <c r="L46" s="100"/>
      <c r="M46" s="100"/>
      <c r="N46" s="100"/>
      <c r="O46" s="100"/>
      <c r="P46" s="100"/>
      <c r="Q46" s="112"/>
      <c r="R46" s="115"/>
      <c r="S46" s="109"/>
      <c r="T46" s="100"/>
      <c r="U46" s="100"/>
      <c r="V46" s="100"/>
      <c r="W46" s="100"/>
      <c r="X46" s="13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5"/>
    </row>
    <row r="47" spans="1:44" ht="46.5" customHeight="1">
      <c r="A47" s="101" t="s">
        <v>62</v>
      </c>
      <c r="B47" s="244"/>
      <c r="C47" s="133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12"/>
      <c r="R47" s="115"/>
      <c r="S47" s="109"/>
      <c r="T47" s="100"/>
      <c r="U47" s="100"/>
      <c r="V47" s="100"/>
      <c r="W47" s="100"/>
      <c r="X47" s="13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5"/>
    </row>
    <row r="48" spans="1:44" ht="46.5" customHeight="1">
      <c r="A48" s="101" t="s">
        <v>63</v>
      </c>
      <c r="B48" s="244"/>
      <c r="C48" s="133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12"/>
      <c r="R48" s="115"/>
      <c r="S48" s="109"/>
      <c r="T48" s="100"/>
      <c r="U48" s="100"/>
      <c r="V48" s="100"/>
      <c r="W48" s="100"/>
      <c r="X48" s="13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5"/>
    </row>
    <row r="49" spans="1:44" ht="46.5" customHeight="1">
      <c r="A49" s="101" t="s">
        <v>66</v>
      </c>
      <c r="B49" s="244"/>
      <c r="C49" s="133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12"/>
      <c r="R49" s="115"/>
      <c r="S49" s="109"/>
      <c r="T49" s="100"/>
      <c r="U49" s="100"/>
      <c r="V49" s="100"/>
      <c r="W49" s="100"/>
      <c r="X49" s="13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5"/>
    </row>
    <row r="50" spans="1:44" ht="46.5" customHeight="1">
      <c r="A50" s="101" t="s">
        <v>67</v>
      </c>
      <c r="B50" s="245"/>
      <c r="C50" s="134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13"/>
      <c r="R50" s="116"/>
      <c r="S50" s="110"/>
      <c r="T50" s="106"/>
      <c r="U50" s="106"/>
      <c r="V50" s="106"/>
      <c r="W50" s="106"/>
      <c r="X50" s="13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7"/>
    </row>
    <row r="51" spans="1:44" ht="46.5" customHeight="1">
      <c r="A51" s="101" t="s">
        <v>53</v>
      </c>
      <c r="B51" s="246">
        <f t="shared" ref="B51" ca="1" si="2">B39+1</f>
        <v>46282</v>
      </c>
      <c r="C51" s="132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11"/>
      <c r="R51" s="114"/>
      <c r="S51" s="108"/>
      <c r="T51" s="103"/>
      <c r="U51" s="103"/>
      <c r="V51" s="103"/>
      <c r="W51" s="103"/>
      <c r="X51" s="1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4"/>
    </row>
    <row r="52" spans="1:44" ht="46.5" customHeight="1">
      <c r="A52" s="101" t="s">
        <v>55</v>
      </c>
      <c r="B52" s="247"/>
      <c r="C52" s="133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12"/>
      <c r="R52" s="115"/>
      <c r="S52" s="109"/>
      <c r="T52" s="100"/>
      <c r="U52" s="100"/>
      <c r="V52" s="100"/>
      <c r="W52" s="100"/>
      <c r="X52" s="13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5"/>
    </row>
    <row r="53" spans="1:44" ht="46.5" customHeight="1">
      <c r="A53" s="101" t="s">
        <v>56</v>
      </c>
      <c r="B53" s="247"/>
      <c r="C53" s="133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12"/>
      <c r="R53" s="115"/>
      <c r="S53" s="109"/>
      <c r="T53" s="100"/>
      <c r="U53" s="100"/>
      <c r="V53" s="100"/>
      <c r="W53" s="100"/>
      <c r="X53" s="13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5"/>
    </row>
    <row r="54" spans="1:44" ht="46.5" customHeight="1">
      <c r="A54" s="101" t="s">
        <v>57</v>
      </c>
      <c r="B54" s="247"/>
      <c r="C54" s="133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12"/>
      <c r="R54" s="115"/>
      <c r="S54" s="109"/>
      <c r="T54" s="100"/>
      <c r="U54" s="100"/>
      <c r="V54" s="100"/>
      <c r="W54" s="100"/>
      <c r="X54" s="13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5"/>
    </row>
    <row r="55" spans="1:44" ht="46.5" customHeight="1">
      <c r="A55" s="101" t="s">
        <v>58</v>
      </c>
      <c r="B55" s="247"/>
      <c r="C55" s="133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12"/>
      <c r="R55" s="115"/>
      <c r="S55" s="109"/>
      <c r="T55" s="100"/>
      <c r="U55" s="100"/>
      <c r="V55" s="100"/>
      <c r="W55" s="100"/>
      <c r="X55" s="13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5"/>
    </row>
    <row r="56" spans="1:44" ht="46.5" customHeight="1">
      <c r="A56" s="101" t="s">
        <v>59</v>
      </c>
      <c r="B56" s="247"/>
      <c r="C56" s="133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12"/>
      <c r="R56" s="115"/>
      <c r="S56" s="109"/>
      <c r="T56" s="100"/>
      <c r="U56" s="100"/>
      <c r="V56" s="100"/>
      <c r="W56" s="100"/>
      <c r="X56" s="13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5"/>
    </row>
    <row r="57" spans="1:44" ht="46.5" customHeight="1">
      <c r="A57" s="101" t="s">
        <v>60</v>
      </c>
      <c r="B57" s="244">
        <f t="shared" ref="B57" ca="1" si="3">B45+1</f>
        <v>46282</v>
      </c>
      <c r="C57" s="133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12"/>
      <c r="R57" s="115"/>
      <c r="S57" s="109"/>
      <c r="T57" s="100"/>
      <c r="U57" s="100"/>
      <c r="V57" s="100"/>
      <c r="W57" s="100"/>
      <c r="X57" s="13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5"/>
    </row>
    <row r="58" spans="1:44" ht="46.5" customHeight="1">
      <c r="A58" s="101" t="s">
        <v>61</v>
      </c>
      <c r="B58" s="244"/>
      <c r="C58" s="133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12"/>
      <c r="R58" s="115"/>
      <c r="S58" s="109"/>
      <c r="T58" s="100"/>
      <c r="U58" s="100"/>
      <c r="V58" s="100"/>
      <c r="W58" s="100"/>
      <c r="X58" s="13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5"/>
    </row>
    <row r="59" spans="1:44" ht="46.5" customHeight="1">
      <c r="A59" s="101" t="s">
        <v>62</v>
      </c>
      <c r="B59" s="244"/>
      <c r="C59" s="133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12"/>
      <c r="R59" s="115"/>
      <c r="S59" s="109"/>
      <c r="T59" s="100"/>
      <c r="U59" s="100"/>
      <c r="V59" s="100"/>
      <c r="W59" s="100"/>
      <c r="X59" s="13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5"/>
    </row>
    <row r="60" spans="1:44" ht="46.5" customHeight="1">
      <c r="A60" s="101" t="s">
        <v>63</v>
      </c>
      <c r="B60" s="244"/>
      <c r="C60" s="133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12"/>
      <c r="R60" s="115"/>
      <c r="S60" s="109"/>
      <c r="T60" s="100"/>
      <c r="U60" s="100"/>
      <c r="V60" s="100"/>
      <c r="W60" s="100"/>
      <c r="X60" s="13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5"/>
    </row>
    <row r="61" spans="1:44" ht="46.5" customHeight="1">
      <c r="A61" s="101" t="s">
        <v>66</v>
      </c>
      <c r="B61" s="244"/>
      <c r="C61" s="133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12"/>
      <c r="R61" s="115"/>
      <c r="S61" s="109"/>
      <c r="T61" s="100"/>
      <c r="U61" s="100"/>
      <c r="V61" s="100"/>
      <c r="W61" s="100"/>
      <c r="X61" s="13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5"/>
    </row>
    <row r="62" spans="1:44" ht="46.5" customHeight="1">
      <c r="A62" s="101" t="s">
        <v>67</v>
      </c>
      <c r="B62" s="245"/>
      <c r="C62" s="134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13"/>
      <c r="R62" s="116"/>
      <c r="S62" s="110"/>
      <c r="T62" s="106"/>
      <c r="U62" s="106"/>
      <c r="V62" s="106"/>
      <c r="W62" s="106"/>
      <c r="X62" s="13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7"/>
    </row>
    <row r="63" spans="1:44" ht="46.5" customHeight="1">
      <c r="A63" s="101" t="s">
        <v>53</v>
      </c>
      <c r="B63" s="246">
        <f t="shared" ref="B63" ca="1" si="4">B51+1</f>
        <v>46283</v>
      </c>
      <c r="C63" s="132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11"/>
      <c r="R63" s="114"/>
      <c r="S63" s="108"/>
      <c r="T63" s="103"/>
      <c r="U63" s="103"/>
      <c r="V63" s="103"/>
      <c r="W63" s="103"/>
      <c r="X63" s="1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4"/>
    </row>
    <row r="64" spans="1:44" ht="46.5" customHeight="1">
      <c r="A64" s="101" t="s">
        <v>55</v>
      </c>
      <c r="B64" s="247"/>
      <c r="C64" s="133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12"/>
      <c r="R64" s="115"/>
      <c r="S64" s="109"/>
      <c r="T64" s="100"/>
      <c r="U64" s="100"/>
      <c r="V64" s="100"/>
      <c r="W64" s="100"/>
      <c r="X64" s="13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5"/>
    </row>
    <row r="65" spans="1:44" ht="46.5" customHeight="1">
      <c r="A65" s="101" t="s">
        <v>56</v>
      </c>
      <c r="B65" s="247"/>
      <c r="C65" s="133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12"/>
      <c r="R65" s="115"/>
      <c r="S65" s="109"/>
      <c r="T65" s="100"/>
      <c r="U65" s="100"/>
      <c r="V65" s="100"/>
      <c r="W65" s="100"/>
      <c r="X65" s="13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5"/>
    </row>
    <row r="66" spans="1:44" ht="46.5" customHeight="1">
      <c r="A66" s="101" t="s">
        <v>57</v>
      </c>
      <c r="B66" s="247"/>
      <c r="C66" s="133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12"/>
      <c r="R66" s="115"/>
      <c r="S66" s="109"/>
      <c r="T66" s="100"/>
      <c r="U66" s="100"/>
      <c r="V66" s="100"/>
      <c r="W66" s="100"/>
      <c r="X66" s="13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5"/>
    </row>
    <row r="67" spans="1:44" ht="46.5" customHeight="1">
      <c r="A67" s="101" t="s">
        <v>58</v>
      </c>
      <c r="B67" s="247"/>
      <c r="C67" s="133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12"/>
      <c r="R67" s="115"/>
      <c r="S67" s="109"/>
      <c r="T67" s="100"/>
      <c r="U67" s="100"/>
      <c r="V67" s="100"/>
      <c r="W67" s="100"/>
      <c r="X67" s="13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5"/>
    </row>
    <row r="68" spans="1:44" ht="46.5" customHeight="1">
      <c r="A68" s="101" t="s">
        <v>59</v>
      </c>
      <c r="B68" s="247"/>
      <c r="C68" s="133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12"/>
      <c r="R68" s="115"/>
      <c r="S68" s="109"/>
      <c r="T68" s="100"/>
      <c r="U68" s="100"/>
      <c r="V68" s="100"/>
      <c r="W68" s="100"/>
      <c r="X68" s="13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5"/>
    </row>
    <row r="69" spans="1:44" ht="46.5" customHeight="1">
      <c r="A69" s="101" t="s">
        <v>60</v>
      </c>
      <c r="B69" s="244">
        <f t="shared" ref="B69" ca="1" si="5">B57+1</f>
        <v>46283</v>
      </c>
      <c r="C69" s="133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12"/>
      <c r="R69" s="115"/>
      <c r="S69" s="109"/>
      <c r="T69" s="100"/>
      <c r="U69" s="100"/>
      <c r="V69" s="100"/>
      <c r="W69" s="100"/>
      <c r="X69" s="13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5"/>
    </row>
    <row r="70" spans="1:44" ht="46.5" customHeight="1">
      <c r="A70" s="101" t="s">
        <v>61</v>
      </c>
      <c r="B70" s="244"/>
      <c r="C70" s="133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12"/>
      <c r="R70" s="115"/>
      <c r="S70" s="109"/>
      <c r="T70" s="100"/>
      <c r="U70" s="100"/>
      <c r="V70" s="100"/>
      <c r="W70" s="100"/>
      <c r="X70" s="13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5"/>
    </row>
    <row r="71" spans="1:44" ht="46.5" customHeight="1">
      <c r="A71" s="101" t="s">
        <v>62</v>
      </c>
      <c r="B71" s="244"/>
      <c r="C71" s="133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12"/>
      <c r="R71" s="115"/>
      <c r="S71" s="109"/>
      <c r="T71" s="100"/>
      <c r="U71" s="100"/>
      <c r="V71" s="100"/>
      <c r="W71" s="100"/>
      <c r="X71" s="13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5"/>
    </row>
    <row r="72" spans="1:44" ht="46.5" customHeight="1">
      <c r="A72" s="101" t="s">
        <v>63</v>
      </c>
      <c r="B72" s="244"/>
      <c r="C72" s="133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12"/>
      <c r="R72" s="115"/>
      <c r="S72" s="109"/>
      <c r="T72" s="100"/>
      <c r="U72" s="100"/>
      <c r="V72" s="100"/>
      <c r="W72" s="100"/>
      <c r="X72" s="13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5"/>
    </row>
    <row r="73" spans="1:44" ht="46.5" customHeight="1">
      <c r="A73" s="101" t="s">
        <v>66</v>
      </c>
      <c r="B73" s="244"/>
      <c r="C73" s="133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12"/>
      <c r="R73" s="115"/>
      <c r="S73" s="109"/>
      <c r="T73" s="100"/>
      <c r="U73" s="100"/>
      <c r="V73" s="100"/>
      <c r="W73" s="100"/>
      <c r="X73" s="13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5"/>
    </row>
    <row r="74" spans="1:44" ht="46.5" customHeight="1">
      <c r="A74" s="101" t="s">
        <v>67</v>
      </c>
      <c r="B74" s="245"/>
      <c r="C74" s="134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13"/>
      <c r="R74" s="116"/>
      <c r="S74" s="110"/>
      <c r="T74" s="106"/>
      <c r="U74" s="106"/>
      <c r="V74" s="106"/>
      <c r="W74" s="106"/>
      <c r="X74" s="13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7"/>
    </row>
    <row r="75" spans="1:44" ht="46.5" customHeight="1">
      <c r="A75" s="101" t="s">
        <v>53</v>
      </c>
      <c r="B75" s="246">
        <f t="shared" ref="B75" ca="1" si="6">B63+1</f>
        <v>46284</v>
      </c>
      <c r="C75" s="132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11"/>
      <c r="R75" s="114"/>
      <c r="S75" s="108"/>
      <c r="T75" s="103"/>
      <c r="U75" s="103"/>
      <c r="V75" s="103"/>
      <c r="W75" s="103"/>
      <c r="X75" s="1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4"/>
    </row>
    <row r="76" spans="1:44" ht="46.5" customHeight="1">
      <c r="A76" s="101" t="s">
        <v>55</v>
      </c>
      <c r="B76" s="247"/>
      <c r="C76" s="133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12"/>
      <c r="R76" s="115"/>
      <c r="S76" s="109"/>
      <c r="T76" s="100"/>
      <c r="U76" s="100"/>
      <c r="V76" s="100"/>
      <c r="W76" s="100"/>
      <c r="X76" s="13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5"/>
    </row>
    <row r="77" spans="1:44" ht="46.5" customHeight="1">
      <c r="A77" s="101" t="s">
        <v>56</v>
      </c>
      <c r="B77" s="247"/>
      <c r="C77" s="133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12"/>
      <c r="R77" s="115"/>
      <c r="S77" s="109"/>
      <c r="T77" s="100"/>
      <c r="U77" s="100"/>
      <c r="V77" s="100"/>
      <c r="W77" s="100"/>
      <c r="X77" s="13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5"/>
    </row>
    <row r="78" spans="1:44" ht="46.5" customHeight="1">
      <c r="A78" s="101" t="s">
        <v>57</v>
      </c>
      <c r="B78" s="247"/>
      <c r="C78" s="133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12"/>
      <c r="R78" s="115"/>
      <c r="S78" s="109"/>
      <c r="T78" s="100"/>
      <c r="U78" s="100"/>
      <c r="V78" s="100"/>
      <c r="W78" s="100"/>
      <c r="X78" s="13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5"/>
    </row>
    <row r="79" spans="1:44" ht="46.5" customHeight="1">
      <c r="A79" s="101" t="s">
        <v>58</v>
      </c>
      <c r="B79" s="247"/>
      <c r="C79" s="133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12"/>
      <c r="R79" s="115"/>
      <c r="S79" s="109"/>
      <c r="T79" s="100"/>
      <c r="U79" s="100"/>
      <c r="V79" s="100"/>
      <c r="W79" s="100"/>
      <c r="X79" s="13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5"/>
    </row>
    <row r="80" spans="1:44" ht="46.5" customHeight="1">
      <c r="A80" s="101" t="s">
        <v>59</v>
      </c>
      <c r="B80" s="247"/>
      <c r="C80" s="133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12"/>
      <c r="R80" s="115"/>
      <c r="S80" s="109"/>
      <c r="T80" s="100"/>
      <c r="U80" s="100"/>
      <c r="V80" s="100"/>
      <c r="W80" s="100"/>
      <c r="X80" s="13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5"/>
    </row>
    <row r="81" spans="1:44" ht="46.5" customHeight="1">
      <c r="A81" s="101" t="s">
        <v>60</v>
      </c>
      <c r="B81" s="244">
        <f t="shared" ref="B81" ca="1" si="7">B69+1</f>
        <v>46284</v>
      </c>
      <c r="C81" s="133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12"/>
      <c r="R81" s="115"/>
      <c r="S81" s="109"/>
      <c r="T81" s="100"/>
      <c r="U81" s="100"/>
      <c r="V81" s="100"/>
      <c r="W81" s="100"/>
      <c r="X81" s="13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5"/>
    </row>
    <row r="82" spans="1:44" ht="46.5" customHeight="1">
      <c r="A82" s="101" t="s">
        <v>61</v>
      </c>
      <c r="B82" s="244"/>
      <c r="C82" s="133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12"/>
      <c r="R82" s="115"/>
      <c r="S82" s="109"/>
      <c r="T82" s="100"/>
      <c r="U82" s="100"/>
      <c r="V82" s="100"/>
      <c r="W82" s="100"/>
      <c r="X82" s="13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5"/>
    </row>
    <row r="83" spans="1:44" ht="46.5" customHeight="1">
      <c r="A83" s="101" t="s">
        <v>62</v>
      </c>
      <c r="B83" s="244"/>
      <c r="C83" s="133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12"/>
      <c r="R83" s="115"/>
      <c r="S83" s="109"/>
      <c r="T83" s="100"/>
      <c r="U83" s="100"/>
      <c r="V83" s="100"/>
      <c r="W83" s="100"/>
      <c r="X83" s="13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5"/>
    </row>
    <row r="84" spans="1:44" ht="46.5" customHeight="1">
      <c r="A84" s="101" t="s">
        <v>63</v>
      </c>
      <c r="B84" s="244"/>
      <c r="C84" s="133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12"/>
      <c r="R84" s="115"/>
      <c r="S84" s="109"/>
      <c r="T84" s="100"/>
      <c r="U84" s="100"/>
      <c r="V84" s="100"/>
      <c r="W84" s="100"/>
      <c r="X84" s="13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5"/>
    </row>
    <row r="85" spans="1:44" ht="46.5" customHeight="1">
      <c r="A85" s="101" t="s">
        <v>66</v>
      </c>
      <c r="B85" s="244"/>
      <c r="C85" s="133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12"/>
      <c r="R85" s="115"/>
      <c r="S85" s="109"/>
      <c r="T85" s="100"/>
      <c r="U85" s="100"/>
      <c r="V85" s="100"/>
      <c r="W85" s="100"/>
      <c r="X85" s="13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5"/>
    </row>
    <row r="86" spans="1:44" ht="46.5" customHeight="1">
      <c r="A86" s="101" t="s">
        <v>67</v>
      </c>
      <c r="B86" s="245"/>
      <c r="C86" s="134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13"/>
      <c r="R86" s="116"/>
      <c r="S86" s="110"/>
      <c r="T86" s="106"/>
      <c r="U86" s="106"/>
      <c r="V86" s="106"/>
      <c r="W86" s="106"/>
      <c r="X86" s="13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7"/>
    </row>
    <row r="87" spans="1:44" ht="46.5" customHeight="1">
      <c r="A87" s="101" t="s">
        <v>53</v>
      </c>
      <c r="B87" s="246">
        <f t="shared" ref="B87" ca="1" si="8">B75+1</f>
        <v>46285</v>
      </c>
      <c r="C87" s="132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11"/>
      <c r="R87" s="114"/>
      <c r="S87" s="108"/>
      <c r="T87" s="103"/>
      <c r="U87" s="103"/>
      <c r="V87" s="103"/>
      <c r="W87" s="103"/>
      <c r="X87" s="1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4"/>
    </row>
    <row r="88" spans="1:44" ht="46.5" customHeight="1">
      <c r="A88" s="101" t="s">
        <v>55</v>
      </c>
      <c r="B88" s="247"/>
      <c r="C88" s="133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12"/>
      <c r="R88" s="115"/>
      <c r="S88" s="109"/>
      <c r="T88" s="100"/>
      <c r="U88" s="100"/>
      <c r="V88" s="100"/>
      <c r="W88" s="100"/>
      <c r="X88" s="13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5"/>
    </row>
    <row r="89" spans="1:44" ht="46.5" customHeight="1">
      <c r="A89" s="101" t="s">
        <v>56</v>
      </c>
      <c r="B89" s="247"/>
      <c r="C89" s="133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12"/>
      <c r="R89" s="115"/>
      <c r="S89" s="109"/>
      <c r="T89" s="100"/>
      <c r="U89" s="100"/>
      <c r="V89" s="100"/>
      <c r="W89" s="100"/>
      <c r="X89" s="13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5"/>
    </row>
    <row r="90" spans="1:44" ht="46.5" customHeight="1">
      <c r="A90" s="101" t="s">
        <v>57</v>
      </c>
      <c r="B90" s="247"/>
      <c r="C90" s="133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12"/>
      <c r="R90" s="115"/>
      <c r="S90" s="109"/>
      <c r="T90" s="100"/>
      <c r="U90" s="100"/>
      <c r="V90" s="100"/>
      <c r="W90" s="100"/>
      <c r="X90" s="13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5"/>
    </row>
    <row r="91" spans="1:44" ht="46.5" customHeight="1">
      <c r="A91" s="101" t="s">
        <v>58</v>
      </c>
      <c r="B91" s="247"/>
      <c r="C91" s="133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12"/>
      <c r="R91" s="115"/>
      <c r="S91" s="109"/>
      <c r="T91" s="100"/>
      <c r="U91" s="100"/>
      <c r="V91" s="100"/>
      <c r="W91" s="100"/>
      <c r="X91" s="13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5"/>
    </row>
    <row r="92" spans="1:44" ht="46.5" customHeight="1">
      <c r="A92" s="101" t="s">
        <v>59</v>
      </c>
      <c r="B92" s="247"/>
      <c r="C92" s="133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12"/>
      <c r="R92" s="115"/>
      <c r="S92" s="109"/>
      <c r="T92" s="100"/>
      <c r="U92" s="100"/>
      <c r="V92" s="100"/>
      <c r="W92" s="100"/>
      <c r="X92" s="13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5"/>
    </row>
    <row r="93" spans="1:44" ht="46.5" customHeight="1">
      <c r="A93" s="101" t="s">
        <v>60</v>
      </c>
      <c r="B93" s="244">
        <f t="shared" ref="B93" ca="1" si="9">B81+1</f>
        <v>46285</v>
      </c>
      <c r="C93" s="133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12"/>
      <c r="R93" s="115"/>
      <c r="S93" s="109"/>
      <c r="T93" s="100"/>
      <c r="U93" s="100"/>
      <c r="V93" s="100"/>
      <c r="W93" s="100"/>
      <c r="X93" s="13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Q93" s="100"/>
      <c r="AR93" s="105"/>
    </row>
    <row r="94" spans="1:44" ht="46.5" customHeight="1">
      <c r="A94" s="101" t="s">
        <v>61</v>
      </c>
      <c r="B94" s="244"/>
      <c r="C94" s="133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12"/>
      <c r="R94" s="115"/>
      <c r="S94" s="109"/>
      <c r="T94" s="100"/>
      <c r="U94" s="100"/>
      <c r="V94" s="100"/>
      <c r="W94" s="100"/>
      <c r="X94" s="13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5"/>
    </row>
    <row r="95" spans="1:44" ht="46.5" customHeight="1">
      <c r="A95" s="101" t="s">
        <v>62</v>
      </c>
      <c r="B95" s="244"/>
      <c r="C95" s="133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12"/>
      <c r="R95" s="115"/>
      <c r="S95" s="109"/>
      <c r="T95" s="100"/>
      <c r="U95" s="100"/>
      <c r="V95" s="100"/>
      <c r="W95" s="100"/>
      <c r="X95" s="13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5"/>
    </row>
    <row r="96" spans="1:44" ht="46.5" customHeight="1">
      <c r="A96" s="101" t="s">
        <v>63</v>
      </c>
      <c r="B96" s="244"/>
      <c r="C96" s="133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12"/>
      <c r="R96" s="115"/>
      <c r="S96" s="109"/>
      <c r="T96" s="100"/>
      <c r="U96" s="100"/>
      <c r="V96" s="100"/>
      <c r="W96" s="100"/>
      <c r="X96" s="13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5"/>
    </row>
    <row r="97" spans="1:44" ht="46.5" customHeight="1">
      <c r="A97" s="101" t="s">
        <v>66</v>
      </c>
      <c r="B97" s="244"/>
      <c r="C97" s="133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12"/>
      <c r="R97" s="115"/>
      <c r="S97" s="109"/>
      <c r="T97" s="100"/>
      <c r="U97" s="100"/>
      <c r="V97" s="100"/>
      <c r="W97" s="100"/>
      <c r="X97" s="13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5"/>
    </row>
    <row r="98" spans="1:44" ht="46.5" customHeight="1">
      <c r="A98" s="101" t="s">
        <v>67</v>
      </c>
      <c r="B98" s="245"/>
      <c r="C98" s="134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13"/>
      <c r="R98" s="116"/>
      <c r="S98" s="110"/>
      <c r="T98" s="106"/>
      <c r="U98" s="106"/>
      <c r="V98" s="106"/>
      <c r="W98" s="106"/>
      <c r="X98" s="13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7"/>
    </row>
    <row r="99" spans="1:44" ht="46.5" customHeight="1">
      <c r="A99" s="101" t="s">
        <v>53</v>
      </c>
      <c r="B99" s="246">
        <f t="shared" ref="B99" ca="1" si="10">B87+1</f>
        <v>46286</v>
      </c>
      <c r="C99" s="132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11"/>
      <c r="R99" s="114"/>
      <c r="S99" s="108"/>
      <c r="T99" s="103"/>
      <c r="U99" s="103"/>
      <c r="V99" s="103"/>
      <c r="W99" s="103"/>
      <c r="X99" s="1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4"/>
    </row>
    <row r="100" spans="1:44" ht="46.5" customHeight="1">
      <c r="A100" s="101" t="s">
        <v>55</v>
      </c>
      <c r="B100" s="247"/>
      <c r="C100" s="133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12"/>
      <c r="R100" s="115"/>
      <c r="S100" s="109"/>
      <c r="T100" s="100"/>
      <c r="U100" s="100"/>
      <c r="V100" s="100"/>
      <c r="W100" s="100"/>
      <c r="X100" s="13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5"/>
    </row>
    <row r="101" spans="1:44" ht="46.5" customHeight="1">
      <c r="A101" s="101" t="s">
        <v>56</v>
      </c>
      <c r="B101" s="247"/>
      <c r="C101" s="133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12"/>
      <c r="R101" s="115"/>
      <c r="S101" s="109"/>
      <c r="T101" s="100"/>
      <c r="U101" s="100"/>
      <c r="V101" s="100"/>
      <c r="W101" s="100"/>
      <c r="X101" s="13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5"/>
    </row>
    <row r="102" spans="1:44" ht="46.5" customHeight="1">
      <c r="A102" s="101" t="s">
        <v>57</v>
      </c>
      <c r="B102" s="247"/>
      <c r="C102" s="133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12"/>
      <c r="R102" s="115"/>
      <c r="S102" s="109"/>
      <c r="T102" s="100"/>
      <c r="U102" s="100"/>
      <c r="V102" s="100"/>
      <c r="W102" s="100"/>
      <c r="X102" s="13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5"/>
    </row>
    <row r="103" spans="1:44" ht="46.5" customHeight="1">
      <c r="A103" s="101" t="s">
        <v>58</v>
      </c>
      <c r="B103" s="247"/>
      <c r="C103" s="133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12"/>
      <c r="R103" s="115"/>
      <c r="S103" s="109"/>
      <c r="T103" s="100"/>
      <c r="U103" s="100"/>
      <c r="V103" s="100"/>
      <c r="W103" s="100"/>
      <c r="X103" s="13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5"/>
    </row>
    <row r="104" spans="1:44" ht="46.5" customHeight="1">
      <c r="A104" s="101" t="s">
        <v>59</v>
      </c>
      <c r="B104" s="247"/>
      <c r="C104" s="133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12"/>
      <c r="R104" s="115"/>
      <c r="S104" s="109"/>
      <c r="T104" s="100"/>
      <c r="U104" s="100"/>
      <c r="V104" s="100"/>
      <c r="W104" s="100"/>
      <c r="X104" s="13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5"/>
    </row>
    <row r="105" spans="1:44" ht="46.5" customHeight="1">
      <c r="A105" s="101" t="s">
        <v>60</v>
      </c>
      <c r="B105" s="244">
        <f t="shared" ref="B105" ca="1" si="11">B93+1</f>
        <v>46286</v>
      </c>
      <c r="C105" s="133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12"/>
      <c r="R105" s="115"/>
      <c r="S105" s="109"/>
      <c r="T105" s="100"/>
      <c r="U105" s="100"/>
      <c r="V105" s="100"/>
      <c r="W105" s="100"/>
      <c r="X105" s="13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5"/>
    </row>
    <row r="106" spans="1:44" ht="46.5" customHeight="1">
      <c r="A106" s="101" t="s">
        <v>61</v>
      </c>
      <c r="B106" s="244"/>
      <c r="C106" s="133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12"/>
      <c r="R106" s="115"/>
      <c r="S106" s="109"/>
      <c r="T106" s="100"/>
      <c r="U106" s="100"/>
      <c r="V106" s="100"/>
      <c r="W106" s="100"/>
      <c r="X106" s="13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5"/>
    </row>
    <row r="107" spans="1:44" ht="46.5" customHeight="1">
      <c r="A107" s="101" t="s">
        <v>62</v>
      </c>
      <c r="B107" s="244"/>
      <c r="C107" s="133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12"/>
      <c r="R107" s="115"/>
      <c r="S107" s="109"/>
      <c r="T107" s="100"/>
      <c r="U107" s="100"/>
      <c r="V107" s="100"/>
      <c r="W107" s="100"/>
      <c r="X107" s="13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5"/>
    </row>
    <row r="108" spans="1:44" ht="46.5" customHeight="1">
      <c r="A108" s="101" t="s">
        <v>63</v>
      </c>
      <c r="B108" s="244"/>
      <c r="C108" s="133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12"/>
      <c r="R108" s="115"/>
      <c r="S108" s="109"/>
      <c r="T108" s="100"/>
      <c r="U108" s="100"/>
      <c r="V108" s="100"/>
      <c r="W108" s="100"/>
      <c r="X108" s="13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5"/>
    </row>
    <row r="109" spans="1:44" ht="46.5" customHeight="1">
      <c r="A109" s="101" t="s">
        <v>66</v>
      </c>
      <c r="B109" s="244"/>
      <c r="C109" s="133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12"/>
      <c r="R109" s="115"/>
      <c r="S109" s="109"/>
      <c r="T109" s="100"/>
      <c r="U109" s="100"/>
      <c r="V109" s="100"/>
      <c r="W109" s="100"/>
      <c r="X109" s="13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5"/>
    </row>
    <row r="110" spans="1:44" ht="46.5" customHeight="1">
      <c r="A110" s="101" t="s">
        <v>67</v>
      </c>
      <c r="B110" s="245"/>
      <c r="C110" s="134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13"/>
      <c r="R110" s="116"/>
      <c r="S110" s="110"/>
      <c r="T110" s="106"/>
      <c r="U110" s="106"/>
      <c r="V110" s="106"/>
      <c r="W110" s="106"/>
      <c r="X110" s="13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7"/>
    </row>
    <row r="111" spans="1:44" ht="46.5" customHeight="1">
      <c r="A111" s="101" t="s">
        <v>53</v>
      </c>
      <c r="B111" s="246">
        <f t="shared" ref="B111" ca="1" si="12">B99+1</f>
        <v>46287</v>
      </c>
      <c r="C111" s="132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11"/>
      <c r="R111" s="114"/>
      <c r="S111" s="108"/>
      <c r="T111" s="103"/>
      <c r="U111" s="103"/>
      <c r="V111" s="103"/>
      <c r="W111" s="103"/>
      <c r="X111" s="1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4"/>
    </row>
    <row r="112" spans="1:44" ht="46.5" customHeight="1">
      <c r="A112" s="101" t="s">
        <v>55</v>
      </c>
      <c r="B112" s="247"/>
      <c r="C112" s="133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12"/>
      <c r="R112" s="115"/>
      <c r="S112" s="109"/>
      <c r="T112" s="100"/>
      <c r="U112" s="100"/>
      <c r="V112" s="100"/>
      <c r="W112" s="100"/>
      <c r="X112" s="13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5"/>
    </row>
    <row r="113" spans="1:44" ht="46.5" customHeight="1">
      <c r="A113" s="101" t="s">
        <v>56</v>
      </c>
      <c r="B113" s="247"/>
      <c r="C113" s="133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12"/>
      <c r="R113" s="115"/>
      <c r="S113" s="109"/>
      <c r="T113" s="100"/>
      <c r="U113" s="100"/>
      <c r="V113" s="100"/>
      <c r="W113" s="100"/>
      <c r="X113" s="13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5"/>
    </row>
    <row r="114" spans="1:44" ht="46.5" customHeight="1">
      <c r="A114" s="101" t="s">
        <v>57</v>
      </c>
      <c r="B114" s="247"/>
      <c r="C114" s="133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12"/>
      <c r="R114" s="115"/>
      <c r="S114" s="109"/>
      <c r="T114" s="100"/>
      <c r="U114" s="100"/>
      <c r="V114" s="100"/>
      <c r="W114" s="100"/>
      <c r="X114" s="13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5"/>
    </row>
    <row r="115" spans="1:44" ht="46.5" customHeight="1">
      <c r="A115" s="101" t="s">
        <v>58</v>
      </c>
      <c r="B115" s="247"/>
      <c r="C115" s="133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12"/>
      <c r="R115" s="115"/>
      <c r="S115" s="109"/>
      <c r="T115" s="100"/>
      <c r="U115" s="100"/>
      <c r="V115" s="100"/>
      <c r="W115" s="100"/>
      <c r="X115" s="13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5"/>
    </row>
    <row r="116" spans="1:44" ht="46.5" customHeight="1">
      <c r="A116" s="101" t="s">
        <v>59</v>
      </c>
      <c r="B116" s="247"/>
      <c r="C116" s="133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12"/>
      <c r="R116" s="115"/>
      <c r="S116" s="109"/>
      <c r="T116" s="100"/>
      <c r="U116" s="100"/>
      <c r="V116" s="100"/>
      <c r="W116" s="100"/>
      <c r="X116" s="13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5"/>
    </row>
    <row r="117" spans="1:44" ht="46.5" customHeight="1">
      <c r="A117" s="101" t="s">
        <v>60</v>
      </c>
      <c r="B117" s="244">
        <f t="shared" ref="B117" ca="1" si="13">B105+1</f>
        <v>46287</v>
      </c>
      <c r="C117" s="133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12"/>
      <c r="R117" s="115"/>
      <c r="S117" s="109"/>
      <c r="T117" s="100"/>
      <c r="U117" s="100"/>
      <c r="V117" s="100"/>
      <c r="W117" s="100"/>
      <c r="X117" s="13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5"/>
    </row>
    <row r="118" spans="1:44" ht="46.5" customHeight="1">
      <c r="A118" s="101" t="s">
        <v>61</v>
      </c>
      <c r="B118" s="244"/>
      <c r="C118" s="133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12"/>
      <c r="R118" s="115"/>
      <c r="S118" s="109"/>
      <c r="T118" s="100"/>
      <c r="U118" s="100"/>
      <c r="V118" s="100"/>
      <c r="W118" s="100"/>
      <c r="X118" s="13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5"/>
    </row>
    <row r="119" spans="1:44" ht="46.5" customHeight="1">
      <c r="A119" s="101" t="s">
        <v>62</v>
      </c>
      <c r="B119" s="244"/>
      <c r="C119" s="133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12"/>
      <c r="R119" s="115"/>
      <c r="S119" s="109"/>
      <c r="T119" s="100"/>
      <c r="U119" s="100"/>
      <c r="V119" s="100"/>
      <c r="W119" s="100"/>
      <c r="X119" s="13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5"/>
    </row>
    <row r="120" spans="1:44" ht="46.5" customHeight="1">
      <c r="A120" s="101" t="s">
        <v>63</v>
      </c>
      <c r="B120" s="244"/>
      <c r="C120" s="133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12"/>
      <c r="R120" s="115"/>
      <c r="S120" s="109"/>
      <c r="T120" s="100"/>
      <c r="U120" s="100"/>
      <c r="V120" s="100"/>
      <c r="W120" s="100"/>
      <c r="X120" s="13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5"/>
    </row>
    <row r="121" spans="1:44" ht="46.5" customHeight="1">
      <c r="A121" s="101" t="s">
        <v>66</v>
      </c>
      <c r="B121" s="244"/>
      <c r="C121" s="133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12"/>
      <c r="R121" s="115"/>
      <c r="S121" s="109"/>
      <c r="T121" s="100"/>
      <c r="U121" s="100"/>
      <c r="V121" s="100"/>
      <c r="W121" s="100"/>
      <c r="X121" s="13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5"/>
    </row>
    <row r="122" spans="1:44" ht="46.5" customHeight="1">
      <c r="A122" s="101" t="s">
        <v>67</v>
      </c>
      <c r="B122" s="245"/>
      <c r="C122" s="134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13"/>
      <c r="R122" s="116"/>
      <c r="S122" s="110"/>
      <c r="T122" s="106"/>
      <c r="U122" s="106"/>
      <c r="V122" s="106"/>
      <c r="W122" s="106"/>
      <c r="X122" s="13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7"/>
    </row>
    <row r="123" spans="1:44" ht="46.5" customHeight="1">
      <c r="A123" s="101" t="s">
        <v>53</v>
      </c>
      <c r="B123" s="246">
        <f t="shared" ref="B123" ca="1" si="14">B111+1</f>
        <v>46288</v>
      </c>
      <c r="C123" s="132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11"/>
      <c r="R123" s="114"/>
      <c r="S123" s="108"/>
      <c r="T123" s="103"/>
      <c r="U123" s="103"/>
      <c r="V123" s="103"/>
      <c r="W123" s="103"/>
      <c r="X123" s="1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4"/>
    </row>
    <row r="124" spans="1:44" ht="46.5" customHeight="1">
      <c r="A124" s="101" t="s">
        <v>55</v>
      </c>
      <c r="B124" s="247"/>
      <c r="C124" s="133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12"/>
      <c r="R124" s="115"/>
      <c r="S124" s="109"/>
      <c r="T124" s="100"/>
      <c r="U124" s="100"/>
      <c r="V124" s="100"/>
      <c r="W124" s="100"/>
      <c r="X124" s="13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5"/>
    </row>
    <row r="125" spans="1:44" ht="46.5" customHeight="1">
      <c r="A125" s="101" t="s">
        <v>56</v>
      </c>
      <c r="B125" s="247"/>
      <c r="C125" s="133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12"/>
      <c r="R125" s="115"/>
      <c r="S125" s="109"/>
      <c r="T125" s="100"/>
      <c r="U125" s="100"/>
      <c r="V125" s="100"/>
      <c r="W125" s="100"/>
      <c r="X125" s="13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5"/>
    </row>
    <row r="126" spans="1:44" ht="46.5" customHeight="1">
      <c r="A126" s="101" t="s">
        <v>57</v>
      </c>
      <c r="B126" s="247"/>
      <c r="C126" s="133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12"/>
      <c r="R126" s="115"/>
      <c r="S126" s="109"/>
      <c r="T126" s="100"/>
      <c r="U126" s="100"/>
      <c r="V126" s="100"/>
      <c r="W126" s="100"/>
      <c r="X126" s="13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5"/>
    </row>
    <row r="127" spans="1:44" ht="46.5" customHeight="1">
      <c r="A127" s="101" t="s">
        <v>58</v>
      </c>
      <c r="B127" s="247"/>
      <c r="C127" s="133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12"/>
      <c r="R127" s="115"/>
      <c r="S127" s="109"/>
      <c r="T127" s="100"/>
      <c r="U127" s="100"/>
      <c r="V127" s="100"/>
      <c r="W127" s="100"/>
      <c r="X127" s="13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5"/>
    </row>
    <row r="128" spans="1:44" ht="46.5" customHeight="1">
      <c r="A128" s="101" t="s">
        <v>59</v>
      </c>
      <c r="B128" s="247"/>
      <c r="C128" s="133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12"/>
      <c r="R128" s="115"/>
      <c r="S128" s="109"/>
      <c r="U128" s="100"/>
      <c r="V128" s="100"/>
      <c r="W128" s="100"/>
      <c r="X128" s="13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5"/>
    </row>
    <row r="129" spans="1:44" ht="46.5" customHeight="1">
      <c r="A129" s="101" t="s">
        <v>60</v>
      </c>
      <c r="B129" s="244">
        <f t="shared" ref="B129" ca="1" si="15">B117+1</f>
        <v>46288</v>
      </c>
      <c r="C129" s="133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12"/>
      <c r="R129" s="115"/>
      <c r="S129" s="109"/>
      <c r="T129" s="100"/>
      <c r="U129" s="100"/>
      <c r="V129" s="100"/>
      <c r="W129" s="100"/>
      <c r="X129" s="13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5"/>
    </row>
    <row r="130" spans="1:44" ht="46.5" customHeight="1">
      <c r="A130" s="101" t="s">
        <v>61</v>
      </c>
      <c r="B130" s="244"/>
      <c r="C130" s="133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12"/>
      <c r="R130" s="115"/>
      <c r="S130" s="109"/>
      <c r="T130" s="100"/>
      <c r="U130" s="100"/>
      <c r="V130" s="100"/>
      <c r="W130" s="100"/>
      <c r="X130" s="13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5"/>
    </row>
    <row r="131" spans="1:44" ht="46.5" customHeight="1">
      <c r="A131" s="101" t="s">
        <v>62</v>
      </c>
      <c r="B131" s="244"/>
      <c r="C131" s="133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12"/>
      <c r="R131" s="115"/>
      <c r="S131" s="109"/>
      <c r="T131" s="100"/>
      <c r="U131" s="100"/>
      <c r="V131" s="100"/>
      <c r="W131" s="100"/>
      <c r="X131" s="13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5"/>
    </row>
    <row r="132" spans="1:44" ht="46.5" customHeight="1">
      <c r="A132" s="101" t="s">
        <v>63</v>
      </c>
      <c r="B132" s="244"/>
      <c r="C132" s="133"/>
      <c r="D132" s="100"/>
      <c r="E132" s="100"/>
      <c r="F132" s="100"/>
      <c r="H132" s="100"/>
      <c r="I132" s="100"/>
      <c r="J132" s="100"/>
      <c r="K132" s="100"/>
      <c r="L132" s="100">
        <v>139</v>
      </c>
      <c r="M132" s="100"/>
      <c r="N132" s="100"/>
      <c r="O132" s="100"/>
      <c r="P132" s="100"/>
      <c r="Q132" s="112"/>
      <c r="R132" s="115"/>
      <c r="S132" s="109"/>
      <c r="T132" s="100"/>
      <c r="U132" s="100"/>
      <c r="V132" s="100"/>
      <c r="W132" s="100"/>
      <c r="X132" s="13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5"/>
    </row>
    <row r="133" spans="1:44" ht="46.5" customHeight="1">
      <c r="A133" s="101" t="s">
        <v>66</v>
      </c>
      <c r="B133" s="244"/>
      <c r="C133" s="133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12"/>
      <c r="R133" s="115"/>
      <c r="S133" s="109"/>
      <c r="T133" s="100"/>
      <c r="U133" s="100"/>
      <c r="V133" s="100"/>
      <c r="W133" s="100"/>
      <c r="X133" s="13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5"/>
    </row>
    <row r="134" spans="1:44" ht="46.5" customHeight="1">
      <c r="A134" s="101" t="s">
        <v>67</v>
      </c>
      <c r="B134" s="245"/>
      <c r="C134" s="134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13"/>
      <c r="R134" s="116"/>
      <c r="S134" s="110"/>
      <c r="T134" s="106"/>
      <c r="U134" s="106"/>
      <c r="V134" s="106"/>
      <c r="W134" s="106"/>
      <c r="X134" s="13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7"/>
    </row>
    <row r="135" spans="1:44" ht="46.5" customHeight="1">
      <c r="A135" s="101" t="s">
        <v>53</v>
      </c>
      <c r="B135" s="246">
        <f t="shared" ref="B135" ca="1" si="16">B123+1</f>
        <v>46289</v>
      </c>
      <c r="C135" s="132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11"/>
      <c r="R135" s="114"/>
      <c r="S135" s="108"/>
      <c r="T135" s="103"/>
      <c r="U135" s="103"/>
      <c r="V135" s="103"/>
      <c r="W135" s="103"/>
      <c r="X135" s="1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4"/>
    </row>
    <row r="136" spans="1:44" ht="46.5" customHeight="1">
      <c r="A136" s="101" t="s">
        <v>55</v>
      </c>
      <c r="B136" s="247"/>
      <c r="C136" s="133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12"/>
      <c r="R136" s="115"/>
      <c r="S136" s="109"/>
      <c r="T136" s="100"/>
      <c r="U136" s="100"/>
      <c r="V136" s="100"/>
      <c r="W136" s="100"/>
      <c r="X136" s="13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5"/>
    </row>
    <row r="137" spans="1:44" ht="46.5" customHeight="1">
      <c r="A137" s="101" t="s">
        <v>56</v>
      </c>
      <c r="B137" s="247"/>
      <c r="C137" s="133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12"/>
      <c r="R137" s="115"/>
      <c r="S137" s="109"/>
      <c r="T137" s="100"/>
      <c r="U137" s="100"/>
      <c r="V137" s="100"/>
      <c r="W137" s="100"/>
      <c r="X137" s="13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5"/>
    </row>
    <row r="138" spans="1:44" ht="46.5" customHeight="1">
      <c r="A138" s="101" t="s">
        <v>57</v>
      </c>
      <c r="B138" s="247"/>
      <c r="C138" s="133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12"/>
      <c r="R138" s="115"/>
      <c r="S138" s="109"/>
      <c r="T138" s="100"/>
      <c r="U138" s="100"/>
      <c r="V138" s="100"/>
      <c r="W138" s="100"/>
      <c r="X138" s="13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5"/>
    </row>
    <row r="139" spans="1:44" ht="46.5" customHeight="1">
      <c r="A139" s="101" t="s">
        <v>58</v>
      </c>
      <c r="B139" s="247"/>
      <c r="C139" s="133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12"/>
      <c r="R139" s="115"/>
      <c r="S139" s="109"/>
      <c r="T139" s="100"/>
      <c r="U139" s="100"/>
      <c r="V139" s="100"/>
      <c r="W139" s="100"/>
      <c r="X139" s="13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5"/>
    </row>
    <row r="140" spans="1:44" ht="46.5" customHeight="1">
      <c r="A140" s="101" t="s">
        <v>59</v>
      </c>
      <c r="B140" s="247"/>
      <c r="C140" s="133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12"/>
      <c r="R140" s="115"/>
      <c r="S140" s="109"/>
      <c r="T140" s="100"/>
      <c r="U140" s="100"/>
      <c r="V140" s="100"/>
      <c r="W140" s="100"/>
      <c r="X140" s="13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5"/>
    </row>
    <row r="141" spans="1:44" ht="46.5" customHeight="1">
      <c r="A141" s="101" t="s">
        <v>60</v>
      </c>
      <c r="B141" s="244">
        <f t="shared" ref="B141" ca="1" si="17">B129+1</f>
        <v>46289</v>
      </c>
      <c r="C141" s="133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12"/>
      <c r="R141" s="115"/>
      <c r="S141" s="109"/>
      <c r="T141" s="100"/>
      <c r="U141" s="100"/>
      <c r="V141" s="100"/>
      <c r="W141" s="100"/>
      <c r="X141" s="13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5"/>
    </row>
    <row r="142" spans="1:44" ht="46.5" customHeight="1">
      <c r="A142" s="101" t="s">
        <v>61</v>
      </c>
      <c r="B142" s="244"/>
      <c r="C142" s="133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12"/>
      <c r="R142" s="115"/>
      <c r="S142" s="109"/>
      <c r="T142" s="100"/>
      <c r="U142" s="100"/>
      <c r="V142" s="100"/>
      <c r="W142" s="100"/>
      <c r="X142" s="13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5"/>
    </row>
    <row r="143" spans="1:44" ht="46.5" customHeight="1">
      <c r="A143" s="101" t="s">
        <v>62</v>
      </c>
      <c r="B143" s="244"/>
      <c r="C143" s="133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12"/>
      <c r="R143" s="115"/>
      <c r="S143" s="109"/>
      <c r="T143" s="100"/>
      <c r="U143" s="100"/>
      <c r="V143" s="100"/>
      <c r="W143" s="100"/>
      <c r="X143" s="13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5"/>
    </row>
    <row r="144" spans="1:44" ht="46.5" customHeight="1">
      <c r="A144" s="101" t="s">
        <v>63</v>
      </c>
      <c r="B144" s="244"/>
      <c r="C144" s="133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12"/>
      <c r="R144" s="115"/>
      <c r="S144" s="109"/>
      <c r="T144" s="100"/>
      <c r="U144" s="100"/>
      <c r="V144" s="100"/>
      <c r="W144" s="100"/>
      <c r="X144" s="13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5"/>
    </row>
    <row r="145" spans="1:44" ht="46.5" customHeight="1">
      <c r="A145" s="101" t="s">
        <v>66</v>
      </c>
      <c r="B145" s="244"/>
      <c r="C145" s="133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12"/>
      <c r="R145" s="115"/>
      <c r="S145" s="109"/>
      <c r="T145" s="100"/>
      <c r="U145" s="100"/>
      <c r="V145" s="100"/>
      <c r="W145" s="100"/>
      <c r="X145" s="13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5"/>
    </row>
    <row r="146" spans="1:44" ht="46.5" customHeight="1">
      <c r="A146" s="101" t="s">
        <v>67</v>
      </c>
      <c r="B146" s="245"/>
      <c r="C146" s="134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13"/>
      <c r="R146" s="116"/>
      <c r="S146" s="110"/>
      <c r="T146" s="106"/>
      <c r="U146" s="106"/>
      <c r="V146" s="106"/>
      <c r="W146" s="106"/>
      <c r="X146" s="13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7"/>
    </row>
    <row r="147" spans="1:44" ht="46.5" customHeight="1">
      <c r="A147" s="101" t="s">
        <v>53</v>
      </c>
      <c r="B147" s="246">
        <f t="shared" ref="B147" ca="1" si="18">B135+1</f>
        <v>46290</v>
      </c>
      <c r="C147" s="132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11"/>
      <c r="R147" s="114"/>
      <c r="S147" s="108"/>
      <c r="T147" s="103"/>
      <c r="U147" s="103"/>
      <c r="V147" s="103"/>
      <c r="W147" s="103"/>
      <c r="X147" s="1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4"/>
    </row>
    <row r="148" spans="1:44" ht="46.5" customHeight="1">
      <c r="A148" s="101" t="s">
        <v>55</v>
      </c>
      <c r="B148" s="247"/>
      <c r="C148" s="133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12"/>
      <c r="R148" s="115"/>
      <c r="S148" s="109"/>
      <c r="T148" s="100"/>
      <c r="U148" s="100"/>
      <c r="V148" s="100"/>
      <c r="W148" s="100"/>
      <c r="X148" s="13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5"/>
    </row>
    <row r="149" spans="1:44" ht="46.5" customHeight="1">
      <c r="A149" s="101" t="s">
        <v>56</v>
      </c>
      <c r="B149" s="247"/>
      <c r="C149" s="133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12"/>
      <c r="R149" s="115"/>
      <c r="S149" s="109"/>
      <c r="T149" s="100"/>
      <c r="U149" s="100"/>
      <c r="V149" s="100"/>
      <c r="W149" s="100"/>
      <c r="X149" s="13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5"/>
    </row>
    <row r="150" spans="1:44" ht="46.5" customHeight="1">
      <c r="A150" s="101" t="s">
        <v>57</v>
      </c>
      <c r="B150" s="247"/>
      <c r="C150" s="133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12"/>
      <c r="R150" s="115"/>
      <c r="S150" s="109"/>
      <c r="T150" s="100"/>
      <c r="U150" s="100"/>
      <c r="V150" s="100"/>
      <c r="W150" s="100"/>
      <c r="X150" s="13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5"/>
    </row>
    <row r="151" spans="1:44" ht="46.5" customHeight="1">
      <c r="A151" s="101" t="s">
        <v>58</v>
      </c>
      <c r="B151" s="247"/>
      <c r="C151" s="133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12"/>
      <c r="R151" s="115"/>
      <c r="S151" s="109"/>
      <c r="T151" s="100"/>
      <c r="U151" s="100"/>
      <c r="V151" s="100"/>
      <c r="W151" s="100"/>
      <c r="X151" s="13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5"/>
    </row>
    <row r="152" spans="1:44" ht="46.5" customHeight="1">
      <c r="A152" s="101" t="s">
        <v>59</v>
      </c>
      <c r="B152" s="247"/>
      <c r="C152" s="133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12"/>
      <c r="R152" s="115"/>
      <c r="S152" s="109"/>
      <c r="T152" s="100"/>
      <c r="U152" s="100"/>
      <c r="V152" s="100"/>
      <c r="W152" s="100"/>
      <c r="X152" s="13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5"/>
    </row>
    <row r="153" spans="1:44" ht="46.5" customHeight="1">
      <c r="A153" s="101" t="s">
        <v>60</v>
      </c>
      <c r="B153" s="244">
        <f t="shared" ref="B153" ca="1" si="19">B141+1</f>
        <v>46290</v>
      </c>
      <c r="C153" s="133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12"/>
      <c r="R153" s="115"/>
      <c r="S153" s="109"/>
      <c r="T153" s="100"/>
      <c r="U153" s="100"/>
      <c r="V153" s="100"/>
      <c r="W153" s="100"/>
      <c r="X153" s="13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5"/>
    </row>
    <row r="154" spans="1:44" ht="46.5" customHeight="1">
      <c r="A154" s="101" t="s">
        <v>61</v>
      </c>
      <c r="B154" s="244"/>
      <c r="C154" s="133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12"/>
      <c r="R154" s="115"/>
      <c r="S154" s="109"/>
      <c r="T154" s="100"/>
      <c r="U154" s="100"/>
      <c r="V154" s="100"/>
      <c r="W154" s="100"/>
      <c r="X154" s="13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5"/>
    </row>
    <row r="155" spans="1:44" ht="46.5" customHeight="1">
      <c r="A155" s="101" t="s">
        <v>62</v>
      </c>
      <c r="B155" s="244"/>
      <c r="C155" s="133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12"/>
      <c r="R155" s="115"/>
      <c r="S155" s="109"/>
      <c r="T155" s="100"/>
      <c r="U155" s="100"/>
      <c r="V155" s="100"/>
      <c r="W155" s="100"/>
      <c r="X155" s="13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5"/>
    </row>
    <row r="156" spans="1:44" ht="46.5" customHeight="1">
      <c r="A156" s="101" t="s">
        <v>63</v>
      </c>
      <c r="B156" s="244"/>
      <c r="C156" s="133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12"/>
      <c r="R156" s="115"/>
      <c r="S156" s="109"/>
      <c r="T156" s="100"/>
      <c r="U156" s="100"/>
      <c r="V156" s="100"/>
      <c r="W156" s="100"/>
      <c r="X156" s="13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5"/>
    </row>
    <row r="157" spans="1:44" ht="46.5" customHeight="1">
      <c r="A157" s="101" t="s">
        <v>66</v>
      </c>
      <c r="B157" s="244"/>
      <c r="C157" s="133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12"/>
      <c r="R157" s="115"/>
      <c r="S157" s="109"/>
      <c r="T157" s="100"/>
      <c r="U157" s="100"/>
      <c r="V157" s="100"/>
      <c r="W157" s="100"/>
      <c r="X157" s="13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5"/>
    </row>
    <row r="158" spans="1:44" ht="46.5" customHeight="1">
      <c r="A158" s="101" t="s">
        <v>67</v>
      </c>
      <c r="B158" s="245"/>
      <c r="C158" s="134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13"/>
      <c r="R158" s="116"/>
      <c r="S158" s="110"/>
      <c r="T158" s="106"/>
      <c r="U158" s="106"/>
      <c r="V158" s="106"/>
      <c r="W158" s="106"/>
      <c r="X158" s="13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7"/>
    </row>
    <row r="159" spans="1:44" ht="46.5" customHeight="1">
      <c r="A159" s="101" t="s">
        <v>53</v>
      </c>
      <c r="B159" s="246">
        <f t="shared" ref="B159" ca="1" si="20">B147+1</f>
        <v>46291</v>
      </c>
      <c r="C159" s="132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11"/>
      <c r="R159" s="114"/>
      <c r="S159" s="108"/>
      <c r="T159" s="103"/>
      <c r="U159" s="103"/>
      <c r="V159" s="103"/>
      <c r="W159" s="103"/>
      <c r="X159" s="1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4"/>
    </row>
    <row r="160" spans="1:44" ht="46.5" customHeight="1">
      <c r="A160" s="101" t="s">
        <v>55</v>
      </c>
      <c r="B160" s="247"/>
      <c r="C160" s="133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12"/>
      <c r="R160" s="115"/>
      <c r="S160" s="109"/>
      <c r="T160" s="100"/>
      <c r="U160" s="100"/>
      <c r="V160" s="100"/>
      <c r="W160" s="100"/>
      <c r="X160" s="13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5"/>
    </row>
    <row r="161" spans="1:44" ht="46.5" customHeight="1">
      <c r="A161" s="101" t="s">
        <v>56</v>
      </c>
      <c r="B161" s="247"/>
      <c r="C161" s="133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12"/>
      <c r="R161" s="115"/>
      <c r="S161" s="109"/>
      <c r="T161" s="100"/>
      <c r="U161" s="100"/>
      <c r="V161" s="100"/>
      <c r="W161" s="100"/>
      <c r="X161" s="13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5"/>
    </row>
    <row r="162" spans="1:44" ht="46.5" customHeight="1">
      <c r="A162" s="101" t="s">
        <v>57</v>
      </c>
      <c r="B162" s="247"/>
      <c r="C162" s="133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12"/>
      <c r="R162" s="115"/>
      <c r="S162" s="109"/>
      <c r="T162" s="100"/>
      <c r="U162" s="100"/>
      <c r="V162" s="100"/>
      <c r="W162" s="100"/>
      <c r="X162" s="13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5"/>
    </row>
    <row r="163" spans="1:44" ht="46.5" customHeight="1">
      <c r="A163" s="101" t="s">
        <v>58</v>
      </c>
      <c r="B163" s="247"/>
      <c r="C163" s="133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12"/>
      <c r="R163" s="115"/>
      <c r="S163" s="109"/>
      <c r="T163" s="100"/>
      <c r="U163" s="100"/>
      <c r="V163" s="100"/>
      <c r="W163" s="100"/>
      <c r="X163" s="13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5"/>
    </row>
    <row r="164" spans="1:44" ht="46.5" customHeight="1">
      <c r="A164" s="101" t="s">
        <v>59</v>
      </c>
      <c r="B164" s="247"/>
      <c r="C164" s="133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12"/>
      <c r="R164" s="115"/>
      <c r="S164" s="109"/>
      <c r="T164" s="100"/>
      <c r="U164" s="100"/>
      <c r="V164" s="100"/>
      <c r="W164" s="100"/>
      <c r="X164" s="13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5"/>
    </row>
    <row r="165" spans="1:44" ht="46.5" customHeight="1">
      <c r="A165" s="101" t="s">
        <v>60</v>
      </c>
      <c r="B165" s="244">
        <f t="shared" ref="B165" ca="1" si="21">B153+1</f>
        <v>46291</v>
      </c>
      <c r="C165" s="133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12"/>
      <c r="R165" s="115"/>
      <c r="S165" s="109"/>
      <c r="T165" s="100"/>
      <c r="U165" s="100"/>
      <c r="V165" s="100"/>
      <c r="W165" s="100"/>
      <c r="X165" s="13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5"/>
    </row>
    <row r="166" spans="1:44" ht="46.5" customHeight="1">
      <c r="A166" s="101" t="s">
        <v>61</v>
      </c>
      <c r="B166" s="244"/>
      <c r="C166" s="133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12"/>
      <c r="R166" s="115"/>
      <c r="S166" s="109"/>
      <c r="T166" s="100"/>
      <c r="U166" s="100"/>
      <c r="V166" s="100"/>
      <c r="W166" s="100"/>
      <c r="X166" s="13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5"/>
    </row>
    <row r="167" spans="1:44" ht="46.5" customHeight="1">
      <c r="A167" s="101" t="s">
        <v>62</v>
      </c>
      <c r="B167" s="244"/>
      <c r="C167" s="133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12"/>
      <c r="R167" s="115"/>
      <c r="S167" s="109"/>
      <c r="T167" s="100"/>
      <c r="U167" s="100"/>
      <c r="V167" s="100"/>
      <c r="W167" s="100"/>
      <c r="X167" s="13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5"/>
    </row>
    <row r="168" spans="1:44" ht="46.5" customHeight="1">
      <c r="A168" s="101" t="s">
        <v>63</v>
      </c>
      <c r="B168" s="244"/>
      <c r="C168" s="133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12"/>
      <c r="R168" s="115"/>
      <c r="S168" s="109"/>
      <c r="T168" s="100"/>
      <c r="U168" s="100"/>
      <c r="V168" s="100"/>
      <c r="W168" s="100"/>
      <c r="X168" s="13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5"/>
    </row>
    <row r="169" spans="1:44" ht="46.5" customHeight="1">
      <c r="A169" s="101" t="s">
        <v>66</v>
      </c>
      <c r="B169" s="244"/>
      <c r="C169" s="133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12"/>
      <c r="R169" s="115"/>
      <c r="S169" s="109"/>
      <c r="T169" s="100"/>
      <c r="U169" s="100"/>
      <c r="V169" s="100"/>
      <c r="W169" s="100"/>
      <c r="X169" s="13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5"/>
    </row>
    <row r="170" spans="1:44" ht="46.5" customHeight="1">
      <c r="A170" s="101" t="s">
        <v>67</v>
      </c>
      <c r="B170" s="245"/>
      <c r="C170" s="134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13"/>
      <c r="R170" s="116"/>
      <c r="S170" s="110"/>
      <c r="T170" s="106"/>
      <c r="U170" s="106"/>
      <c r="V170" s="106"/>
      <c r="W170" s="106"/>
      <c r="X170" s="13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7"/>
    </row>
    <row r="171" spans="1:44" ht="46.5" customHeight="1">
      <c r="A171" s="101" t="s">
        <v>53</v>
      </c>
      <c r="B171" s="246">
        <f t="shared" ref="B171" ca="1" si="22">B159+1</f>
        <v>46292</v>
      </c>
      <c r="C171" s="132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11"/>
      <c r="R171" s="114"/>
      <c r="S171" s="108"/>
      <c r="T171" s="103"/>
      <c r="U171" s="103"/>
      <c r="V171" s="103"/>
      <c r="W171" s="103"/>
      <c r="X171" s="1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4"/>
    </row>
    <row r="172" spans="1:44" ht="46.5" customHeight="1">
      <c r="A172" s="101" t="s">
        <v>55</v>
      </c>
      <c r="B172" s="247"/>
      <c r="C172" s="133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12"/>
      <c r="R172" s="115"/>
      <c r="S172" s="109"/>
      <c r="T172" s="100"/>
      <c r="U172" s="100"/>
      <c r="V172" s="100"/>
      <c r="W172" s="100"/>
      <c r="X172" s="13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5"/>
    </row>
    <row r="173" spans="1:44" ht="46.5" customHeight="1">
      <c r="A173" s="101" t="s">
        <v>56</v>
      </c>
      <c r="B173" s="247"/>
      <c r="C173" s="133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12"/>
      <c r="R173" s="115"/>
      <c r="S173" s="109"/>
      <c r="T173" s="100"/>
      <c r="U173" s="100"/>
      <c r="V173" s="100"/>
      <c r="W173" s="100"/>
      <c r="X173" s="13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5"/>
    </row>
    <row r="174" spans="1:44" ht="46.5" customHeight="1">
      <c r="A174" s="101" t="s">
        <v>57</v>
      </c>
      <c r="B174" s="247"/>
      <c r="C174" s="133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12"/>
      <c r="R174" s="115"/>
      <c r="S174" s="109"/>
      <c r="T174" s="100"/>
      <c r="U174" s="100"/>
      <c r="V174" s="100"/>
      <c r="W174" s="100"/>
      <c r="X174" s="13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5"/>
    </row>
    <row r="175" spans="1:44" ht="46.5" customHeight="1">
      <c r="A175" s="101" t="s">
        <v>58</v>
      </c>
      <c r="B175" s="247"/>
      <c r="C175" s="133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12"/>
      <c r="R175" s="115"/>
      <c r="S175" s="109"/>
      <c r="T175" s="100"/>
      <c r="U175" s="100"/>
      <c r="V175" s="100"/>
      <c r="W175" s="100"/>
      <c r="X175" s="13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5"/>
    </row>
    <row r="176" spans="1:44" ht="46.5" customHeight="1">
      <c r="A176" s="101" t="s">
        <v>59</v>
      </c>
      <c r="B176" s="247"/>
      <c r="C176" s="133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12"/>
      <c r="R176" s="115"/>
      <c r="S176" s="109"/>
      <c r="T176" s="100"/>
      <c r="U176" s="100"/>
      <c r="V176" s="100"/>
      <c r="W176" s="100"/>
      <c r="X176" s="13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5"/>
    </row>
    <row r="177" spans="1:44" ht="46.5" customHeight="1">
      <c r="A177" s="101" t="s">
        <v>60</v>
      </c>
      <c r="B177" s="244">
        <f t="shared" ref="B177" ca="1" si="23">B165+1</f>
        <v>46292</v>
      </c>
      <c r="C177" s="133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12"/>
      <c r="R177" s="115"/>
      <c r="S177" s="109"/>
      <c r="T177" s="100"/>
      <c r="U177" s="100"/>
      <c r="V177" s="100"/>
      <c r="W177" s="100"/>
      <c r="X177" s="13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5"/>
    </row>
    <row r="178" spans="1:44" ht="46.5" customHeight="1">
      <c r="A178" s="101" t="s">
        <v>61</v>
      </c>
      <c r="B178" s="244"/>
      <c r="C178" s="133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12"/>
      <c r="R178" s="115"/>
      <c r="S178" s="109"/>
      <c r="T178" s="100"/>
      <c r="U178" s="100"/>
      <c r="V178" s="100"/>
      <c r="W178" s="100"/>
      <c r="X178" s="13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5"/>
    </row>
    <row r="179" spans="1:44" ht="46.5" customHeight="1">
      <c r="A179" s="101" t="s">
        <v>62</v>
      </c>
      <c r="B179" s="244"/>
      <c r="C179" s="133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12"/>
      <c r="R179" s="115"/>
      <c r="S179" s="109"/>
      <c r="T179" s="100"/>
      <c r="U179" s="100"/>
      <c r="V179" s="100"/>
      <c r="W179" s="100"/>
      <c r="X179" s="13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5"/>
    </row>
    <row r="180" spans="1:44" ht="46.5" customHeight="1">
      <c r="A180" s="101" t="s">
        <v>63</v>
      </c>
      <c r="B180" s="244"/>
      <c r="C180" s="133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12"/>
      <c r="R180" s="115"/>
      <c r="S180" s="109"/>
      <c r="T180" s="100"/>
      <c r="U180" s="100"/>
      <c r="V180" s="100"/>
      <c r="W180" s="100"/>
      <c r="X180" s="13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5"/>
    </row>
    <row r="181" spans="1:44" ht="46.5" customHeight="1">
      <c r="A181" s="101" t="s">
        <v>66</v>
      </c>
      <c r="B181" s="244"/>
      <c r="C181" s="133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12"/>
      <c r="R181" s="115"/>
      <c r="S181" s="109"/>
      <c r="T181" s="100"/>
      <c r="U181" s="100"/>
      <c r="V181" s="100"/>
      <c r="W181" s="100"/>
      <c r="X181" s="13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5"/>
    </row>
    <row r="182" spans="1:44" ht="46.5" customHeight="1">
      <c r="A182" s="101" t="s">
        <v>67</v>
      </c>
      <c r="B182" s="245"/>
      <c r="C182" s="134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13"/>
      <c r="R182" s="116"/>
      <c r="S182" s="110"/>
      <c r="T182" s="106"/>
      <c r="U182" s="106"/>
      <c r="V182" s="106"/>
      <c r="W182" s="106"/>
      <c r="X182" s="13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7"/>
    </row>
    <row r="183" spans="1:44" ht="46.5" customHeight="1">
      <c r="A183" s="101" t="s">
        <v>53</v>
      </c>
      <c r="B183" s="246">
        <f t="shared" ref="B183" ca="1" si="24">B171+1</f>
        <v>46293</v>
      </c>
      <c r="C183" s="132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11"/>
      <c r="R183" s="114"/>
      <c r="S183" s="108"/>
      <c r="T183" s="103"/>
      <c r="U183" s="103"/>
      <c r="V183" s="103"/>
      <c r="W183" s="103"/>
      <c r="X183" s="1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4"/>
    </row>
    <row r="184" spans="1:44" ht="46.5" customHeight="1">
      <c r="A184" s="101" t="s">
        <v>55</v>
      </c>
      <c r="B184" s="247"/>
      <c r="C184" s="133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12"/>
      <c r="R184" s="115"/>
      <c r="S184" s="109"/>
      <c r="T184" s="100"/>
      <c r="U184" s="100"/>
      <c r="V184" s="100"/>
      <c r="W184" s="100"/>
      <c r="X184" s="13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5"/>
    </row>
    <row r="185" spans="1:44" ht="46.5" customHeight="1">
      <c r="A185" s="101" t="s">
        <v>56</v>
      </c>
      <c r="B185" s="247"/>
      <c r="C185" s="133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12"/>
      <c r="R185" s="115"/>
      <c r="S185" s="109"/>
      <c r="T185" s="100"/>
      <c r="U185" s="100"/>
      <c r="V185" s="100"/>
      <c r="W185" s="100"/>
      <c r="X185" s="13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5"/>
    </row>
    <row r="186" spans="1:44" ht="46.5" customHeight="1">
      <c r="A186" s="101" t="s">
        <v>57</v>
      </c>
      <c r="B186" s="247"/>
      <c r="C186" s="133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12"/>
      <c r="R186" s="115"/>
      <c r="S186" s="109"/>
      <c r="T186" s="100"/>
      <c r="U186" s="100"/>
      <c r="V186" s="100"/>
      <c r="W186" s="100"/>
      <c r="X186" s="13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5"/>
    </row>
    <row r="187" spans="1:44" ht="46.5" customHeight="1">
      <c r="A187" s="101" t="s">
        <v>58</v>
      </c>
      <c r="B187" s="247"/>
      <c r="C187" s="133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12"/>
      <c r="R187" s="115"/>
      <c r="S187" s="109"/>
      <c r="T187" s="100"/>
      <c r="U187" s="100"/>
      <c r="V187" s="100"/>
      <c r="W187" s="100"/>
      <c r="X187" s="13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5"/>
    </row>
    <row r="188" spans="1:44" ht="46.5" customHeight="1">
      <c r="A188" s="101" t="s">
        <v>59</v>
      </c>
      <c r="B188" s="247"/>
      <c r="C188" s="133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12"/>
      <c r="R188" s="115"/>
      <c r="S188" s="109"/>
      <c r="T188" s="100"/>
      <c r="U188" s="100"/>
      <c r="V188" s="100"/>
      <c r="W188" s="100"/>
      <c r="X188" s="13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5"/>
    </row>
    <row r="189" spans="1:44" ht="46.5" customHeight="1">
      <c r="A189" s="101" t="s">
        <v>60</v>
      </c>
      <c r="B189" s="244">
        <f t="shared" ref="B189" ca="1" si="25">B177+1</f>
        <v>46293</v>
      </c>
      <c r="C189" s="133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12"/>
      <c r="R189" s="115"/>
      <c r="S189" s="109"/>
      <c r="T189" s="100"/>
      <c r="U189" s="100"/>
      <c r="V189" s="100"/>
      <c r="W189" s="100"/>
      <c r="X189" s="13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5"/>
    </row>
    <row r="190" spans="1:44" ht="46.5" customHeight="1">
      <c r="A190" s="101" t="s">
        <v>61</v>
      </c>
      <c r="B190" s="244"/>
      <c r="C190" s="133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12"/>
      <c r="R190" s="115"/>
      <c r="S190" s="109"/>
      <c r="T190" s="100"/>
      <c r="U190" s="100"/>
      <c r="V190" s="100"/>
      <c r="W190" s="100"/>
      <c r="X190" s="13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5"/>
    </row>
    <row r="191" spans="1:44" ht="46.5" customHeight="1">
      <c r="A191" s="101" t="s">
        <v>62</v>
      </c>
      <c r="B191" s="244"/>
      <c r="C191" s="133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12"/>
      <c r="R191" s="115"/>
      <c r="S191" s="109"/>
      <c r="T191" s="100"/>
      <c r="U191" s="100"/>
      <c r="V191" s="100"/>
      <c r="W191" s="100"/>
      <c r="X191" s="13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5"/>
    </row>
    <row r="192" spans="1:44" ht="46.5" customHeight="1">
      <c r="A192" s="101" t="s">
        <v>63</v>
      </c>
      <c r="B192" s="244"/>
      <c r="C192" s="133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12"/>
      <c r="R192" s="115"/>
      <c r="S192" s="109"/>
      <c r="T192" s="100"/>
      <c r="U192" s="100"/>
      <c r="V192" s="100"/>
      <c r="W192" s="100"/>
      <c r="X192" s="13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5"/>
    </row>
    <row r="193" spans="1:44" ht="46.5" customHeight="1">
      <c r="A193" s="101" t="s">
        <v>66</v>
      </c>
      <c r="B193" s="244"/>
      <c r="C193" s="133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12"/>
      <c r="R193" s="115"/>
      <c r="S193" s="109"/>
      <c r="T193" s="100"/>
      <c r="U193" s="100"/>
      <c r="V193" s="100"/>
      <c r="W193" s="100"/>
      <c r="X193" s="13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5"/>
    </row>
    <row r="194" spans="1:44" ht="46.5" customHeight="1">
      <c r="A194" s="101" t="s">
        <v>67</v>
      </c>
      <c r="B194" s="245"/>
      <c r="C194" s="134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13"/>
      <c r="R194" s="116"/>
      <c r="S194" s="110"/>
      <c r="T194" s="106"/>
      <c r="U194" s="106"/>
      <c r="V194" s="106"/>
      <c r="W194" s="106"/>
      <c r="X194" s="13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7"/>
    </row>
    <row r="195" spans="1:44" ht="46.5" customHeight="1">
      <c r="A195" s="101" t="s">
        <v>53</v>
      </c>
      <c r="B195" s="246">
        <f t="shared" ref="B195" ca="1" si="26">B183+1</f>
        <v>46294</v>
      </c>
      <c r="C195" s="132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11"/>
      <c r="R195" s="114"/>
      <c r="S195" s="108"/>
      <c r="T195" s="103"/>
      <c r="U195" s="103"/>
      <c r="V195" s="103"/>
      <c r="W195" s="103"/>
      <c r="X195" s="1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4"/>
    </row>
    <row r="196" spans="1:44" ht="46.5" customHeight="1">
      <c r="A196" s="101" t="s">
        <v>55</v>
      </c>
      <c r="B196" s="247"/>
      <c r="C196" s="133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12"/>
      <c r="R196" s="115"/>
      <c r="S196" s="109"/>
      <c r="T196" s="100"/>
      <c r="U196" s="100"/>
      <c r="V196" s="100"/>
      <c r="W196" s="100"/>
      <c r="X196" s="13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5"/>
    </row>
    <row r="197" spans="1:44" ht="46.5" customHeight="1">
      <c r="A197" s="101" t="s">
        <v>56</v>
      </c>
      <c r="B197" s="247"/>
      <c r="C197" s="133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12"/>
      <c r="R197" s="115"/>
      <c r="S197" s="109"/>
      <c r="T197" s="100"/>
      <c r="U197" s="100"/>
      <c r="V197" s="100"/>
      <c r="W197" s="100"/>
      <c r="X197" s="13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5"/>
    </row>
    <row r="198" spans="1:44" ht="46.5" customHeight="1">
      <c r="A198" s="101" t="s">
        <v>57</v>
      </c>
      <c r="B198" s="247"/>
      <c r="C198" s="133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12"/>
      <c r="R198" s="115"/>
      <c r="S198" s="109"/>
      <c r="T198" s="100"/>
      <c r="U198" s="100"/>
      <c r="V198" s="100"/>
      <c r="W198" s="100"/>
      <c r="X198" s="13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5"/>
    </row>
    <row r="199" spans="1:44" ht="46.5" customHeight="1">
      <c r="A199" s="101" t="s">
        <v>58</v>
      </c>
      <c r="B199" s="247"/>
      <c r="C199" s="133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12"/>
      <c r="R199" s="115"/>
      <c r="S199" s="109"/>
      <c r="T199" s="100"/>
      <c r="U199" s="100"/>
      <c r="V199" s="100"/>
      <c r="W199" s="100"/>
      <c r="X199" s="13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5"/>
    </row>
    <row r="200" spans="1:44" ht="46.5" customHeight="1">
      <c r="A200" s="101" t="s">
        <v>59</v>
      </c>
      <c r="B200" s="247"/>
      <c r="C200" s="133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12"/>
      <c r="R200" s="115"/>
      <c r="S200" s="109"/>
      <c r="T200" s="100"/>
      <c r="U200" s="100"/>
      <c r="V200" s="100"/>
      <c r="W200" s="100"/>
      <c r="X200" s="13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5"/>
    </row>
    <row r="201" spans="1:44" ht="46.5" customHeight="1">
      <c r="A201" s="101" t="s">
        <v>60</v>
      </c>
      <c r="B201" s="244">
        <f t="shared" ref="B201" ca="1" si="27">B189+1</f>
        <v>46294</v>
      </c>
      <c r="C201" s="133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12"/>
      <c r="R201" s="115"/>
      <c r="S201" s="109"/>
      <c r="T201" s="100"/>
      <c r="U201" s="100"/>
      <c r="V201" s="100"/>
      <c r="W201" s="100"/>
      <c r="X201" s="13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5"/>
    </row>
    <row r="202" spans="1:44" ht="46.5" customHeight="1">
      <c r="A202" s="101" t="s">
        <v>61</v>
      </c>
      <c r="B202" s="244"/>
      <c r="C202" s="133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12"/>
      <c r="R202" s="115"/>
      <c r="S202" s="109"/>
      <c r="T202" s="100"/>
      <c r="U202" s="100"/>
      <c r="V202" s="100"/>
      <c r="W202" s="100"/>
      <c r="X202" s="13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5"/>
    </row>
    <row r="203" spans="1:44" ht="46.5" customHeight="1">
      <c r="A203" s="101" t="s">
        <v>62</v>
      </c>
      <c r="B203" s="244"/>
      <c r="C203" s="133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12"/>
      <c r="R203" s="115"/>
      <c r="S203" s="109"/>
      <c r="T203" s="100"/>
      <c r="U203" s="100"/>
      <c r="V203" s="100"/>
      <c r="W203" s="100"/>
      <c r="X203" s="13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5"/>
    </row>
    <row r="204" spans="1:44" ht="46.5" customHeight="1">
      <c r="A204" s="101" t="s">
        <v>63</v>
      </c>
      <c r="B204" s="244"/>
      <c r="C204" s="133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12"/>
      <c r="R204" s="115"/>
      <c r="S204" s="109"/>
      <c r="T204" s="100"/>
      <c r="U204" s="100"/>
      <c r="V204" s="100"/>
      <c r="W204" s="100"/>
      <c r="X204" s="13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5"/>
    </row>
    <row r="205" spans="1:44" ht="46.5" customHeight="1">
      <c r="A205" s="101" t="s">
        <v>66</v>
      </c>
      <c r="B205" s="244"/>
      <c r="C205" s="133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12"/>
      <c r="R205" s="115"/>
      <c r="S205" s="109"/>
      <c r="T205" s="100"/>
      <c r="U205" s="100"/>
      <c r="V205" s="100"/>
      <c r="W205" s="100"/>
      <c r="X205" s="13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5"/>
    </row>
    <row r="206" spans="1:44" ht="46.5" customHeight="1">
      <c r="A206" s="101" t="s">
        <v>67</v>
      </c>
      <c r="B206" s="245"/>
      <c r="C206" s="134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13"/>
      <c r="R206" s="116"/>
      <c r="S206" s="110"/>
      <c r="T206" s="106"/>
      <c r="U206" s="106"/>
      <c r="V206" s="106"/>
      <c r="W206" s="106"/>
      <c r="X206" s="13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7"/>
    </row>
    <row r="207" spans="1:44" ht="46.5" customHeight="1">
      <c r="A207" s="101" t="s">
        <v>53</v>
      </c>
      <c r="B207" s="246">
        <f t="shared" ref="B207" ca="1" si="28">B195+1</f>
        <v>46295</v>
      </c>
      <c r="C207" s="132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11"/>
      <c r="R207" s="114"/>
      <c r="S207" s="108"/>
      <c r="T207" s="103"/>
      <c r="U207" s="103"/>
      <c r="V207" s="103"/>
      <c r="W207" s="103"/>
      <c r="X207" s="1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4"/>
    </row>
    <row r="208" spans="1:44" ht="46.5" customHeight="1">
      <c r="A208" s="101" t="s">
        <v>55</v>
      </c>
      <c r="B208" s="247"/>
      <c r="C208" s="133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12"/>
      <c r="R208" s="115"/>
      <c r="S208" s="109"/>
      <c r="T208" s="100"/>
      <c r="U208" s="100"/>
      <c r="V208" s="100"/>
      <c r="W208" s="100"/>
      <c r="X208" s="13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5"/>
    </row>
    <row r="209" spans="1:44" ht="46.5" customHeight="1">
      <c r="A209" s="101" t="s">
        <v>56</v>
      </c>
      <c r="B209" s="247"/>
      <c r="C209" s="133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12"/>
      <c r="R209" s="115"/>
      <c r="S209" s="109"/>
      <c r="T209" s="100"/>
      <c r="U209" s="100"/>
      <c r="V209" s="100"/>
      <c r="W209" s="100"/>
      <c r="X209" s="13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5"/>
    </row>
    <row r="210" spans="1:44" ht="46.5" customHeight="1">
      <c r="A210" s="101" t="s">
        <v>57</v>
      </c>
      <c r="B210" s="247"/>
      <c r="C210" s="133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12"/>
      <c r="R210" s="115"/>
      <c r="S210" s="109"/>
      <c r="T210" s="100"/>
      <c r="U210" s="100"/>
      <c r="V210" s="100"/>
      <c r="W210" s="100"/>
      <c r="X210" s="13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5"/>
    </row>
    <row r="211" spans="1:44" ht="46.5" customHeight="1">
      <c r="A211" s="101" t="s">
        <v>58</v>
      </c>
      <c r="B211" s="247"/>
      <c r="C211" s="133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12"/>
      <c r="R211" s="115"/>
      <c r="S211" s="109"/>
      <c r="T211" s="100"/>
      <c r="U211" s="100"/>
      <c r="V211" s="100"/>
      <c r="W211" s="100"/>
      <c r="X211" s="13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5"/>
    </row>
    <row r="212" spans="1:44" ht="46.5" customHeight="1">
      <c r="A212" s="101" t="s">
        <v>59</v>
      </c>
      <c r="B212" s="247"/>
      <c r="C212" s="133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12"/>
      <c r="R212" s="115"/>
      <c r="S212" s="109"/>
      <c r="T212" s="100"/>
      <c r="U212" s="100"/>
      <c r="V212" s="100"/>
      <c r="W212" s="100"/>
      <c r="X212" s="13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5"/>
    </row>
    <row r="213" spans="1:44" ht="46.5" customHeight="1">
      <c r="A213" s="101" t="s">
        <v>60</v>
      </c>
      <c r="B213" s="244">
        <f t="shared" ref="B213" ca="1" si="29">B201+1</f>
        <v>46295</v>
      </c>
      <c r="C213" s="133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12"/>
      <c r="R213" s="115"/>
      <c r="S213" s="109"/>
      <c r="T213" s="100"/>
      <c r="U213" s="100"/>
      <c r="V213" s="100"/>
      <c r="W213" s="100"/>
      <c r="X213" s="13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5"/>
    </row>
    <row r="214" spans="1:44" ht="46.5" customHeight="1">
      <c r="A214" s="101" t="s">
        <v>61</v>
      </c>
      <c r="B214" s="244"/>
      <c r="C214" s="133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12"/>
      <c r="R214" s="115"/>
      <c r="S214" s="109"/>
      <c r="T214" s="100"/>
      <c r="U214" s="100"/>
      <c r="V214" s="100"/>
      <c r="W214" s="100"/>
      <c r="X214" s="13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5"/>
    </row>
    <row r="215" spans="1:44" ht="46.5" customHeight="1">
      <c r="A215" s="101" t="s">
        <v>62</v>
      </c>
      <c r="B215" s="244"/>
      <c r="C215" s="133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12"/>
      <c r="R215" s="115"/>
      <c r="S215" s="109"/>
      <c r="T215" s="100"/>
      <c r="U215" s="100"/>
      <c r="V215" s="100"/>
      <c r="W215" s="100"/>
      <c r="X215" s="13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5"/>
    </row>
    <row r="216" spans="1:44" ht="46.5" customHeight="1">
      <c r="A216" s="101" t="s">
        <v>63</v>
      </c>
      <c r="B216" s="244"/>
      <c r="C216" s="133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12"/>
      <c r="R216" s="115"/>
      <c r="S216" s="109"/>
      <c r="T216" s="100"/>
      <c r="U216" s="100"/>
      <c r="V216" s="100"/>
      <c r="W216" s="100"/>
      <c r="X216" s="13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5"/>
    </row>
    <row r="217" spans="1:44" ht="46.5" customHeight="1">
      <c r="A217" s="101" t="s">
        <v>66</v>
      </c>
      <c r="B217" s="244"/>
      <c r="C217" s="133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12"/>
      <c r="R217" s="115"/>
      <c r="S217" s="109"/>
      <c r="T217" s="100"/>
      <c r="U217" s="100"/>
      <c r="V217" s="100"/>
      <c r="W217" s="100"/>
      <c r="X217" s="13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5"/>
    </row>
    <row r="218" spans="1:44" ht="46.5" customHeight="1">
      <c r="A218" s="101" t="s">
        <v>67</v>
      </c>
      <c r="B218" s="245"/>
      <c r="C218" s="134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13"/>
      <c r="R218" s="116"/>
      <c r="S218" s="110"/>
      <c r="T218" s="106"/>
      <c r="U218" s="106"/>
      <c r="V218" s="106"/>
      <c r="W218" s="106"/>
      <c r="X218" s="13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7"/>
    </row>
    <row r="219" spans="1:44" ht="46.5" customHeight="1">
      <c r="A219" s="101" t="s">
        <v>53</v>
      </c>
      <c r="B219" s="246">
        <f t="shared" ref="B219" ca="1" si="30">B207+1</f>
        <v>46296</v>
      </c>
      <c r="C219" s="132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11"/>
      <c r="R219" s="114"/>
      <c r="S219" s="108"/>
      <c r="T219" s="103"/>
      <c r="U219" s="103"/>
      <c r="V219" s="103"/>
      <c r="W219" s="103"/>
      <c r="X219" s="1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4"/>
    </row>
    <row r="220" spans="1:44" ht="46.5" customHeight="1">
      <c r="A220" s="101" t="s">
        <v>55</v>
      </c>
      <c r="B220" s="247"/>
      <c r="C220" s="133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12"/>
      <c r="R220" s="115"/>
      <c r="S220" s="109"/>
      <c r="T220" s="100"/>
      <c r="U220" s="100"/>
      <c r="V220" s="100"/>
      <c r="W220" s="100"/>
      <c r="X220" s="13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5"/>
    </row>
    <row r="221" spans="1:44" ht="46.5" customHeight="1">
      <c r="A221" s="101" t="s">
        <v>56</v>
      </c>
      <c r="B221" s="247"/>
      <c r="C221" s="133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12"/>
      <c r="R221" s="115"/>
      <c r="S221" s="109"/>
      <c r="T221" s="100"/>
      <c r="U221" s="100"/>
      <c r="V221" s="100"/>
      <c r="W221" s="100"/>
      <c r="X221" s="13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5"/>
    </row>
    <row r="222" spans="1:44" ht="46.5" customHeight="1">
      <c r="A222" s="101" t="s">
        <v>57</v>
      </c>
      <c r="B222" s="247"/>
      <c r="C222" s="133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12"/>
      <c r="R222" s="115"/>
      <c r="S222" s="109"/>
      <c r="T222" s="100"/>
      <c r="U222" s="100"/>
      <c r="V222" s="100"/>
      <c r="W222" s="100"/>
      <c r="X222" s="13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5"/>
    </row>
    <row r="223" spans="1:44" ht="46.5" customHeight="1">
      <c r="A223" s="101" t="s">
        <v>58</v>
      </c>
      <c r="B223" s="247"/>
      <c r="C223" s="133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12"/>
      <c r="R223" s="115"/>
      <c r="S223" s="109"/>
      <c r="T223" s="100"/>
      <c r="U223" s="100"/>
      <c r="V223" s="100"/>
      <c r="W223" s="100"/>
      <c r="X223" s="13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5"/>
    </row>
    <row r="224" spans="1:44" ht="46.5" customHeight="1">
      <c r="A224" s="101" t="s">
        <v>59</v>
      </c>
      <c r="B224" s="247"/>
      <c r="C224" s="133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12"/>
      <c r="R224" s="115"/>
      <c r="S224" s="109"/>
      <c r="T224" s="100"/>
      <c r="U224" s="100"/>
      <c r="V224" s="100"/>
      <c r="W224" s="100"/>
      <c r="X224" s="13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5"/>
    </row>
    <row r="225" spans="1:44" ht="46.5" customHeight="1">
      <c r="A225" s="101" t="s">
        <v>60</v>
      </c>
      <c r="B225" s="244">
        <f t="shared" ref="B225" ca="1" si="31">B213+1</f>
        <v>46296</v>
      </c>
      <c r="C225" s="133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12"/>
      <c r="R225" s="115"/>
      <c r="S225" s="109"/>
      <c r="T225" s="100"/>
      <c r="U225" s="100"/>
      <c r="V225" s="100"/>
      <c r="W225" s="100"/>
      <c r="X225" s="13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5"/>
    </row>
    <row r="226" spans="1:44" ht="46.5" customHeight="1">
      <c r="A226" s="101" t="s">
        <v>61</v>
      </c>
      <c r="B226" s="244"/>
      <c r="C226" s="133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12"/>
      <c r="R226" s="115"/>
      <c r="S226" s="109"/>
      <c r="T226" s="100"/>
      <c r="U226" s="100"/>
      <c r="V226" s="100"/>
      <c r="W226" s="100"/>
      <c r="X226" s="13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5"/>
    </row>
    <row r="227" spans="1:44" ht="46.5" customHeight="1">
      <c r="A227" s="101" t="s">
        <v>62</v>
      </c>
      <c r="B227" s="244"/>
      <c r="C227" s="133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12"/>
      <c r="R227" s="115"/>
      <c r="S227" s="109"/>
      <c r="T227" s="100"/>
      <c r="U227" s="100"/>
      <c r="V227" s="100"/>
      <c r="W227" s="100"/>
      <c r="X227" s="13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5"/>
    </row>
    <row r="228" spans="1:44" ht="46.5" customHeight="1">
      <c r="A228" s="101" t="s">
        <v>63</v>
      </c>
      <c r="B228" s="244"/>
      <c r="C228" s="133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12"/>
      <c r="R228" s="115"/>
      <c r="S228" s="109"/>
      <c r="T228" s="100"/>
      <c r="U228" s="100"/>
      <c r="V228" s="100"/>
      <c r="W228" s="100"/>
      <c r="X228" s="13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5"/>
    </row>
    <row r="229" spans="1:44" ht="46.5" customHeight="1">
      <c r="A229" s="101" t="s">
        <v>66</v>
      </c>
      <c r="B229" s="244"/>
      <c r="C229" s="133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12"/>
      <c r="R229" s="115"/>
      <c r="S229" s="109"/>
      <c r="T229" s="100"/>
      <c r="U229" s="100"/>
      <c r="V229" s="100"/>
      <c r="W229" s="100"/>
      <c r="X229" s="13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5"/>
    </row>
    <row r="230" spans="1:44" ht="46.5" customHeight="1">
      <c r="A230" s="117" t="s">
        <v>67</v>
      </c>
      <c r="B230" s="256"/>
      <c r="C230" s="135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20"/>
      <c r="R230" s="121"/>
      <c r="S230" s="118"/>
      <c r="T230" s="119"/>
      <c r="U230" s="119"/>
      <c r="V230" s="119"/>
      <c r="W230" s="119"/>
      <c r="X230" s="13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22"/>
    </row>
    <row r="231" spans="1:44" ht="46.5" customHeight="1">
      <c r="A231" s="126" t="s">
        <v>53</v>
      </c>
      <c r="B231" s="246">
        <f t="shared" ref="B231" ca="1" si="32">B219+1</f>
        <v>46297</v>
      </c>
      <c r="C231" s="132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11"/>
      <c r="R231" s="114"/>
      <c r="S231" s="108"/>
      <c r="T231" s="103"/>
      <c r="U231" s="103"/>
      <c r="V231" s="103"/>
      <c r="W231" s="103"/>
      <c r="X231" s="127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4"/>
    </row>
    <row r="232" spans="1:44" ht="46.5" customHeight="1">
      <c r="A232" s="126" t="s">
        <v>55</v>
      </c>
      <c r="B232" s="247"/>
      <c r="C232" s="133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12"/>
      <c r="R232" s="115"/>
      <c r="S232" s="109"/>
      <c r="T232" s="100"/>
      <c r="U232" s="100"/>
      <c r="V232" s="100"/>
      <c r="W232" s="100"/>
      <c r="X232" s="13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5"/>
    </row>
    <row r="233" spans="1:44" ht="46.5" customHeight="1">
      <c r="A233" s="126" t="s">
        <v>56</v>
      </c>
      <c r="B233" s="247"/>
      <c r="C233" s="133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12"/>
      <c r="R233" s="115"/>
      <c r="S233" s="109"/>
      <c r="T233" s="100"/>
      <c r="U233" s="100"/>
      <c r="V233" s="100"/>
      <c r="W233" s="100"/>
      <c r="X233" s="13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5"/>
    </row>
    <row r="234" spans="1:44" ht="46.5" customHeight="1">
      <c r="A234" s="126" t="s">
        <v>57</v>
      </c>
      <c r="B234" s="247"/>
      <c r="C234" s="133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12"/>
      <c r="R234" s="115"/>
      <c r="S234" s="109"/>
      <c r="T234" s="100"/>
      <c r="U234" s="100"/>
      <c r="V234" s="100"/>
      <c r="W234" s="100"/>
      <c r="X234" s="13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5"/>
    </row>
    <row r="235" spans="1:44" ht="46.5" customHeight="1">
      <c r="A235" s="126" t="s">
        <v>58</v>
      </c>
      <c r="B235" s="247"/>
      <c r="C235" s="133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12"/>
      <c r="R235" s="115"/>
      <c r="S235" s="109"/>
      <c r="T235" s="100"/>
      <c r="U235" s="100"/>
      <c r="V235" s="100"/>
      <c r="W235" s="100"/>
      <c r="X235" s="13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5"/>
    </row>
    <row r="236" spans="1:44" ht="46.5" customHeight="1">
      <c r="A236" s="126" t="s">
        <v>59</v>
      </c>
      <c r="B236" s="247"/>
      <c r="C236" s="133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12"/>
      <c r="R236" s="115"/>
      <c r="S236" s="109"/>
      <c r="T236" s="100"/>
      <c r="U236" s="100"/>
      <c r="V236" s="100"/>
      <c r="W236" s="100"/>
      <c r="X236" s="13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5"/>
    </row>
    <row r="237" spans="1:44" ht="46.5" customHeight="1">
      <c r="A237" s="126" t="s">
        <v>60</v>
      </c>
      <c r="B237" s="244">
        <f t="shared" ref="B237" ca="1" si="33">B225+1</f>
        <v>46297</v>
      </c>
      <c r="C237" s="133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12"/>
      <c r="R237" s="115"/>
      <c r="S237" s="109"/>
      <c r="T237" s="100"/>
      <c r="U237" s="100"/>
      <c r="V237" s="100"/>
      <c r="W237" s="100"/>
      <c r="X237" s="13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5"/>
    </row>
    <row r="238" spans="1:44" ht="46.5" customHeight="1">
      <c r="A238" s="126" t="s">
        <v>61</v>
      </c>
      <c r="B238" s="244"/>
      <c r="C238" s="133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12"/>
      <c r="R238" s="115"/>
      <c r="S238" s="109"/>
      <c r="T238" s="100"/>
      <c r="U238" s="100"/>
      <c r="V238" s="100"/>
      <c r="W238" s="100"/>
      <c r="X238" s="13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5"/>
    </row>
    <row r="239" spans="1:44" ht="46.5" customHeight="1">
      <c r="A239" s="126" t="s">
        <v>62</v>
      </c>
      <c r="B239" s="244"/>
      <c r="C239" s="133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12"/>
      <c r="R239" s="115"/>
      <c r="S239" s="109"/>
      <c r="T239" s="100"/>
      <c r="U239" s="100"/>
      <c r="V239" s="100"/>
      <c r="W239" s="100"/>
      <c r="X239" s="13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5"/>
    </row>
    <row r="240" spans="1:44" ht="46.5" customHeight="1">
      <c r="A240" s="126" t="s">
        <v>63</v>
      </c>
      <c r="B240" s="244"/>
      <c r="C240" s="133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12"/>
      <c r="R240" s="115"/>
      <c r="S240" s="109"/>
      <c r="T240" s="100"/>
      <c r="U240" s="100"/>
      <c r="V240" s="100"/>
      <c r="W240" s="100"/>
      <c r="X240" s="13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5"/>
    </row>
    <row r="241" spans="1:44" ht="46.5" customHeight="1">
      <c r="A241" s="126" t="s">
        <v>66</v>
      </c>
      <c r="B241" s="244"/>
      <c r="C241" s="133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12"/>
      <c r="R241" s="115"/>
      <c r="S241" s="109"/>
      <c r="T241" s="100"/>
      <c r="U241" s="100"/>
      <c r="V241" s="100"/>
      <c r="W241" s="100"/>
      <c r="X241" s="13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5"/>
    </row>
    <row r="242" spans="1:44" ht="46.5" customHeight="1">
      <c r="A242" s="126" t="s">
        <v>67</v>
      </c>
      <c r="B242" s="245"/>
      <c r="C242" s="134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13"/>
      <c r="R242" s="116"/>
      <c r="S242" s="110"/>
      <c r="T242" s="106"/>
      <c r="U242" s="106"/>
      <c r="V242" s="106"/>
      <c r="W242" s="106"/>
      <c r="X242" s="128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7"/>
    </row>
    <row r="243" spans="1:44" ht="46.5" customHeight="1">
      <c r="A243" s="123"/>
      <c r="B243" s="258"/>
      <c r="R243" s="124"/>
      <c r="X243" s="125"/>
    </row>
    <row r="244" spans="1:44" ht="46.5" customHeight="1">
      <c r="A244" s="123"/>
      <c r="B244" s="258"/>
      <c r="R244" s="124"/>
      <c r="X244" s="125"/>
    </row>
    <row r="245" spans="1:44" ht="46.5" customHeight="1">
      <c r="A245" s="123"/>
      <c r="B245" s="258"/>
      <c r="R245" s="124"/>
      <c r="X245" s="125"/>
    </row>
    <row r="246" spans="1:44" ht="46.5" customHeight="1">
      <c r="A246" s="123"/>
      <c r="B246" s="258"/>
      <c r="R246" s="124"/>
      <c r="X246" s="125"/>
    </row>
    <row r="247" spans="1:44" ht="46.5" customHeight="1">
      <c r="A247" s="123"/>
      <c r="B247" s="258"/>
      <c r="R247" s="124"/>
      <c r="X247" s="125"/>
    </row>
    <row r="248" spans="1:44" ht="46.5" customHeight="1">
      <c r="A248" s="123"/>
      <c r="B248" s="258"/>
      <c r="R248" s="124"/>
      <c r="X248" s="125"/>
    </row>
    <row r="249" spans="1:44" ht="46.5" customHeight="1">
      <c r="A249" s="123"/>
      <c r="B249" s="257"/>
      <c r="R249" s="124"/>
      <c r="X249" s="125"/>
    </row>
    <row r="250" spans="1:44" ht="46.5" customHeight="1">
      <c r="A250" s="123"/>
      <c r="B250" s="257"/>
      <c r="R250" s="124"/>
      <c r="X250" s="125"/>
    </row>
    <row r="251" spans="1:44" ht="46.5" customHeight="1">
      <c r="A251" s="123"/>
      <c r="B251" s="257"/>
      <c r="R251" s="124"/>
      <c r="X251" s="125"/>
    </row>
    <row r="252" spans="1:44" ht="46.5" customHeight="1">
      <c r="A252" s="123"/>
      <c r="B252" s="257"/>
      <c r="R252" s="124"/>
      <c r="X252" s="125"/>
    </row>
    <row r="253" spans="1:44" ht="46.5" customHeight="1">
      <c r="A253" s="123"/>
      <c r="B253" s="257"/>
      <c r="R253" s="124"/>
      <c r="X253" s="125"/>
    </row>
    <row r="254" spans="1:44" ht="46.5" customHeight="1">
      <c r="A254" s="123"/>
      <c r="B254" s="257"/>
      <c r="R254" s="124"/>
      <c r="X254" s="125"/>
    </row>
    <row r="255" spans="1:44" ht="46.5" customHeight="1">
      <c r="A255" s="123"/>
      <c r="B255" s="258"/>
      <c r="R255" s="124"/>
      <c r="X255" s="125"/>
    </row>
    <row r="256" spans="1:44" ht="46.5" customHeight="1">
      <c r="A256" s="123"/>
      <c r="B256" s="258"/>
      <c r="R256" s="124"/>
      <c r="X256" s="125"/>
    </row>
    <row r="257" spans="1:24" ht="46.5" customHeight="1">
      <c r="A257" s="123"/>
      <c r="B257" s="258"/>
      <c r="R257" s="124"/>
      <c r="X257" s="125"/>
    </row>
    <row r="258" spans="1:24" ht="46.5" customHeight="1">
      <c r="A258" s="123"/>
      <c r="B258" s="258"/>
      <c r="R258" s="124"/>
      <c r="X258" s="125"/>
    </row>
    <row r="259" spans="1:24" ht="46.5" customHeight="1">
      <c r="A259" s="123"/>
      <c r="B259" s="258"/>
      <c r="R259" s="124"/>
      <c r="X259" s="125"/>
    </row>
    <row r="260" spans="1:24" ht="46.5" customHeight="1">
      <c r="A260" s="123"/>
      <c r="B260" s="258"/>
      <c r="R260" s="124"/>
      <c r="X260" s="125"/>
    </row>
    <row r="261" spans="1:24" ht="46.5" customHeight="1">
      <c r="A261" s="123"/>
      <c r="B261" s="257"/>
      <c r="R261" s="124"/>
      <c r="X261" s="125"/>
    </row>
    <row r="262" spans="1:24" ht="46.5" customHeight="1">
      <c r="A262" s="123"/>
      <c r="B262" s="257"/>
      <c r="R262" s="124"/>
      <c r="X262" s="125"/>
    </row>
    <row r="263" spans="1:24" ht="46.5" customHeight="1">
      <c r="A263" s="123"/>
      <c r="B263" s="257"/>
      <c r="R263" s="124"/>
      <c r="X263" s="125"/>
    </row>
    <row r="264" spans="1:24" ht="46.5" customHeight="1">
      <c r="A264" s="123"/>
      <c r="B264" s="257"/>
      <c r="R264" s="124"/>
      <c r="X264" s="125"/>
    </row>
    <row r="265" spans="1:24" ht="46.5" customHeight="1">
      <c r="A265" s="123"/>
      <c r="B265" s="257"/>
      <c r="R265" s="124"/>
      <c r="X265" s="125"/>
    </row>
    <row r="266" spans="1:24" ht="46.5" customHeight="1">
      <c r="A266" s="123"/>
      <c r="B266" s="257"/>
      <c r="R266" s="124"/>
      <c r="X266" s="125"/>
    </row>
    <row r="267" spans="1:24" ht="46.5" customHeight="1">
      <c r="A267" s="123"/>
      <c r="B267" s="258"/>
      <c r="R267" s="124"/>
      <c r="X267" s="125"/>
    </row>
    <row r="268" spans="1:24" ht="46.5" customHeight="1">
      <c r="A268" s="123"/>
      <c r="B268" s="258"/>
      <c r="R268" s="124"/>
      <c r="X268" s="125"/>
    </row>
    <row r="269" spans="1:24" ht="46.5" customHeight="1">
      <c r="A269" s="123"/>
      <c r="B269" s="258"/>
      <c r="R269" s="124"/>
      <c r="X269" s="125"/>
    </row>
    <row r="270" spans="1:24" ht="46.5" customHeight="1">
      <c r="A270" s="123"/>
      <c r="B270" s="258"/>
      <c r="R270" s="124"/>
      <c r="X270" s="125"/>
    </row>
    <row r="271" spans="1:24" ht="46.5" customHeight="1">
      <c r="A271" s="123"/>
      <c r="B271" s="258"/>
      <c r="R271" s="124"/>
      <c r="X271" s="125"/>
    </row>
    <row r="272" spans="1:24" ht="46.5" customHeight="1">
      <c r="A272" s="123"/>
      <c r="B272" s="258"/>
      <c r="R272" s="124"/>
      <c r="X272" s="125"/>
    </row>
    <row r="273" spans="1:24" ht="46.5" customHeight="1">
      <c r="A273" s="123"/>
      <c r="B273" s="257"/>
      <c r="R273" s="124"/>
      <c r="X273" s="125"/>
    </row>
    <row r="274" spans="1:24" ht="46.5" customHeight="1">
      <c r="A274" s="123"/>
      <c r="B274" s="257"/>
      <c r="R274" s="124"/>
      <c r="X274" s="125"/>
    </row>
    <row r="275" spans="1:24" ht="46.5" customHeight="1">
      <c r="A275" s="123"/>
      <c r="B275" s="257"/>
      <c r="R275" s="124"/>
      <c r="X275" s="125"/>
    </row>
    <row r="276" spans="1:24" ht="46.5" customHeight="1">
      <c r="A276" s="123"/>
      <c r="B276" s="257"/>
      <c r="R276" s="124"/>
      <c r="X276" s="125"/>
    </row>
    <row r="277" spans="1:24" ht="46.5" customHeight="1">
      <c r="A277" s="123"/>
      <c r="B277" s="257"/>
      <c r="R277" s="124"/>
      <c r="X277" s="125"/>
    </row>
    <row r="278" spans="1:24" ht="46.5" customHeight="1">
      <c r="A278" s="123"/>
      <c r="B278" s="257"/>
      <c r="R278" s="124"/>
      <c r="X278" s="125"/>
    </row>
    <row r="279" spans="1:24" ht="46.5" customHeight="1">
      <c r="A279" s="123"/>
      <c r="B279" s="258"/>
      <c r="R279" s="124"/>
      <c r="X279" s="125"/>
    </row>
    <row r="280" spans="1:24" ht="46.5" customHeight="1">
      <c r="A280" s="123"/>
      <c r="B280" s="258"/>
      <c r="R280" s="124"/>
      <c r="X280" s="125"/>
    </row>
    <row r="281" spans="1:24" ht="46.5" customHeight="1">
      <c r="A281" s="123"/>
      <c r="B281" s="258"/>
      <c r="R281" s="124"/>
      <c r="X281" s="125"/>
    </row>
    <row r="282" spans="1:24" ht="46.5" customHeight="1">
      <c r="A282" s="123"/>
      <c r="B282" s="258"/>
      <c r="R282" s="124"/>
      <c r="X282" s="125"/>
    </row>
    <row r="283" spans="1:24" ht="46.5" customHeight="1">
      <c r="A283" s="123"/>
      <c r="B283" s="258"/>
      <c r="R283" s="124"/>
      <c r="X283" s="125"/>
    </row>
    <row r="284" spans="1:24" ht="46.5" customHeight="1">
      <c r="A284" s="123"/>
      <c r="B284" s="258"/>
      <c r="R284" s="124"/>
      <c r="X284" s="125"/>
    </row>
    <row r="285" spans="1:24" ht="46.5" customHeight="1">
      <c r="A285" s="123"/>
      <c r="B285" s="257"/>
      <c r="R285" s="124"/>
      <c r="X285" s="125"/>
    </row>
    <row r="286" spans="1:24" ht="46.5" customHeight="1">
      <c r="A286" s="123"/>
      <c r="B286" s="257"/>
      <c r="R286" s="124"/>
      <c r="X286" s="125"/>
    </row>
    <row r="287" spans="1:24" ht="46.5" customHeight="1">
      <c r="A287" s="123"/>
      <c r="B287" s="257"/>
      <c r="R287" s="124"/>
      <c r="X287" s="125"/>
    </row>
    <row r="288" spans="1:24" ht="46.5" customHeight="1">
      <c r="A288" s="123"/>
      <c r="B288" s="257"/>
      <c r="R288" s="124"/>
      <c r="X288" s="125"/>
    </row>
    <row r="289" spans="1:24" ht="46.5" customHeight="1">
      <c r="A289" s="123"/>
      <c r="B289" s="257"/>
      <c r="R289" s="124"/>
      <c r="X289" s="125"/>
    </row>
    <row r="290" spans="1:24" ht="46.5" customHeight="1">
      <c r="A290" s="123"/>
      <c r="B290" s="257"/>
      <c r="R290" s="124"/>
      <c r="X290" s="125"/>
    </row>
    <row r="291" spans="1:24" ht="46.5" customHeight="1">
      <c r="A291" s="123"/>
      <c r="B291" s="258"/>
      <c r="R291" s="124"/>
      <c r="X291" s="125"/>
    </row>
    <row r="292" spans="1:24" ht="46.5" customHeight="1">
      <c r="A292" s="123"/>
      <c r="B292" s="258"/>
      <c r="R292" s="124"/>
      <c r="X292" s="125"/>
    </row>
    <row r="293" spans="1:24" ht="46.5" customHeight="1">
      <c r="A293" s="123"/>
      <c r="B293" s="258"/>
      <c r="R293" s="124"/>
      <c r="X293" s="125"/>
    </row>
    <row r="294" spans="1:24" ht="46.5" customHeight="1">
      <c r="A294" s="123"/>
      <c r="B294" s="258"/>
      <c r="R294" s="124"/>
      <c r="X294" s="125"/>
    </row>
    <row r="295" spans="1:24" ht="46.5" customHeight="1">
      <c r="A295" s="123"/>
      <c r="B295" s="258"/>
      <c r="R295" s="124"/>
      <c r="X295" s="125"/>
    </row>
    <row r="296" spans="1:24" ht="46.5" customHeight="1">
      <c r="A296" s="123"/>
      <c r="B296" s="258"/>
      <c r="R296" s="124"/>
      <c r="X296" s="125"/>
    </row>
    <row r="297" spans="1:24" ht="46.5" customHeight="1">
      <c r="A297" s="123"/>
      <c r="B297" s="257"/>
      <c r="R297" s="124"/>
      <c r="X297" s="125"/>
    </row>
    <row r="298" spans="1:24" ht="46.5" customHeight="1">
      <c r="A298" s="123"/>
      <c r="B298" s="257"/>
      <c r="R298" s="124"/>
      <c r="X298" s="125"/>
    </row>
    <row r="299" spans="1:24" ht="46.5" customHeight="1">
      <c r="A299" s="123"/>
      <c r="B299" s="257"/>
      <c r="R299" s="124"/>
      <c r="X299" s="125"/>
    </row>
    <row r="300" spans="1:24" ht="46.5" customHeight="1">
      <c r="A300" s="123"/>
      <c r="B300" s="257"/>
      <c r="R300" s="124"/>
      <c r="X300" s="125"/>
    </row>
    <row r="301" spans="1:24" ht="46.5" customHeight="1">
      <c r="A301" s="123"/>
      <c r="B301" s="257"/>
      <c r="R301" s="124"/>
      <c r="X301" s="125"/>
    </row>
    <row r="302" spans="1:24" ht="46.5" customHeight="1">
      <c r="A302" s="123"/>
      <c r="B302" s="257"/>
      <c r="R302" s="124"/>
      <c r="X302" s="125"/>
    </row>
    <row r="303" spans="1:24" ht="46.5" customHeight="1">
      <c r="A303" s="123"/>
      <c r="B303" s="258"/>
      <c r="R303" s="124"/>
      <c r="X303" s="125"/>
    </row>
    <row r="304" spans="1:24" ht="46.5" customHeight="1">
      <c r="A304" s="123"/>
      <c r="B304" s="258"/>
      <c r="R304" s="124"/>
      <c r="X304" s="125"/>
    </row>
    <row r="305" spans="1:24" ht="46.5" customHeight="1">
      <c r="A305" s="123"/>
      <c r="B305" s="258"/>
      <c r="R305" s="124"/>
      <c r="X305" s="125"/>
    </row>
    <row r="306" spans="1:24" ht="46.5" customHeight="1">
      <c r="A306" s="123"/>
      <c r="B306" s="258"/>
      <c r="R306" s="124"/>
      <c r="X306" s="125"/>
    </row>
    <row r="307" spans="1:24" ht="46.5" customHeight="1">
      <c r="A307" s="123"/>
      <c r="B307" s="258"/>
      <c r="R307" s="124"/>
      <c r="X307" s="125"/>
    </row>
    <row r="308" spans="1:24" ht="46.5" customHeight="1">
      <c r="A308" s="123"/>
      <c r="B308" s="258"/>
      <c r="R308" s="124"/>
      <c r="X308" s="125"/>
    </row>
    <row r="309" spans="1:24" ht="46.5" customHeight="1">
      <c r="A309" s="123"/>
      <c r="B309" s="257"/>
      <c r="R309" s="124"/>
      <c r="X309" s="125"/>
    </row>
    <row r="310" spans="1:24" ht="46.5" customHeight="1">
      <c r="A310" s="123"/>
      <c r="B310" s="257"/>
      <c r="R310" s="124"/>
      <c r="X310" s="125"/>
    </row>
    <row r="311" spans="1:24" ht="46.5" customHeight="1">
      <c r="A311" s="123"/>
      <c r="B311" s="257"/>
      <c r="R311" s="124"/>
      <c r="X311" s="125"/>
    </row>
    <row r="312" spans="1:24" ht="46.5" customHeight="1">
      <c r="A312" s="123"/>
      <c r="B312" s="257"/>
      <c r="R312" s="124"/>
      <c r="X312" s="125"/>
    </row>
    <row r="313" spans="1:24" ht="46.5" customHeight="1">
      <c r="A313" s="123"/>
      <c r="B313" s="257"/>
      <c r="R313" s="124"/>
      <c r="X313" s="125"/>
    </row>
    <row r="314" spans="1:24" ht="46.5" customHeight="1">
      <c r="A314" s="123"/>
      <c r="B314" s="257"/>
      <c r="R314" s="124"/>
      <c r="X314" s="125"/>
    </row>
    <row r="315" spans="1:24" ht="46.5" customHeight="1">
      <c r="A315" s="123"/>
      <c r="B315" s="258"/>
      <c r="R315" s="124"/>
      <c r="X315" s="125"/>
    </row>
    <row r="316" spans="1:24" ht="46.5" customHeight="1">
      <c r="A316" s="123"/>
      <c r="B316" s="258"/>
      <c r="R316" s="124"/>
      <c r="X316" s="125"/>
    </row>
    <row r="317" spans="1:24" ht="46.5" customHeight="1">
      <c r="A317" s="123"/>
      <c r="B317" s="258"/>
      <c r="R317" s="124"/>
      <c r="X317" s="125"/>
    </row>
    <row r="318" spans="1:24" ht="46.5" customHeight="1">
      <c r="A318" s="123"/>
      <c r="B318" s="258"/>
      <c r="R318" s="124"/>
      <c r="X318" s="125"/>
    </row>
    <row r="319" spans="1:24" ht="46.5" customHeight="1">
      <c r="A319" s="123"/>
      <c r="B319" s="258"/>
      <c r="R319" s="124"/>
      <c r="X319" s="125"/>
    </row>
    <row r="320" spans="1:24" ht="46.5" customHeight="1">
      <c r="A320" s="123"/>
      <c r="B320" s="258"/>
      <c r="R320" s="124"/>
      <c r="X320" s="125"/>
    </row>
    <row r="321" spans="1:24" ht="46.5" customHeight="1">
      <c r="A321" s="123"/>
      <c r="B321" s="257"/>
      <c r="R321" s="124"/>
      <c r="X321" s="125"/>
    </row>
    <row r="322" spans="1:24" ht="46.5" customHeight="1">
      <c r="A322" s="123"/>
      <c r="B322" s="257"/>
      <c r="R322" s="124"/>
      <c r="X322" s="125"/>
    </row>
    <row r="323" spans="1:24" ht="46.5" customHeight="1">
      <c r="A323" s="123"/>
      <c r="B323" s="257"/>
      <c r="R323" s="124"/>
      <c r="X323" s="125"/>
    </row>
    <row r="324" spans="1:24" ht="46.5" customHeight="1">
      <c r="A324" s="123"/>
      <c r="B324" s="257"/>
      <c r="R324" s="124"/>
      <c r="X324" s="125"/>
    </row>
    <row r="325" spans="1:24" ht="46.5" customHeight="1">
      <c r="A325" s="123"/>
      <c r="B325" s="257"/>
      <c r="R325" s="124"/>
      <c r="X325" s="125"/>
    </row>
    <row r="326" spans="1:24" ht="46.5" customHeight="1">
      <c r="A326" s="123"/>
      <c r="B326" s="257"/>
      <c r="R326" s="124"/>
      <c r="X326" s="125"/>
    </row>
    <row r="327" spans="1:24" ht="46.5" customHeight="1">
      <c r="A327" s="123"/>
      <c r="B327" s="258"/>
      <c r="R327" s="124"/>
      <c r="X327" s="125"/>
    </row>
    <row r="328" spans="1:24" ht="46.5" customHeight="1">
      <c r="A328" s="123"/>
      <c r="B328" s="258"/>
      <c r="R328" s="124"/>
      <c r="X328" s="125"/>
    </row>
    <row r="329" spans="1:24" ht="46.5" customHeight="1">
      <c r="A329" s="123"/>
      <c r="B329" s="258"/>
      <c r="R329" s="124"/>
      <c r="X329" s="125"/>
    </row>
    <row r="330" spans="1:24" ht="46.5" customHeight="1">
      <c r="A330" s="123"/>
      <c r="B330" s="258"/>
      <c r="R330" s="124"/>
      <c r="X330" s="125"/>
    </row>
    <row r="331" spans="1:24" ht="46.5" customHeight="1">
      <c r="A331" s="123"/>
      <c r="B331" s="258"/>
      <c r="R331" s="124"/>
      <c r="X331" s="125"/>
    </row>
    <row r="332" spans="1:24" ht="46.5" customHeight="1">
      <c r="A332" s="123"/>
      <c r="B332" s="258"/>
      <c r="R332" s="124"/>
      <c r="X332" s="125"/>
    </row>
    <row r="333" spans="1:24" ht="46.5" customHeight="1">
      <c r="A333" s="123"/>
      <c r="B333" s="257"/>
      <c r="R333" s="124"/>
      <c r="X333" s="125"/>
    </row>
    <row r="334" spans="1:24" ht="46.5" customHeight="1">
      <c r="A334" s="123"/>
      <c r="B334" s="257"/>
      <c r="R334" s="124"/>
      <c r="X334" s="125"/>
    </row>
    <row r="335" spans="1:24" ht="46.5" customHeight="1">
      <c r="A335" s="123"/>
      <c r="B335" s="257"/>
      <c r="R335" s="124"/>
      <c r="X335" s="125"/>
    </row>
    <row r="336" spans="1:24" ht="46.5" customHeight="1">
      <c r="A336" s="123"/>
      <c r="B336" s="257"/>
      <c r="R336" s="124"/>
      <c r="X336" s="125"/>
    </row>
    <row r="337" spans="1:24" ht="46.5" customHeight="1">
      <c r="A337" s="123"/>
      <c r="B337" s="257"/>
      <c r="R337" s="124"/>
      <c r="X337" s="125"/>
    </row>
    <row r="338" spans="1:24" ht="46.5" customHeight="1">
      <c r="A338" s="123"/>
      <c r="B338" s="257"/>
      <c r="R338" s="124"/>
      <c r="X338" s="125"/>
    </row>
    <row r="339" spans="1:24" ht="46.5" customHeight="1">
      <c r="A339" s="123"/>
      <c r="B339" s="258"/>
      <c r="R339" s="124"/>
      <c r="X339" s="125"/>
    </row>
    <row r="340" spans="1:24" ht="46.5" customHeight="1">
      <c r="A340" s="123"/>
      <c r="B340" s="258"/>
      <c r="R340" s="124"/>
      <c r="X340" s="125"/>
    </row>
    <row r="341" spans="1:24" ht="46.5" customHeight="1">
      <c r="A341" s="123"/>
      <c r="B341" s="258"/>
      <c r="R341" s="124"/>
      <c r="X341" s="125"/>
    </row>
    <row r="342" spans="1:24" ht="46.5" customHeight="1">
      <c r="A342" s="123"/>
      <c r="B342" s="258"/>
      <c r="R342" s="124"/>
      <c r="X342" s="125"/>
    </row>
    <row r="343" spans="1:24" ht="46.5" customHeight="1">
      <c r="A343" s="123"/>
      <c r="B343" s="258"/>
      <c r="R343" s="124"/>
      <c r="X343" s="125"/>
    </row>
    <row r="344" spans="1:24" ht="46.5" customHeight="1">
      <c r="A344" s="123"/>
      <c r="B344" s="258"/>
      <c r="R344" s="124"/>
      <c r="X344" s="125"/>
    </row>
    <row r="345" spans="1:24" ht="46.5" customHeight="1">
      <c r="A345" s="123"/>
      <c r="B345" s="257"/>
      <c r="R345" s="124"/>
      <c r="X345" s="125"/>
    </row>
    <row r="346" spans="1:24" ht="46.5" customHeight="1">
      <c r="A346" s="123"/>
      <c r="B346" s="257"/>
      <c r="R346" s="124"/>
      <c r="X346" s="125"/>
    </row>
    <row r="347" spans="1:24" ht="46.5" customHeight="1">
      <c r="A347" s="123"/>
      <c r="B347" s="257"/>
      <c r="R347" s="124"/>
      <c r="X347" s="125"/>
    </row>
    <row r="348" spans="1:24" ht="46.5" customHeight="1">
      <c r="A348" s="123"/>
      <c r="B348" s="257"/>
      <c r="R348" s="124"/>
      <c r="X348" s="125"/>
    </row>
    <row r="349" spans="1:24" ht="46.5" customHeight="1">
      <c r="A349" s="123"/>
      <c r="B349" s="257"/>
      <c r="R349" s="124"/>
      <c r="X349" s="125"/>
    </row>
    <row r="350" spans="1:24" ht="46.5" customHeight="1">
      <c r="A350" s="123"/>
      <c r="B350" s="257"/>
      <c r="R350" s="124"/>
      <c r="X350" s="125"/>
    </row>
    <row r="351" spans="1:24" ht="46.5" customHeight="1">
      <c r="A351" s="123"/>
      <c r="B351" s="258"/>
      <c r="R351" s="124"/>
      <c r="X351" s="125"/>
    </row>
    <row r="352" spans="1:24" ht="46.5" customHeight="1">
      <c r="A352" s="123"/>
      <c r="B352" s="258"/>
      <c r="R352" s="124"/>
      <c r="X352" s="125"/>
    </row>
    <row r="353" spans="1:24" ht="46.5" customHeight="1">
      <c r="A353" s="123"/>
      <c r="B353" s="258"/>
      <c r="R353" s="124"/>
      <c r="X353" s="125"/>
    </row>
    <row r="354" spans="1:24" ht="46.5" customHeight="1">
      <c r="A354" s="123"/>
      <c r="B354" s="258"/>
      <c r="R354" s="124"/>
      <c r="X354" s="125"/>
    </row>
    <row r="355" spans="1:24" ht="46.5" customHeight="1">
      <c r="A355" s="123"/>
      <c r="B355" s="258"/>
      <c r="R355" s="124"/>
      <c r="X355" s="125"/>
    </row>
    <row r="356" spans="1:24" ht="46.5" customHeight="1">
      <c r="A356" s="123"/>
      <c r="B356" s="258"/>
      <c r="R356" s="124"/>
      <c r="X356" s="125"/>
    </row>
    <row r="357" spans="1:24" ht="46.5" customHeight="1">
      <c r="A357" s="123"/>
      <c r="B357" s="257"/>
      <c r="R357" s="124"/>
      <c r="X357" s="125"/>
    </row>
    <row r="358" spans="1:24" ht="46.5" customHeight="1">
      <c r="A358" s="123"/>
      <c r="B358" s="257"/>
      <c r="R358" s="124"/>
      <c r="X358" s="125"/>
    </row>
    <row r="359" spans="1:24" ht="46.5" customHeight="1">
      <c r="A359" s="123"/>
      <c r="B359" s="257"/>
      <c r="R359" s="124"/>
      <c r="X359" s="125"/>
    </row>
    <row r="360" spans="1:24" ht="46.5" customHeight="1">
      <c r="A360" s="123"/>
      <c r="B360" s="257"/>
      <c r="R360" s="124"/>
      <c r="X360" s="125"/>
    </row>
    <row r="361" spans="1:24" ht="46.5" customHeight="1">
      <c r="A361" s="123"/>
      <c r="B361" s="257"/>
      <c r="R361" s="124"/>
      <c r="X361" s="125"/>
    </row>
    <row r="362" spans="1:24" ht="46.5" customHeight="1">
      <c r="A362" s="123"/>
      <c r="B362" s="257"/>
      <c r="R362" s="124"/>
      <c r="X362" s="125"/>
    </row>
    <row r="363" spans="1:24" ht="46.5" customHeight="1">
      <c r="A363" s="123"/>
      <c r="B363" s="258"/>
      <c r="R363" s="124"/>
      <c r="X363" s="125"/>
    </row>
    <row r="364" spans="1:24" ht="46.5" customHeight="1">
      <c r="A364" s="123"/>
      <c r="B364" s="258"/>
      <c r="R364" s="124"/>
      <c r="X364" s="125"/>
    </row>
    <row r="365" spans="1:24" ht="46.5" customHeight="1">
      <c r="A365" s="123"/>
      <c r="B365" s="258"/>
      <c r="R365" s="124"/>
      <c r="X365" s="125"/>
    </row>
    <row r="366" spans="1:24" ht="46.5" customHeight="1">
      <c r="A366" s="123"/>
      <c r="B366" s="258"/>
      <c r="R366" s="124"/>
      <c r="X366" s="125"/>
    </row>
    <row r="367" spans="1:24" ht="46.5" customHeight="1">
      <c r="A367" s="123"/>
      <c r="B367" s="258"/>
      <c r="R367" s="124"/>
      <c r="X367" s="125"/>
    </row>
    <row r="368" spans="1:24" ht="46.5" customHeight="1">
      <c r="A368" s="123"/>
      <c r="B368" s="258"/>
      <c r="R368" s="124"/>
      <c r="X368" s="125"/>
    </row>
    <row r="369" spans="1:24" ht="46.5" customHeight="1">
      <c r="A369" s="123"/>
      <c r="B369" s="257"/>
      <c r="R369" s="124"/>
      <c r="X369" s="125"/>
    </row>
    <row r="370" spans="1:24" ht="46.5" customHeight="1">
      <c r="A370" s="123"/>
      <c r="B370" s="257"/>
      <c r="R370" s="124"/>
      <c r="X370" s="125"/>
    </row>
    <row r="371" spans="1:24" ht="46.5" customHeight="1">
      <c r="A371" s="123"/>
      <c r="B371" s="257"/>
      <c r="R371" s="124"/>
      <c r="X371" s="125"/>
    </row>
    <row r="372" spans="1:24" ht="46.5" customHeight="1">
      <c r="A372" s="123"/>
      <c r="B372" s="257"/>
      <c r="R372" s="124"/>
      <c r="X372" s="125"/>
    </row>
    <row r="373" spans="1:24" ht="46.5" customHeight="1">
      <c r="A373" s="123"/>
      <c r="B373" s="257"/>
      <c r="R373" s="124"/>
      <c r="X373" s="125"/>
    </row>
    <row r="374" spans="1:24" ht="46.5" customHeight="1">
      <c r="A374" s="123"/>
      <c r="B374" s="257"/>
      <c r="R374" s="124"/>
      <c r="X374" s="125"/>
    </row>
    <row r="375" spans="1:24" ht="46.5" customHeight="1">
      <c r="A375" s="123"/>
      <c r="B375" s="258"/>
      <c r="R375" s="124"/>
      <c r="X375" s="125"/>
    </row>
    <row r="376" spans="1:24" ht="46.5" customHeight="1">
      <c r="A376" s="123"/>
      <c r="B376" s="258"/>
      <c r="R376" s="124"/>
      <c r="X376" s="125"/>
    </row>
    <row r="377" spans="1:24" ht="46.5" customHeight="1">
      <c r="A377" s="123"/>
      <c r="B377" s="258"/>
      <c r="R377" s="124"/>
      <c r="X377" s="125"/>
    </row>
    <row r="378" spans="1:24" ht="46.5" customHeight="1">
      <c r="A378" s="123"/>
      <c r="B378" s="258"/>
      <c r="R378" s="124"/>
      <c r="X378" s="125"/>
    </row>
    <row r="379" spans="1:24" ht="46.5" customHeight="1">
      <c r="A379" s="123"/>
      <c r="B379" s="258"/>
      <c r="R379" s="124"/>
      <c r="X379" s="125"/>
    </row>
    <row r="380" spans="1:24" ht="46.5" customHeight="1">
      <c r="A380" s="123"/>
      <c r="B380" s="258"/>
      <c r="R380" s="124"/>
      <c r="X380" s="125"/>
    </row>
    <row r="381" spans="1:24" ht="46.5" customHeight="1">
      <c r="A381" s="123"/>
      <c r="B381" s="257"/>
      <c r="R381" s="124"/>
      <c r="X381" s="125"/>
    </row>
    <row r="382" spans="1:24" ht="46.5" customHeight="1">
      <c r="A382" s="123"/>
      <c r="B382" s="257"/>
      <c r="R382" s="124"/>
      <c r="X382" s="125"/>
    </row>
    <row r="383" spans="1:24" ht="46.5" customHeight="1">
      <c r="A383" s="123"/>
      <c r="B383" s="257"/>
      <c r="R383" s="124"/>
      <c r="X383" s="125"/>
    </row>
    <row r="384" spans="1:24" ht="46.5" customHeight="1">
      <c r="A384" s="123"/>
      <c r="B384" s="257"/>
      <c r="R384" s="124"/>
      <c r="X384" s="125"/>
    </row>
    <row r="385" spans="1:24" ht="46.5" customHeight="1">
      <c r="A385" s="123"/>
      <c r="B385" s="257"/>
      <c r="R385" s="124"/>
      <c r="X385" s="125"/>
    </row>
    <row r="386" spans="1:24" ht="46.5" customHeight="1">
      <c r="A386" s="123"/>
      <c r="B386" s="257"/>
      <c r="R386" s="124"/>
      <c r="X386" s="125"/>
    </row>
    <row r="387" spans="1:24" ht="46.5" customHeight="1">
      <c r="A387" s="123"/>
      <c r="B387" s="258"/>
      <c r="R387" s="124"/>
      <c r="X387" s="125"/>
    </row>
    <row r="388" spans="1:24" ht="46.5" customHeight="1">
      <c r="A388" s="123"/>
      <c r="B388" s="258"/>
      <c r="R388" s="124"/>
      <c r="X388" s="125"/>
    </row>
    <row r="389" spans="1:24" ht="46.5" customHeight="1">
      <c r="A389" s="123"/>
      <c r="B389" s="258"/>
      <c r="R389" s="124"/>
      <c r="X389" s="125"/>
    </row>
    <row r="390" spans="1:24" ht="46.5" customHeight="1">
      <c r="A390" s="123"/>
      <c r="B390" s="258"/>
      <c r="R390" s="124"/>
      <c r="X390" s="125"/>
    </row>
    <row r="391" spans="1:24" ht="46.5" customHeight="1">
      <c r="A391" s="123"/>
      <c r="B391" s="258"/>
      <c r="R391" s="124"/>
      <c r="X391" s="125"/>
    </row>
    <row r="392" spans="1:24" ht="46.5" customHeight="1">
      <c r="A392" s="123"/>
      <c r="B392" s="258"/>
      <c r="R392" s="124"/>
      <c r="X392" s="125"/>
    </row>
    <row r="393" spans="1:24" ht="46.5" customHeight="1">
      <c r="A393" s="123"/>
      <c r="B393" s="257"/>
      <c r="R393" s="124"/>
      <c r="X393" s="125"/>
    </row>
    <row r="394" spans="1:24" ht="46.5" customHeight="1">
      <c r="A394" s="123"/>
      <c r="B394" s="257"/>
      <c r="R394" s="124"/>
      <c r="X394" s="125"/>
    </row>
    <row r="395" spans="1:24" ht="46.5" customHeight="1">
      <c r="A395" s="123"/>
      <c r="B395" s="257"/>
      <c r="R395" s="124"/>
      <c r="X395" s="125"/>
    </row>
    <row r="396" spans="1:24" ht="46.5" customHeight="1">
      <c r="A396" s="123"/>
      <c r="B396" s="257"/>
      <c r="R396" s="124"/>
      <c r="X396" s="125"/>
    </row>
    <row r="397" spans="1:24" ht="46.5" customHeight="1">
      <c r="A397" s="123"/>
      <c r="B397" s="257"/>
      <c r="R397" s="124"/>
      <c r="X397" s="125"/>
    </row>
    <row r="398" spans="1:24" ht="46.5" customHeight="1">
      <c r="A398" s="123"/>
      <c r="B398" s="257"/>
      <c r="R398" s="124"/>
      <c r="X398" s="125"/>
    </row>
    <row r="399" spans="1:24" ht="46.5" customHeight="1">
      <c r="A399" s="123"/>
      <c r="B399" s="258"/>
      <c r="R399" s="124"/>
      <c r="X399" s="125"/>
    </row>
    <row r="400" spans="1:24" ht="46.5" customHeight="1">
      <c r="A400" s="123"/>
      <c r="B400" s="258"/>
      <c r="R400" s="124"/>
      <c r="X400" s="125"/>
    </row>
    <row r="401" spans="1:24" ht="46.5" customHeight="1">
      <c r="A401" s="123"/>
      <c r="B401" s="258"/>
      <c r="R401" s="124"/>
      <c r="X401" s="125"/>
    </row>
    <row r="402" spans="1:24" ht="46.5" customHeight="1">
      <c r="A402" s="123"/>
      <c r="B402" s="258"/>
      <c r="R402" s="124"/>
      <c r="X402" s="125"/>
    </row>
    <row r="403" spans="1:24" ht="46.5" customHeight="1">
      <c r="A403" s="123"/>
      <c r="B403" s="258"/>
      <c r="R403" s="124"/>
      <c r="X403" s="125"/>
    </row>
    <row r="404" spans="1:24" ht="46.5" customHeight="1">
      <c r="A404" s="123"/>
      <c r="B404" s="258"/>
      <c r="R404" s="124"/>
      <c r="X404" s="125"/>
    </row>
    <row r="405" spans="1:24" ht="46.5" customHeight="1">
      <c r="A405" s="123"/>
      <c r="B405" s="257"/>
      <c r="R405" s="124"/>
      <c r="X405" s="125"/>
    </row>
    <row r="406" spans="1:24" ht="46.5" customHeight="1">
      <c r="A406" s="123"/>
      <c r="B406" s="257"/>
      <c r="R406" s="124"/>
      <c r="X406" s="125"/>
    </row>
    <row r="407" spans="1:24" ht="46.5" customHeight="1">
      <c r="A407" s="123"/>
      <c r="B407" s="257"/>
      <c r="R407" s="124"/>
      <c r="X407" s="125"/>
    </row>
    <row r="408" spans="1:24" ht="46.5" customHeight="1">
      <c r="A408" s="123"/>
      <c r="B408" s="257"/>
      <c r="R408" s="124"/>
      <c r="X408" s="125"/>
    </row>
    <row r="409" spans="1:24" ht="46.5" customHeight="1">
      <c r="A409" s="123"/>
      <c r="B409" s="257"/>
      <c r="R409" s="124"/>
      <c r="X409" s="125"/>
    </row>
    <row r="410" spans="1:24" ht="46.5" customHeight="1">
      <c r="A410" s="123"/>
      <c r="B410" s="257"/>
      <c r="R410" s="124"/>
      <c r="X410" s="125"/>
    </row>
    <row r="411" spans="1:24" ht="46.5" customHeight="1">
      <c r="A411" s="123"/>
      <c r="B411" s="258"/>
      <c r="R411" s="124"/>
      <c r="X411" s="125"/>
    </row>
    <row r="412" spans="1:24" ht="46.5" customHeight="1">
      <c r="A412" s="123"/>
      <c r="B412" s="258"/>
      <c r="R412" s="124"/>
      <c r="X412" s="125"/>
    </row>
    <row r="413" spans="1:24" ht="46.5" customHeight="1">
      <c r="A413" s="123"/>
      <c r="B413" s="258"/>
      <c r="R413" s="124"/>
      <c r="X413" s="125"/>
    </row>
    <row r="414" spans="1:24" ht="46.5" customHeight="1">
      <c r="A414" s="123"/>
      <c r="B414" s="258"/>
      <c r="R414" s="124"/>
      <c r="X414" s="125"/>
    </row>
    <row r="415" spans="1:24" ht="46.5" customHeight="1">
      <c r="A415" s="123"/>
      <c r="B415" s="258"/>
      <c r="R415" s="124"/>
      <c r="X415" s="125"/>
    </row>
    <row r="416" spans="1:24" ht="46.5" customHeight="1">
      <c r="A416" s="123"/>
      <c r="B416" s="258"/>
      <c r="R416" s="124"/>
      <c r="X416" s="125"/>
    </row>
    <row r="417" spans="1:24" ht="46.5" customHeight="1">
      <c r="A417" s="123"/>
      <c r="B417" s="257"/>
      <c r="R417" s="124"/>
      <c r="X417" s="125"/>
    </row>
    <row r="418" spans="1:24" ht="46.5" customHeight="1">
      <c r="A418" s="123"/>
      <c r="B418" s="257"/>
      <c r="R418" s="124"/>
      <c r="X418" s="125"/>
    </row>
    <row r="419" spans="1:24" ht="46.5" customHeight="1">
      <c r="A419" s="123"/>
      <c r="B419" s="257"/>
      <c r="R419" s="124"/>
      <c r="X419" s="125"/>
    </row>
    <row r="420" spans="1:24" ht="46.5" customHeight="1">
      <c r="A420" s="123"/>
      <c r="B420" s="257"/>
      <c r="R420" s="124"/>
      <c r="X420" s="125"/>
    </row>
    <row r="421" spans="1:24" ht="46.5" customHeight="1">
      <c r="A421" s="123"/>
      <c r="B421" s="257"/>
      <c r="R421" s="124"/>
      <c r="X421" s="125"/>
    </row>
    <row r="422" spans="1:24" ht="46.5" customHeight="1">
      <c r="A422" s="123"/>
      <c r="B422" s="257"/>
      <c r="R422" s="124"/>
      <c r="X422" s="125"/>
    </row>
    <row r="423" spans="1:24" ht="46.5" customHeight="1">
      <c r="A423" s="123"/>
      <c r="B423" s="258"/>
      <c r="R423" s="124"/>
      <c r="X423" s="125"/>
    </row>
    <row r="424" spans="1:24" ht="46.5" customHeight="1">
      <c r="A424" s="123"/>
      <c r="B424" s="258"/>
      <c r="R424" s="124"/>
      <c r="X424" s="125"/>
    </row>
    <row r="425" spans="1:24" ht="46.5" customHeight="1">
      <c r="A425" s="123"/>
      <c r="B425" s="258"/>
      <c r="R425" s="124"/>
      <c r="X425" s="125"/>
    </row>
    <row r="426" spans="1:24" ht="46.5" customHeight="1">
      <c r="A426" s="123"/>
      <c r="B426" s="258"/>
      <c r="R426" s="124"/>
      <c r="X426" s="125"/>
    </row>
    <row r="427" spans="1:24" ht="46.5" customHeight="1">
      <c r="A427" s="123"/>
      <c r="B427" s="258"/>
      <c r="R427" s="124"/>
      <c r="X427" s="125"/>
    </row>
    <row r="428" spans="1:24" ht="46.5" customHeight="1">
      <c r="A428" s="123"/>
      <c r="B428" s="258"/>
      <c r="R428" s="124"/>
      <c r="X428" s="125"/>
    </row>
    <row r="429" spans="1:24" ht="46.5" customHeight="1">
      <c r="A429" s="123"/>
      <c r="B429" s="257"/>
      <c r="R429" s="124"/>
      <c r="X429" s="125"/>
    </row>
    <row r="430" spans="1:24" ht="46.5" customHeight="1">
      <c r="A430" s="123"/>
      <c r="B430" s="257"/>
      <c r="R430" s="124"/>
      <c r="X430" s="125"/>
    </row>
    <row r="431" spans="1:24" ht="46.5" customHeight="1">
      <c r="A431" s="123"/>
      <c r="B431" s="257"/>
      <c r="R431" s="124"/>
      <c r="X431" s="125"/>
    </row>
    <row r="432" spans="1:24" ht="46.5" customHeight="1">
      <c r="A432" s="123"/>
      <c r="B432" s="257"/>
      <c r="R432" s="124"/>
      <c r="X432" s="125"/>
    </row>
    <row r="433" spans="1:24" ht="46.5" customHeight="1">
      <c r="A433" s="123"/>
      <c r="B433" s="257"/>
      <c r="R433" s="124"/>
      <c r="X433" s="125"/>
    </row>
    <row r="434" spans="1:24" ht="46.5" customHeight="1">
      <c r="A434" s="123"/>
      <c r="B434" s="257"/>
      <c r="R434" s="124"/>
      <c r="X434" s="125"/>
    </row>
    <row r="435" spans="1:24" ht="46.5" customHeight="1">
      <c r="A435" s="123"/>
      <c r="B435" s="258"/>
      <c r="R435" s="124"/>
      <c r="X435" s="125"/>
    </row>
    <row r="436" spans="1:24" ht="46.5" customHeight="1">
      <c r="A436" s="123"/>
      <c r="B436" s="258"/>
      <c r="R436" s="124"/>
      <c r="X436" s="125"/>
    </row>
    <row r="437" spans="1:24" ht="46.5" customHeight="1">
      <c r="A437" s="123"/>
      <c r="B437" s="258"/>
      <c r="R437" s="124"/>
      <c r="X437" s="125"/>
    </row>
    <row r="438" spans="1:24" ht="46.5" customHeight="1">
      <c r="A438" s="123"/>
      <c r="B438" s="258"/>
      <c r="R438" s="124"/>
      <c r="X438" s="125"/>
    </row>
    <row r="439" spans="1:24" ht="46.5" customHeight="1">
      <c r="A439" s="123"/>
      <c r="B439" s="258"/>
      <c r="R439" s="124"/>
      <c r="X439" s="125"/>
    </row>
    <row r="440" spans="1:24" ht="46.5" customHeight="1">
      <c r="A440" s="123"/>
      <c r="B440" s="258"/>
      <c r="R440" s="124"/>
      <c r="X440" s="125"/>
    </row>
    <row r="441" spans="1:24" ht="46.5" customHeight="1">
      <c r="A441" s="123"/>
      <c r="B441" s="257"/>
      <c r="R441" s="124"/>
      <c r="X441" s="125"/>
    </row>
    <row r="442" spans="1:24" ht="46.5" customHeight="1">
      <c r="A442" s="123"/>
      <c r="B442" s="257"/>
      <c r="R442" s="124"/>
      <c r="X442" s="125"/>
    </row>
    <row r="443" spans="1:24" ht="46.5" customHeight="1">
      <c r="A443" s="123"/>
      <c r="B443" s="257"/>
      <c r="R443" s="124"/>
      <c r="X443" s="125"/>
    </row>
    <row r="444" spans="1:24" ht="46.5" customHeight="1">
      <c r="A444" s="123"/>
      <c r="B444" s="257"/>
      <c r="R444" s="124"/>
      <c r="X444" s="125"/>
    </row>
    <row r="445" spans="1:24" ht="46.5" customHeight="1">
      <c r="A445" s="123"/>
      <c r="B445" s="257"/>
      <c r="R445" s="124"/>
      <c r="X445" s="125"/>
    </row>
    <row r="446" spans="1:24" ht="46.5" customHeight="1">
      <c r="A446" s="123"/>
      <c r="B446" s="257"/>
      <c r="R446" s="124"/>
      <c r="X446" s="125"/>
    </row>
    <row r="447" spans="1:24" ht="46.5" customHeight="1">
      <c r="A447" s="123"/>
      <c r="B447" s="258"/>
      <c r="R447" s="124"/>
      <c r="X447" s="125"/>
    </row>
    <row r="448" spans="1:24" ht="46.5" customHeight="1">
      <c r="A448" s="123"/>
      <c r="B448" s="258"/>
      <c r="R448" s="124"/>
      <c r="X448" s="125"/>
    </row>
    <row r="449" spans="1:24" ht="46.5" customHeight="1">
      <c r="A449" s="123"/>
      <c r="B449" s="258"/>
      <c r="R449" s="124"/>
      <c r="X449" s="125"/>
    </row>
    <row r="450" spans="1:24" ht="46.5" customHeight="1">
      <c r="A450" s="123"/>
      <c r="B450" s="258"/>
      <c r="R450" s="124"/>
      <c r="X450" s="125"/>
    </row>
    <row r="451" spans="1:24" ht="46.5" customHeight="1">
      <c r="A451" s="123"/>
      <c r="B451" s="258"/>
      <c r="R451" s="124"/>
      <c r="X451" s="125"/>
    </row>
    <row r="452" spans="1:24" ht="46.5" customHeight="1">
      <c r="A452" s="123"/>
      <c r="B452" s="258"/>
      <c r="R452" s="124"/>
      <c r="X452" s="125"/>
    </row>
    <row r="453" spans="1:24" ht="46.5" customHeight="1">
      <c r="A453" s="123"/>
      <c r="B453" s="257"/>
      <c r="R453" s="124"/>
      <c r="X453" s="125"/>
    </row>
    <row r="454" spans="1:24" ht="46.5" customHeight="1">
      <c r="A454" s="123"/>
      <c r="B454" s="257"/>
      <c r="R454" s="124"/>
      <c r="X454" s="125"/>
    </row>
    <row r="455" spans="1:24" ht="46.5" customHeight="1">
      <c r="A455" s="123"/>
      <c r="B455" s="257"/>
      <c r="R455" s="124"/>
      <c r="X455" s="125"/>
    </row>
    <row r="456" spans="1:24" ht="46.5" customHeight="1">
      <c r="A456" s="123"/>
      <c r="B456" s="257"/>
      <c r="R456" s="124"/>
      <c r="X456" s="125"/>
    </row>
    <row r="457" spans="1:24" ht="46.5" customHeight="1">
      <c r="A457" s="123"/>
      <c r="B457" s="257"/>
      <c r="R457" s="124"/>
      <c r="X457" s="125"/>
    </row>
    <row r="458" spans="1:24" ht="46.5" customHeight="1">
      <c r="A458" s="123"/>
      <c r="B458" s="257"/>
      <c r="R458" s="124"/>
      <c r="X458" s="125"/>
    </row>
    <row r="459" spans="1:24" ht="46.5" customHeight="1">
      <c r="A459" s="123"/>
      <c r="B459" s="258"/>
      <c r="R459" s="124"/>
      <c r="X459" s="125"/>
    </row>
    <row r="460" spans="1:24" ht="46.5" customHeight="1">
      <c r="A460" s="123"/>
      <c r="B460" s="258"/>
      <c r="R460" s="124"/>
      <c r="X460" s="125"/>
    </row>
    <row r="461" spans="1:24" ht="46.5" customHeight="1">
      <c r="A461" s="123"/>
      <c r="B461" s="258"/>
      <c r="R461" s="124"/>
      <c r="X461" s="125"/>
    </row>
    <row r="462" spans="1:24" ht="46.5" customHeight="1">
      <c r="A462" s="123"/>
      <c r="B462" s="258"/>
      <c r="R462" s="124"/>
      <c r="X462" s="125"/>
    </row>
    <row r="463" spans="1:24" ht="46.5" customHeight="1">
      <c r="A463" s="123"/>
      <c r="B463" s="258"/>
      <c r="R463" s="124"/>
      <c r="X463" s="125"/>
    </row>
    <row r="464" spans="1:24" ht="46.5" customHeight="1">
      <c r="A464" s="123"/>
      <c r="B464" s="258"/>
      <c r="R464" s="124"/>
      <c r="X464" s="125"/>
    </row>
    <row r="465" spans="1:24" ht="46.5" customHeight="1">
      <c r="A465" s="123"/>
      <c r="B465" s="257"/>
      <c r="R465" s="124"/>
      <c r="X465" s="125"/>
    </row>
    <row r="466" spans="1:24" ht="46.5" customHeight="1">
      <c r="A466" s="123"/>
      <c r="B466" s="257"/>
      <c r="R466" s="124"/>
      <c r="X466" s="125"/>
    </row>
    <row r="467" spans="1:24" ht="46.5" customHeight="1">
      <c r="A467" s="123"/>
      <c r="B467" s="257"/>
      <c r="R467" s="124"/>
      <c r="X467" s="125"/>
    </row>
    <row r="468" spans="1:24" ht="46.5" customHeight="1">
      <c r="A468" s="123"/>
      <c r="B468" s="257"/>
      <c r="R468" s="124"/>
      <c r="X468" s="125"/>
    </row>
    <row r="469" spans="1:24" ht="46.5" customHeight="1">
      <c r="A469" s="123"/>
      <c r="B469" s="257"/>
      <c r="R469" s="124"/>
      <c r="X469" s="125"/>
    </row>
    <row r="470" spans="1:24" ht="46.5" customHeight="1">
      <c r="A470" s="123"/>
      <c r="B470" s="257"/>
      <c r="R470" s="124"/>
      <c r="X470" s="125"/>
    </row>
    <row r="471" spans="1:24" ht="46.5" customHeight="1">
      <c r="A471" s="123"/>
      <c r="B471" s="258"/>
      <c r="R471" s="124"/>
      <c r="X471" s="125"/>
    </row>
    <row r="472" spans="1:24" ht="46.5" customHeight="1">
      <c r="A472" s="123"/>
      <c r="B472" s="258"/>
      <c r="R472" s="124"/>
      <c r="X472" s="125"/>
    </row>
    <row r="473" spans="1:24" ht="46.5" customHeight="1">
      <c r="A473" s="123"/>
      <c r="B473" s="258"/>
      <c r="R473" s="124"/>
      <c r="X473" s="125"/>
    </row>
    <row r="474" spans="1:24" ht="46.5" customHeight="1">
      <c r="A474" s="123"/>
      <c r="B474" s="258"/>
      <c r="R474" s="124"/>
      <c r="X474" s="125"/>
    </row>
    <row r="475" spans="1:24" ht="46.5" customHeight="1">
      <c r="A475" s="123"/>
      <c r="B475" s="258"/>
      <c r="R475" s="124"/>
      <c r="X475" s="125"/>
    </row>
    <row r="476" spans="1:24" ht="46.5" customHeight="1">
      <c r="A476" s="123"/>
      <c r="B476" s="258"/>
      <c r="R476" s="124"/>
      <c r="X476" s="125"/>
    </row>
    <row r="477" spans="1:24" ht="46.5" customHeight="1">
      <c r="A477" s="123"/>
      <c r="B477" s="257"/>
      <c r="R477" s="124"/>
      <c r="X477" s="125"/>
    </row>
    <row r="478" spans="1:24" ht="46.5" customHeight="1">
      <c r="A478" s="123"/>
      <c r="B478" s="257"/>
      <c r="R478" s="124"/>
      <c r="X478" s="125"/>
    </row>
    <row r="479" spans="1:24" ht="46.5" customHeight="1">
      <c r="A479" s="123"/>
      <c r="B479" s="257"/>
      <c r="R479" s="124"/>
      <c r="X479" s="125"/>
    </row>
    <row r="480" spans="1:24" ht="46.5" customHeight="1">
      <c r="A480" s="123"/>
      <c r="B480" s="257"/>
      <c r="R480" s="124"/>
      <c r="X480" s="125"/>
    </row>
    <row r="481" spans="1:24" ht="46.5" customHeight="1">
      <c r="A481" s="123"/>
      <c r="B481" s="257"/>
      <c r="R481" s="124"/>
      <c r="X481" s="125"/>
    </row>
    <row r="482" spans="1:24" ht="46.5" customHeight="1">
      <c r="A482" s="123"/>
      <c r="B482" s="257"/>
      <c r="R482" s="124"/>
      <c r="X482" s="125"/>
    </row>
    <row r="483" spans="1:24" ht="46.5" customHeight="1">
      <c r="A483" s="123"/>
      <c r="B483" s="258"/>
      <c r="R483" s="124"/>
      <c r="X483" s="125"/>
    </row>
    <row r="484" spans="1:24" ht="46.5" customHeight="1">
      <c r="A484" s="123"/>
      <c r="B484" s="258"/>
      <c r="R484" s="124"/>
      <c r="X484" s="125"/>
    </row>
    <row r="485" spans="1:24" ht="46.5" customHeight="1">
      <c r="A485" s="123"/>
      <c r="B485" s="258"/>
      <c r="R485" s="124"/>
      <c r="X485" s="125"/>
    </row>
    <row r="486" spans="1:24" ht="46.5" customHeight="1">
      <c r="A486" s="123"/>
      <c r="B486" s="258"/>
      <c r="R486" s="124"/>
      <c r="X486" s="125"/>
    </row>
    <row r="487" spans="1:24" ht="46.5" customHeight="1">
      <c r="A487" s="123"/>
      <c r="B487" s="258"/>
      <c r="R487" s="124"/>
      <c r="X487" s="125"/>
    </row>
    <row r="488" spans="1:24" ht="46.5" customHeight="1">
      <c r="A488" s="123"/>
      <c r="B488" s="258"/>
      <c r="R488" s="124"/>
      <c r="X488" s="125"/>
    </row>
    <row r="489" spans="1:24" ht="46.5" customHeight="1">
      <c r="A489" s="123"/>
      <c r="B489" s="257"/>
      <c r="R489" s="124"/>
      <c r="X489" s="125"/>
    </row>
    <row r="490" spans="1:24" ht="46.5" customHeight="1">
      <c r="A490" s="123"/>
      <c r="B490" s="257"/>
      <c r="R490" s="124"/>
      <c r="X490" s="125"/>
    </row>
    <row r="491" spans="1:24" ht="46.5" customHeight="1">
      <c r="A491" s="123"/>
      <c r="B491" s="257"/>
      <c r="R491" s="124"/>
      <c r="X491" s="125"/>
    </row>
    <row r="492" spans="1:24" ht="46.5" customHeight="1">
      <c r="A492" s="123"/>
      <c r="B492" s="257"/>
      <c r="R492" s="124"/>
      <c r="X492" s="125"/>
    </row>
    <row r="493" spans="1:24" ht="46.5" customHeight="1">
      <c r="A493" s="123"/>
      <c r="B493" s="257"/>
      <c r="R493" s="124"/>
      <c r="X493" s="125"/>
    </row>
    <row r="494" spans="1:24" ht="46.5" customHeight="1">
      <c r="A494" s="123"/>
      <c r="B494" s="257"/>
      <c r="R494" s="124"/>
      <c r="X494" s="125"/>
    </row>
    <row r="495" spans="1:24" ht="46.5" customHeight="1">
      <c r="A495" s="123"/>
      <c r="B495" s="258"/>
      <c r="R495" s="124"/>
      <c r="X495" s="125"/>
    </row>
    <row r="496" spans="1:24" ht="46.5" customHeight="1">
      <c r="A496" s="123"/>
      <c r="B496" s="258"/>
      <c r="R496" s="124"/>
      <c r="X496" s="125"/>
    </row>
    <row r="497" spans="1:24" ht="46.5" customHeight="1">
      <c r="A497" s="123"/>
      <c r="B497" s="258"/>
      <c r="R497" s="124"/>
      <c r="X497" s="125"/>
    </row>
    <row r="498" spans="1:24" ht="46.5" customHeight="1">
      <c r="A498" s="123"/>
      <c r="B498" s="258"/>
      <c r="R498" s="124"/>
      <c r="X498" s="125"/>
    </row>
    <row r="499" spans="1:24" ht="46.5" customHeight="1">
      <c r="A499" s="123"/>
      <c r="B499" s="258"/>
      <c r="R499" s="124"/>
      <c r="X499" s="125"/>
    </row>
    <row r="500" spans="1:24" ht="46.5" customHeight="1">
      <c r="A500" s="123"/>
      <c r="B500" s="258"/>
      <c r="R500" s="124"/>
      <c r="X500" s="125"/>
    </row>
    <row r="501" spans="1:24" ht="46.5" customHeight="1">
      <c r="A501" s="123"/>
      <c r="B501" s="257"/>
      <c r="R501" s="124"/>
      <c r="X501" s="125"/>
    </row>
    <row r="502" spans="1:24" ht="46.5" customHeight="1">
      <c r="A502" s="123"/>
      <c r="B502" s="257"/>
      <c r="R502" s="124"/>
      <c r="X502" s="125"/>
    </row>
    <row r="503" spans="1:24" ht="46.5" customHeight="1">
      <c r="A503" s="123"/>
      <c r="B503" s="257"/>
      <c r="R503" s="124"/>
      <c r="X503" s="125"/>
    </row>
    <row r="504" spans="1:24" ht="46.5" customHeight="1">
      <c r="A504" s="123"/>
      <c r="B504" s="257"/>
      <c r="R504" s="124"/>
      <c r="X504" s="125"/>
    </row>
    <row r="505" spans="1:24" ht="46.5" customHeight="1">
      <c r="A505" s="123"/>
      <c r="B505" s="257"/>
      <c r="R505" s="124"/>
      <c r="X505" s="125"/>
    </row>
    <row r="506" spans="1:24" ht="46.5" customHeight="1">
      <c r="A506" s="123"/>
      <c r="B506" s="257"/>
      <c r="R506" s="124"/>
      <c r="X506" s="125"/>
    </row>
    <row r="507" spans="1:24" ht="46.5" customHeight="1">
      <c r="A507" s="123"/>
      <c r="B507" s="258"/>
      <c r="R507" s="124"/>
      <c r="X507" s="125"/>
    </row>
    <row r="508" spans="1:24" ht="46.5" customHeight="1">
      <c r="A508" s="123"/>
      <c r="B508" s="258"/>
      <c r="R508" s="124"/>
      <c r="X508" s="125"/>
    </row>
    <row r="509" spans="1:24" ht="46.5" customHeight="1">
      <c r="A509" s="123"/>
      <c r="B509" s="258"/>
      <c r="R509" s="124"/>
      <c r="X509" s="125"/>
    </row>
    <row r="510" spans="1:24" ht="46.5" customHeight="1">
      <c r="A510" s="123"/>
      <c r="B510" s="258"/>
      <c r="R510" s="124"/>
      <c r="X510" s="125"/>
    </row>
    <row r="511" spans="1:24" ht="46.5" customHeight="1">
      <c r="A511" s="123"/>
      <c r="B511" s="258"/>
      <c r="R511" s="124"/>
      <c r="X511" s="125"/>
    </row>
    <row r="512" spans="1:24" ht="46.5" customHeight="1">
      <c r="A512" s="123"/>
      <c r="B512" s="258"/>
      <c r="R512" s="124"/>
      <c r="X512" s="125"/>
    </row>
    <row r="513" spans="1:24" ht="46.5" customHeight="1">
      <c r="A513" s="123"/>
      <c r="B513" s="257"/>
      <c r="R513" s="124"/>
      <c r="X513" s="125"/>
    </row>
    <row r="514" spans="1:24" ht="46.5" customHeight="1">
      <c r="A514" s="123"/>
      <c r="B514" s="257"/>
      <c r="R514" s="124"/>
      <c r="X514" s="125"/>
    </row>
    <row r="515" spans="1:24" ht="46.5" customHeight="1">
      <c r="A515" s="123"/>
      <c r="B515" s="257"/>
      <c r="R515" s="124"/>
      <c r="X515" s="125"/>
    </row>
    <row r="516" spans="1:24" ht="46.5" customHeight="1">
      <c r="A516" s="123"/>
      <c r="B516" s="257"/>
      <c r="R516" s="124"/>
      <c r="X516" s="125"/>
    </row>
    <row r="517" spans="1:24" ht="46.5" customHeight="1">
      <c r="A517" s="123"/>
      <c r="B517" s="257"/>
      <c r="R517" s="124"/>
      <c r="X517" s="125"/>
    </row>
    <row r="518" spans="1:24" ht="46.5" customHeight="1">
      <c r="A518" s="123"/>
      <c r="B518" s="257"/>
      <c r="R518" s="124"/>
      <c r="X518" s="125"/>
    </row>
    <row r="519" spans="1:24" ht="46.5" customHeight="1">
      <c r="A519" s="123"/>
      <c r="B519" s="258"/>
      <c r="R519" s="124"/>
      <c r="X519" s="125"/>
    </row>
    <row r="520" spans="1:24" ht="46.5" customHeight="1">
      <c r="A520" s="123"/>
      <c r="B520" s="258"/>
      <c r="R520" s="124"/>
      <c r="X520" s="125"/>
    </row>
    <row r="521" spans="1:24" ht="46.5" customHeight="1">
      <c r="A521" s="123"/>
      <c r="B521" s="258"/>
      <c r="R521" s="124"/>
      <c r="X521" s="125"/>
    </row>
    <row r="522" spans="1:24" ht="46.5" customHeight="1">
      <c r="A522" s="123"/>
      <c r="B522" s="258"/>
      <c r="R522" s="124"/>
      <c r="X522" s="125"/>
    </row>
    <row r="523" spans="1:24" ht="46.5" customHeight="1">
      <c r="A523" s="123"/>
      <c r="B523" s="258"/>
      <c r="R523" s="124"/>
      <c r="X523" s="125"/>
    </row>
    <row r="524" spans="1:24" ht="46.5" customHeight="1">
      <c r="A524" s="123"/>
      <c r="B524" s="258"/>
      <c r="R524" s="124"/>
      <c r="X524" s="125"/>
    </row>
    <row r="525" spans="1:24" ht="46.5" customHeight="1">
      <c r="A525" s="123"/>
      <c r="B525" s="257"/>
      <c r="R525" s="124"/>
      <c r="X525" s="125"/>
    </row>
    <row r="526" spans="1:24" ht="46.5" customHeight="1">
      <c r="A526" s="123"/>
      <c r="B526" s="257"/>
      <c r="R526" s="124"/>
      <c r="X526" s="125"/>
    </row>
    <row r="527" spans="1:24" ht="46.5" customHeight="1">
      <c r="A527" s="123"/>
      <c r="B527" s="257"/>
      <c r="R527" s="124"/>
      <c r="X527" s="125"/>
    </row>
    <row r="528" spans="1:24" ht="46.5" customHeight="1">
      <c r="A528" s="123"/>
      <c r="B528" s="257"/>
      <c r="R528" s="124"/>
      <c r="X528" s="125"/>
    </row>
    <row r="529" spans="1:24" ht="46.5" customHeight="1">
      <c r="A529" s="123"/>
      <c r="B529" s="257"/>
      <c r="R529" s="124"/>
      <c r="X529" s="125"/>
    </row>
    <row r="530" spans="1:24" ht="46.5" customHeight="1">
      <c r="A530" s="123"/>
      <c r="B530" s="257"/>
      <c r="R530" s="124"/>
      <c r="X530" s="125"/>
    </row>
    <row r="531" spans="1:24" ht="46.5" customHeight="1">
      <c r="A531" s="123"/>
      <c r="B531" s="258"/>
      <c r="R531" s="124"/>
      <c r="X531" s="125"/>
    </row>
    <row r="532" spans="1:24" ht="46.5" customHeight="1">
      <c r="A532" s="123"/>
      <c r="B532" s="258"/>
      <c r="R532" s="124"/>
      <c r="X532" s="125"/>
    </row>
    <row r="533" spans="1:24" ht="46.5" customHeight="1">
      <c r="A533" s="123"/>
      <c r="B533" s="258"/>
      <c r="R533" s="124"/>
      <c r="X533" s="125"/>
    </row>
    <row r="534" spans="1:24" ht="46.5" customHeight="1">
      <c r="A534" s="123"/>
      <c r="B534" s="258"/>
      <c r="R534" s="124"/>
      <c r="X534" s="125"/>
    </row>
    <row r="535" spans="1:24" ht="46.5" customHeight="1">
      <c r="A535" s="123"/>
      <c r="B535" s="258"/>
      <c r="R535" s="124"/>
      <c r="X535" s="125"/>
    </row>
    <row r="536" spans="1:24" ht="46.5" customHeight="1">
      <c r="A536" s="123"/>
      <c r="B536" s="258"/>
      <c r="R536" s="124"/>
      <c r="X536" s="125"/>
    </row>
    <row r="537" spans="1:24" ht="46.5" customHeight="1">
      <c r="A537" s="123"/>
      <c r="B537" s="257"/>
      <c r="R537" s="124"/>
      <c r="X537" s="125"/>
    </row>
    <row r="538" spans="1:24" ht="46.5" customHeight="1">
      <c r="A538" s="123"/>
      <c r="B538" s="257"/>
      <c r="R538" s="124"/>
      <c r="X538" s="125"/>
    </row>
    <row r="539" spans="1:24" ht="46.5" customHeight="1">
      <c r="A539" s="123"/>
      <c r="B539" s="257"/>
      <c r="R539" s="124"/>
      <c r="X539" s="125"/>
    </row>
    <row r="540" spans="1:24" ht="46.5" customHeight="1">
      <c r="A540" s="123"/>
      <c r="B540" s="257"/>
      <c r="R540" s="124"/>
      <c r="X540" s="125"/>
    </row>
    <row r="541" spans="1:24" ht="46.5" customHeight="1">
      <c r="A541" s="123"/>
      <c r="B541" s="257"/>
      <c r="R541" s="124"/>
      <c r="X541" s="125"/>
    </row>
    <row r="542" spans="1:24" ht="46.5" customHeight="1">
      <c r="A542" s="123"/>
      <c r="B542" s="257"/>
      <c r="R542" s="124"/>
      <c r="X542" s="125"/>
    </row>
    <row r="543" spans="1:24" ht="46.5" customHeight="1">
      <c r="A543" s="123"/>
      <c r="B543" s="258"/>
      <c r="R543" s="124"/>
      <c r="X543" s="125"/>
    </row>
    <row r="544" spans="1:24" ht="46.5" customHeight="1">
      <c r="A544" s="123"/>
      <c r="B544" s="258"/>
      <c r="R544" s="124"/>
      <c r="X544" s="125"/>
    </row>
    <row r="545" spans="1:24" ht="46.5" customHeight="1">
      <c r="A545" s="123"/>
      <c r="B545" s="258"/>
      <c r="R545" s="124"/>
      <c r="X545" s="125"/>
    </row>
    <row r="546" spans="1:24" ht="46.5" customHeight="1">
      <c r="A546" s="123"/>
      <c r="B546" s="258"/>
      <c r="R546" s="124"/>
      <c r="X546" s="125"/>
    </row>
    <row r="547" spans="1:24" ht="46.5" customHeight="1">
      <c r="A547" s="123"/>
      <c r="B547" s="258"/>
      <c r="R547" s="124"/>
      <c r="X547" s="125"/>
    </row>
    <row r="548" spans="1:24" ht="46.5" customHeight="1">
      <c r="A548" s="123"/>
      <c r="B548" s="258"/>
      <c r="R548" s="124"/>
      <c r="X548" s="125"/>
    </row>
    <row r="549" spans="1:24" ht="46.5" customHeight="1">
      <c r="A549" s="123"/>
      <c r="B549" s="257"/>
      <c r="R549" s="124"/>
      <c r="X549" s="125"/>
    </row>
    <row r="550" spans="1:24" ht="46.5" customHeight="1">
      <c r="A550" s="123"/>
      <c r="B550" s="257"/>
      <c r="R550" s="124"/>
      <c r="X550" s="125"/>
    </row>
    <row r="551" spans="1:24" ht="46.5" customHeight="1">
      <c r="A551" s="123"/>
      <c r="B551" s="257"/>
      <c r="R551" s="124"/>
      <c r="X551" s="125"/>
    </row>
    <row r="552" spans="1:24" ht="46.5" customHeight="1">
      <c r="A552" s="123"/>
      <c r="B552" s="257"/>
      <c r="R552" s="124"/>
      <c r="X552" s="125"/>
    </row>
    <row r="553" spans="1:24" ht="46.5" customHeight="1">
      <c r="A553" s="123"/>
      <c r="B553" s="257"/>
      <c r="R553" s="124"/>
      <c r="X553" s="125"/>
    </row>
    <row r="554" spans="1:24" ht="46.5" customHeight="1">
      <c r="A554" s="123"/>
      <c r="B554" s="257"/>
      <c r="R554" s="124"/>
      <c r="X554" s="125"/>
    </row>
    <row r="555" spans="1:24" ht="46.5" customHeight="1">
      <c r="A555" s="123"/>
      <c r="B555" s="258"/>
      <c r="R555" s="124"/>
      <c r="X555" s="125"/>
    </row>
    <row r="556" spans="1:24" ht="46.5" customHeight="1">
      <c r="A556" s="123"/>
      <c r="B556" s="258"/>
      <c r="R556" s="124"/>
      <c r="X556" s="125"/>
    </row>
    <row r="557" spans="1:24" ht="46.5" customHeight="1">
      <c r="A557" s="123"/>
      <c r="B557" s="258"/>
      <c r="R557" s="124"/>
      <c r="X557" s="125"/>
    </row>
    <row r="558" spans="1:24" ht="46.5" customHeight="1">
      <c r="A558" s="123"/>
      <c r="B558" s="258"/>
      <c r="R558" s="124"/>
      <c r="X558" s="125"/>
    </row>
    <row r="559" spans="1:24" ht="46.5" customHeight="1">
      <c r="A559" s="123"/>
      <c r="B559" s="258"/>
      <c r="R559" s="124"/>
      <c r="X559" s="125"/>
    </row>
    <row r="560" spans="1:24" ht="46.5" customHeight="1">
      <c r="A560" s="123"/>
      <c r="B560" s="258"/>
      <c r="R560" s="124"/>
      <c r="X560" s="125"/>
    </row>
    <row r="561" spans="1:24" ht="46.5" customHeight="1">
      <c r="A561" s="123"/>
      <c r="B561" s="257"/>
      <c r="R561" s="124"/>
      <c r="X561" s="125"/>
    </row>
    <row r="562" spans="1:24" ht="46.5" customHeight="1">
      <c r="A562" s="123"/>
      <c r="B562" s="257"/>
      <c r="R562" s="124"/>
      <c r="X562" s="125"/>
    </row>
    <row r="563" spans="1:24" ht="46.5" customHeight="1">
      <c r="A563" s="123"/>
      <c r="B563" s="257"/>
      <c r="R563" s="124"/>
      <c r="X563" s="125"/>
    </row>
    <row r="564" spans="1:24" ht="46.5" customHeight="1">
      <c r="A564" s="123"/>
      <c r="B564" s="257"/>
      <c r="R564" s="124"/>
      <c r="X564" s="125"/>
    </row>
    <row r="565" spans="1:24" ht="46.5" customHeight="1">
      <c r="A565" s="123"/>
      <c r="B565" s="257"/>
      <c r="R565" s="124"/>
      <c r="X565" s="125"/>
    </row>
    <row r="566" spans="1:24" ht="46.5" customHeight="1">
      <c r="A566" s="123"/>
      <c r="B566" s="257"/>
      <c r="R566" s="124"/>
      <c r="X566" s="125"/>
    </row>
    <row r="567" spans="1:24" ht="46.5" customHeight="1">
      <c r="A567" s="123"/>
      <c r="B567" s="258"/>
      <c r="R567" s="124"/>
      <c r="X567" s="125"/>
    </row>
    <row r="568" spans="1:24" ht="46.5" customHeight="1">
      <c r="A568" s="123"/>
      <c r="B568" s="258"/>
      <c r="R568" s="124"/>
      <c r="X568" s="125"/>
    </row>
    <row r="569" spans="1:24" ht="46.5" customHeight="1">
      <c r="A569" s="123"/>
      <c r="B569" s="258"/>
      <c r="R569" s="124"/>
      <c r="X569" s="125"/>
    </row>
    <row r="570" spans="1:24" ht="46.5" customHeight="1">
      <c r="A570" s="123"/>
      <c r="B570" s="258"/>
      <c r="R570" s="124"/>
      <c r="X570" s="125"/>
    </row>
    <row r="571" spans="1:24" ht="46.5" customHeight="1">
      <c r="A571" s="123"/>
      <c r="B571" s="258"/>
      <c r="R571" s="124"/>
      <c r="X571" s="125"/>
    </row>
    <row r="572" spans="1:24" ht="46.5" customHeight="1">
      <c r="A572" s="123"/>
      <c r="B572" s="258"/>
      <c r="R572" s="124"/>
      <c r="X572" s="125"/>
    </row>
    <row r="573" spans="1:24" ht="46.5" customHeight="1">
      <c r="A573" s="123"/>
      <c r="B573" s="257"/>
      <c r="R573" s="124"/>
      <c r="X573" s="125"/>
    </row>
    <row r="574" spans="1:24" ht="46.5" customHeight="1">
      <c r="A574" s="123"/>
      <c r="B574" s="257"/>
      <c r="R574" s="124"/>
      <c r="X574" s="125"/>
    </row>
    <row r="575" spans="1:24" ht="46.5" customHeight="1">
      <c r="A575" s="123"/>
      <c r="B575" s="257"/>
      <c r="R575" s="124"/>
      <c r="X575" s="125"/>
    </row>
    <row r="576" spans="1:24" ht="46.5" customHeight="1">
      <c r="A576" s="123"/>
      <c r="B576" s="257"/>
      <c r="R576" s="124"/>
      <c r="X576" s="125"/>
    </row>
    <row r="577" spans="1:24" ht="46.5" customHeight="1">
      <c r="A577" s="123"/>
      <c r="B577" s="257"/>
      <c r="R577" s="124"/>
      <c r="X577" s="125"/>
    </row>
    <row r="578" spans="1:24" ht="46.5" customHeight="1">
      <c r="A578" s="123"/>
      <c r="B578" s="257"/>
      <c r="R578" s="124"/>
      <c r="X578" s="125"/>
    </row>
    <row r="579" spans="1:24" ht="46.5" customHeight="1">
      <c r="A579" s="123"/>
      <c r="B579" s="258"/>
      <c r="R579" s="124"/>
      <c r="X579" s="125"/>
    </row>
    <row r="580" spans="1:24" ht="46.5" customHeight="1">
      <c r="A580" s="123"/>
      <c r="B580" s="258"/>
      <c r="R580" s="124"/>
      <c r="X580" s="125"/>
    </row>
    <row r="581" spans="1:24" ht="46.5" customHeight="1">
      <c r="A581" s="123"/>
      <c r="B581" s="258"/>
      <c r="R581" s="124"/>
      <c r="X581" s="125"/>
    </row>
    <row r="582" spans="1:24" ht="46.5" customHeight="1">
      <c r="A582" s="123"/>
      <c r="B582" s="258"/>
      <c r="R582" s="124"/>
      <c r="X582" s="125"/>
    </row>
    <row r="583" spans="1:24" ht="46.5" customHeight="1">
      <c r="A583" s="123"/>
      <c r="B583" s="258"/>
      <c r="R583" s="124"/>
      <c r="X583" s="125"/>
    </row>
    <row r="584" spans="1:24" ht="46.5" customHeight="1">
      <c r="A584" s="123"/>
      <c r="B584" s="258"/>
      <c r="R584" s="124"/>
      <c r="X584" s="125"/>
    </row>
    <row r="585" spans="1:24" ht="46.5" customHeight="1">
      <c r="A585" s="123"/>
      <c r="B585" s="257"/>
      <c r="R585" s="124"/>
      <c r="X585" s="125"/>
    </row>
    <row r="586" spans="1:24" ht="46.5" customHeight="1">
      <c r="A586" s="123"/>
      <c r="B586" s="257"/>
      <c r="R586" s="124"/>
      <c r="X586" s="125"/>
    </row>
    <row r="587" spans="1:24" ht="46.5" customHeight="1">
      <c r="A587" s="123"/>
      <c r="B587" s="257"/>
      <c r="R587" s="124"/>
      <c r="X587" s="125"/>
    </row>
    <row r="588" spans="1:24" ht="46.5" customHeight="1">
      <c r="A588" s="123"/>
      <c r="B588" s="257"/>
      <c r="R588" s="124"/>
      <c r="X588" s="125"/>
    </row>
    <row r="589" spans="1:24" ht="46.5" customHeight="1">
      <c r="A589" s="123"/>
      <c r="B589" s="257"/>
      <c r="R589" s="124"/>
      <c r="X589" s="125"/>
    </row>
    <row r="590" spans="1:24" ht="46.5" customHeight="1">
      <c r="A590" s="123"/>
      <c r="B590" s="257"/>
      <c r="R590" s="124"/>
      <c r="X590" s="125"/>
    </row>
    <row r="591" spans="1:24" ht="46.5" customHeight="1">
      <c r="A591" s="123"/>
      <c r="B591" s="258"/>
      <c r="R591" s="124"/>
      <c r="X591" s="125"/>
    </row>
    <row r="592" spans="1:24" ht="46.5" customHeight="1">
      <c r="A592" s="123"/>
      <c r="B592" s="258"/>
      <c r="R592" s="124"/>
      <c r="X592" s="125"/>
    </row>
    <row r="593" spans="1:24" ht="46.5" customHeight="1">
      <c r="A593" s="123"/>
      <c r="B593" s="258"/>
      <c r="R593" s="124"/>
      <c r="X593" s="125"/>
    </row>
    <row r="594" spans="1:24" ht="46.5" customHeight="1">
      <c r="A594" s="123"/>
      <c r="B594" s="258"/>
      <c r="R594" s="124"/>
      <c r="X594" s="125"/>
    </row>
    <row r="595" spans="1:24" ht="46.5" customHeight="1">
      <c r="A595" s="123"/>
      <c r="B595" s="258"/>
      <c r="R595" s="124"/>
      <c r="X595" s="125"/>
    </row>
    <row r="596" spans="1:24" ht="46.5" customHeight="1">
      <c r="A596" s="123"/>
      <c r="B596" s="258"/>
      <c r="R596" s="124"/>
      <c r="X596" s="125"/>
    </row>
    <row r="597" spans="1:24" ht="46.5" customHeight="1">
      <c r="A597" s="123"/>
      <c r="B597" s="257"/>
      <c r="R597" s="124"/>
      <c r="X597" s="125"/>
    </row>
    <row r="598" spans="1:24" ht="46.5" customHeight="1">
      <c r="A598" s="123"/>
      <c r="B598" s="257"/>
      <c r="R598" s="124"/>
      <c r="X598" s="125"/>
    </row>
    <row r="599" spans="1:24" ht="46.5" customHeight="1">
      <c r="A599" s="123"/>
      <c r="B599" s="257"/>
      <c r="R599" s="124"/>
      <c r="X599" s="125"/>
    </row>
    <row r="600" spans="1:24" ht="46.5" customHeight="1">
      <c r="A600" s="123"/>
      <c r="B600" s="257"/>
      <c r="R600" s="124"/>
      <c r="X600" s="125"/>
    </row>
    <row r="601" spans="1:24" ht="46.5" customHeight="1">
      <c r="A601" s="123"/>
      <c r="B601" s="257"/>
      <c r="R601" s="124"/>
      <c r="X601" s="125"/>
    </row>
    <row r="602" spans="1:24" ht="46.5" customHeight="1">
      <c r="A602" s="123"/>
      <c r="B602" s="257"/>
      <c r="R602" s="124"/>
      <c r="X602" s="125"/>
    </row>
  </sheetData>
  <mergeCells count="109">
    <mergeCell ref="B573:B578"/>
    <mergeCell ref="B579:B584"/>
    <mergeCell ref="B585:B590"/>
    <mergeCell ref="B591:B596"/>
    <mergeCell ref="B597:B602"/>
    <mergeCell ref="B543:B548"/>
    <mergeCell ref="B549:B554"/>
    <mergeCell ref="B555:B560"/>
    <mergeCell ref="B561:B566"/>
    <mergeCell ref="B567:B572"/>
    <mergeCell ref="B513:B518"/>
    <mergeCell ref="B519:B524"/>
    <mergeCell ref="B525:B530"/>
    <mergeCell ref="B531:B536"/>
    <mergeCell ref="B537:B542"/>
    <mergeCell ref="B483:B488"/>
    <mergeCell ref="B489:B494"/>
    <mergeCell ref="B495:B500"/>
    <mergeCell ref="B501:B506"/>
    <mergeCell ref="B507:B512"/>
    <mergeCell ref="B453:B458"/>
    <mergeCell ref="B459:B464"/>
    <mergeCell ref="B465:B470"/>
    <mergeCell ref="B471:B476"/>
    <mergeCell ref="B477:B482"/>
    <mergeCell ref="B423:B428"/>
    <mergeCell ref="B429:B434"/>
    <mergeCell ref="B435:B440"/>
    <mergeCell ref="B441:B446"/>
    <mergeCell ref="B447:B452"/>
    <mergeCell ref="B393:B398"/>
    <mergeCell ref="B399:B404"/>
    <mergeCell ref="B405:B410"/>
    <mergeCell ref="B411:B416"/>
    <mergeCell ref="B417:B422"/>
    <mergeCell ref="B363:B368"/>
    <mergeCell ref="B369:B374"/>
    <mergeCell ref="B375:B380"/>
    <mergeCell ref="B381:B386"/>
    <mergeCell ref="B387:B392"/>
    <mergeCell ref="B333:B338"/>
    <mergeCell ref="B339:B344"/>
    <mergeCell ref="B345:B350"/>
    <mergeCell ref="B351:B356"/>
    <mergeCell ref="B357:B362"/>
    <mergeCell ref="B303:B308"/>
    <mergeCell ref="B309:B314"/>
    <mergeCell ref="B315:B320"/>
    <mergeCell ref="B321:B326"/>
    <mergeCell ref="B327:B332"/>
    <mergeCell ref="B273:B278"/>
    <mergeCell ref="B279:B284"/>
    <mergeCell ref="B285:B290"/>
    <mergeCell ref="B291:B296"/>
    <mergeCell ref="B297:B302"/>
    <mergeCell ref="B243:B248"/>
    <mergeCell ref="B249:B254"/>
    <mergeCell ref="B255:B260"/>
    <mergeCell ref="B261:B266"/>
    <mergeCell ref="B267:B272"/>
    <mergeCell ref="B213:B218"/>
    <mergeCell ref="B219:B224"/>
    <mergeCell ref="B225:B230"/>
    <mergeCell ref="B231:B236"/>
    <mergeCell ref="B237:B242"/>
    <mergeCell ref="B183:B188"/>
    <mergeCell ref="B189:B194"/>
    <mergeCell ref="B195:B200"/>
    <mergeCell ref="B201:B206"/>
    <mergeCell ref="B207:B212"/>
    <mergeCell ref="B153:B158"/>
    <mergeCell ref="B159:B164"/>
    <mergeCell ref="B165:B170"/>
    <mergeCell ref="B171:B176"/>
    <mergeCell ref="B177:B182"/>
    <mergeCell ref="B123:B128"/>
    <mergeCell ref="B129:B134"/>
    <mergeCell ref="B135:B140"/>
    <mergeCell ref="B141:B146"/>
    <mergeCell ref="B147:B152"/>
    <mergeCell ref="B93:B98"/>
    <mergeCell ref="B99:B104"/>
    <mergeCell ref="B105:B110"/>
    <mergeCell ref="B111:B116"/>
    <mergeCell ref="B117:B122"/>
    <mergeCell ref="B63:B68"/>
    <mergeCell ref="B69:B74"/>
    <mergeCell ref="B75:B80"/>
    <mergeCell ref="B81:B86"/>
    <mergeCell ref="B87:B92"/>
    <mergeCell ref="B33:B38"/>
    <mergeCell ref="B39:B44"/>
    <mergeCell ref="B45:B50"/>
    <mergeCell ref="B51:B56"/>
    <mergeCell ref="B57:B62"/>
    <mergeCell ref="A1:B2"/>
    <mergeCell ref="AI1:AM2"/>
    <mergeCell ref="AN1:AR2"/>
    <mergeCell ref="AD1:AH2"/>
    <mergeCell ref="C1:G2"/>
    <mergeCell ref="H1:L2"/>
    <mergeCell ref="M1:Q2"/>
    <mergeCell ref="S1:W2"/>
    <mergeCell ref="Y1:AC2"/>
    <mergeCell ref="B3:B8"/>
    <mergeCell ref="B9:B14"/>
    <mergeCell ref="B15:B20"/>
    <mergeCell ref="B21:B26"/>
    <mergeCell ref="B27:B32"/>
  </mergeCells>
  <phoneticPr fontId="3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F851-0B62-43E8-888B-B1EEDB6DB353}">
  <sheetPr>
    <tabColor rgb="FFC4A1E7"/>
  </sheetPr>
  <dimension ref="A1:AR602"/>
  <sheetViews>
    <sheetView zoomScale="20" zoomScaleNormal="20" zoomScaleSheetLayoutView="10" workbookViewId="0">
      <pane xSplit="2" ySplit="2" topLeftCell="C7" activePane="bottomRight" state="frozen"/>
      <selection pane="topRight" activeCell="CF70" sqref="CF70"/>
      <selection pane="bottomLeft" activeCell="CF70" sqref="CF70"/>
      <selection pane="bottomRight" activeCell="P49" sqref="P49"/>
    </sheetView>
  </sheetViews>
  <sheetFormatPr defaultRowHeight="15"/>
  <cols>
    <col min="1" max="1" width="43" customWidth="1"/>
    <col min="2" max="2" width="69.28515625" customWidth="1"/>
    <col min="3" max="17" width="30.85546875" customWidth="1"/>
    <col min="18" max="18" width="5.140625" customWidth="1"/>
    <col min="19" max="23" width="30.85546875" customWidth="1"/>
    <col min="24" max="24" width="4.42578125" customWidth="1"/>
    <col min="25" max="44" width="30.85546875" customWidth="1"/>
  </cols>
  <sheetData>
    <row r="1" spans="1:44" ht="92.25" customHeight="1">
      <c r="A1" s="248" t="s">
        <v>191</v>
      </c>
      <c r="B1" s="249"/>
      <c r="C1" s="255" t="s">
        <v>28</v>
      </c>
      <c r="D1" s="249"/>
      <c r="E1" s="249"/>
      <c r="F1" s="249"/>
      <c r="G1" s="252"/>
      <c r="H1" s="248" t="s">
        <v>29</v>
      </c>
      <c r="I1" s="249"/>
      <c r="J1" s="249"/>
      <c r="K1" s="249"/>
      <c r="L1" s="252"/>
      <c r="M1" s="248" t="s">
        <v>30</v>
      </c>
      <c r="N1" s="249"/>
      <c r="O1" s="249"/>
      <c r="P1" s="249"/>
      <c r="Q1" s="249"/>
      <c r="R1" s="129"/>
      <c r="S1" s="249" t="s">
        <v>31</v>
      </c>
      <c r="T1" s="249"/>
      <c r="U1" s="249"/>
      <c r="V1" s="249"/>
      <c r="W1" s="252"/>
      <c r="X1" s="130"/>
      <c r="Y1" s="248" t="s">
        <v>32</v>
      </c>
      <c r="Z1" s="249"/>
      <c r="AA1" s="249"/>
      <c r="AB1" s="249"/>
      <c r="AC1" s="252"/>
      <c r="AD1" s="248" t="s">
        <v>192</v>
      </c>
      <c r="AE1" s="249"/>
      <c r="AF1" s="249"/>
      <c r="AG1" s="249"/>
      <c r="AH1" s="252"/>
      <c r="AI1" s="248" t="s">
        <v>33</v>
      </c>
      <c r="AJ1" s="249"/>
      <c r="AK1" s="249"/>
      <c r="AL1" s="249"/>
      <c r="AM1" s="252"/>
      <c r="AN1" s="248" t="s">
        <v>193</v>
      </c>
      <c r="AO1" s="249"/>
      <c r="AP1" s="249"/>
      <c r="AQ1" s="249"/>
      <c r="AR1" s="252"/>
    </row>
    <row r="2" spans="1:44" ht="70.5" customHeight="1" thickBot="1">
      <c r="A2" s="250"/>
      <c r="B2" s="251"/>
      <c r="C2" s="253"/>
      <c r="D2" s="251"/>
      <c r="E2" s="251"/>
      <c r="F2" s="251"/>
      <c r="G2" s="254"/>
      <c r="H2" s="253"/>
      <c r="I2" s="251"/>
      <c r="J2" s="251"/>
      <c r="K2" s="251"/>
      <c r="L2" s="254"/>
      <c r="M2" s="253"/>
      <c r="N2" s="251"/>
      <c r="O2" s="251"/>
      <c r="P2" s="251"/>
      <c r="Q2" s="251"/>
      <c r="R2" s="131"/>
      <c r="S2" s="251"/>
      <c r="T2" s="251"/>
      <c r="U2" s="251"/>
      <c r="V2" s="251"/>
      <c r="W2" s="254"/>
      <c r="X2" s="130"/>
      <c r="Y2" s="253"/>
      <c r="Z2" s="251"/>
      <c r="AA2" s="251"/>
      <c r="AB2" s="251"/>
      <c r="AC2" s="254"/>
      <c r="AD2" s="253"/>
      <c r="AE2" s="251"/>
      <c r="AF2" s="251"/>
      <c r="AG2" s="251"/>
      <c r="AH2" s="254"/>
      <c r="AI2" s="253"/>
      <c r="AJ2" s="251"/>
      <c r="AK2" s="251"/>
      <c r="AL2" s="251"/>
      <c r="AM2" s="254"/>
      <c r="AN2" s="253"/>
      <c r="AO2" s="251"/>
      <c r="AP2" s="251"/>
      <c r="AQ2" s="251"/>
      <c r="AR2" s="254"/>
    </row>
    <row r="3" spans="1:44" ht="46.5" customHeight="1" thickBot="1">
      <c r="A3" s="102" t="s">
        <v>53</v>
      </c>
      <c r="B3" s="246">
        <f ca="1">TODAY()+14</f>
        <v>46278</v>
      </c>
      <c r="C3" s="132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11"/>
      <c r="R3" s="114"/>
      <c r="S3" s="108"/>
      <c r="T3" s="103"/>
      <c r="U3" s="103"/>
      <c r="V3" s="103"/>
      <c r="W3" s="103"/>
      <c r="X3" s="127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4"/>
    </row>
    <row r="4" spans="1:44" ht="46.5" customHeight="1" thickBot="1">
      <c r="A4" s="101" t="s">
        <v>55</v>
      </c>
      <c r="B4" s="247"/>
      <c r="C4" s="133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12"/>
      <c r="R4" s="115"/>
      <c r="S4" s="109"/>
      <c r="T4" s="100"/>
      <c r="U4" s="100"/>
      <c r="V4" s="100"/>
      <c r="W4" s="100"/>
      <c r="X4" s="13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5"/>
    </row>
    <row r="5" spans="1:44" ht="46.5" customHeight="1" thickBot="1">
      <c r="A5" s="101" t="s">
        <v>56</v>
      </c>
      <c r="B5" s="247"/>
      <c r="C5" s="133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12"/>
      <c r="R5" s="115"/>
      <c r="S5" s="109"/>
      <c r="T5" s="100"/>
      <c r="U5" s="100"/>
      <c r="V5" s="100"/>
      <c r="W5" s="100"/>
      <c r="X5" s="13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5"/>
    </row>
    <row r="6" spans="1:44" ht="46.5" customHeight="1" thickBot="1">
      <c r="A6" s="101" t="s">
        <v>57</v>
      </c>
      <c r="B6" s="247"/>
      <c r="C6" s="133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12"/>
      <c r="R6" s="115"/>
      <c r="S6" s="109"/>
      <c r="T6" s="100"/>
      <c r="U6" s="100"/>
      <c r="V6" s="100"/>
      <c r="W6" s="100"/>
      <c r="X6" s="13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5"/>
    </row>
    <row r="7" spans="1:44" ht="46.5" customHeight="1" thickBot="1">
      <c r="A7" s="101" t="s">
        <v>58</v>
      </c>
      <c r="B7" s="247"/>
      <c r="C7" s="133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12"/>
      <c r="R7" s="115"/>
      <c r="S7" s="109"/>
      <c r="T7" s="100"/>
      <c r="U7" s="100"/>
      <c r="V7" s="100"/>
      <c r="W7" s="100"/>
      <c r="X7" s="13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5"/>
    </row>
    <row r="8" spans="1:44" ht="46.5" customHeight="1" thickBot="1">
      <c r="A8" s="101" t="s">
        <v>59</v>
      </c>
      <c r="B8" s="247"/>
      <c r="C8" s="13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12"/>
      <c r="R8" s="115"/>
      <c r="S8" s="109"/>
      <c r="T8" s="100"/>
      <c r="U8" s="100"/>
      <c r="V8" s="100"/>
      <c r="W8" s="100"/>
      <c r="X8" s="13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5"/>
    </row>
    <row r="9" spans="1:44" ht="46.5" customHeight="1" thickBot="1">
      <c r="A9" s="101" t="s">
        <v>60</v>
      </c>
      <c r="B9" s="244">
        <f ca="1">TODAY()+14</f>
        <v>46278</v>
      </c>
      <c r="C9" s="13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12"/>
      <c r="R9" s="115"/>
      <c r="S9" s="109"/>
      <c r="T9" s="100"/>
      <c r="U9" s="100"/>
      <c r="V9" s="100"/>
      <c r="W9" s="100"/>
      <c r="X9" s="13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5"/>
    </row>
    <row r="10" spans="1:44" ht="46.5" customHeight="1" thickBot="1">
      <c r="A10" s="101" t="s">
        <v>61</v>
      </c>
      <c r="B10" s="244"/>
      <c r="C10" s="133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12"/>
      <c r="R10" s="115"/>
      <c r="S10" s="109"/>
      <c r="T10" s="100"/>
      <c r="U10" s="100"/>
      <c r="V10" s="100"/>
      <c r="W10" s="100"/>
      <c r="X10" s="13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5"/>
    </row>
    <row r="11" spans="1:44" ht="46.5" customHeight="1" thickBot="1">
      <c r="A11" s="101" t="s">
        <v>62</v>
      </c>
      <c r="B11" s="244"/>
      <c r="C11" s="133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12"/>
      <c r="R11" s="115"/>
      <c r="S11" s="109"/>
      <c r="T11" s="100"/>
      <c r="U11" s="100"/>
      <c r="V11" s="100"/>
      <c r="W11" s="100"/>
      <c r="X11" s="13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5"/>
    </row>
    <row r="12" spans="1:44" ht="46.5" customHeight="1" thickBot="1">
      <c r="A12" s="101" t="s">
        <v>63</v>
      </c>
      <c r="B12" s="244"/>
      <c r="C12" s="133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12"/>
      <c r="R12" s="115"/>
      <c r="S12" s="109"/>
      <c r="T12" s="100"/>
      <c r="U12" s="100"/>
      <c r="V12" s="100"/>
      <c r="W12" s="100"/>
      <c r="X12" s="13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5"/>
    </row>
    <row r="13" spans="1:44" ht="46.5" customHeight="1" thickBot="1">
      <c r="A13" s="101" t="s">
        <v>66</v>
      </c>
      <c r="B13" s="244"/>
      <c r="C13" s="133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12"/>
      <c r="R13" s="115"/>
      <c r="S13" s="109"/>
      <c r="T13" s="100"/>
      <c r="U13" s="100"/>
      <c r="V13" s="100"/>
      <c r="W13" s="100"/>
      <c r="X13" s="13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5"/>
    </row>
    <row r="14" spans="1:44" ht="46.5" customHeight="1" thickBot="1">
      <c r="A14" s="101" t="s">
        <v>67</v>
      </c>
      <c r="B14" s="245"/>
      <c r="C14" s="134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13"/>
      <c r="R14" s="116"/>
      <c r="S14" s="110"/>
      <c r="T14" s="106"/>
      <c r="U14" s="106"/>
      <c r="V14" s="106"/>
      <c r="W14" s="106"/>
      <c r="X14" s="13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7"/>
    </row>
    <row r="15" spans="1:44" ht="46.5" customHeight="1" thickBot="1">
      <c r="A15" s="101" t="s">
        <v>53</v>
      </c>
      <c r="B15" s="246">
        <f ca="1">B3+1</f>
        <v>46279</v>
      </c>
      <c r="C15" s="1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11"/>
      <c r="R15" s="114"/>
      <c r="S15" s="108"/>
      <c r="T15" s="103"/>
      <c r="U15" s="103"/>
      <c r="V15" s="103"/>
      <c r="W15" s="103"/>
      <c r="X15" s="1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4"/>
    </row>
    <row r="16" spans="1:44" ht="46.5" customHeight="1" thickBot="1">
      <c r="A16" s="101" t="s">
        <v>55</v>
      </c>
      <c r="B16" s="247"/>
      <c r="C16" s="133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12"/>
      <c r="R16" s="115"/>
      <c r="S16" s="109"/>
      <c r="T16" s="100"/>
      <c r="U16" s="100"/>
      <c r="V16" s="100"/>
      <c r="W16" s="100"/>
      <c r="X16" s="13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5"/>
    </row>
    <row r="17" spans="1:44" ht="46.5" customHeight="1" thickBot="1">
      <c r="A17" s="101" t="s">
        <v>56</v>
      </c>
      <c r="B17" s="247"/>
      <c r="C17" s="133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12"/>
      <c r="R17" s="115"/>
      <c r="S17" s="109"/>
      <c r="T17" s="100"/>
      <c r="U17" s="100"/>
      <c r="V17" s="100"/>
      <c r="W17" s="100"/>
      <c r="X17" s="13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5"/>
    </row>
    <row r="18" spans="1:44" ht="46.5" customHeight="1" thickBot="1">
      <c r="A18" s="101" t="s">
        <v>57</v>
      </c>
      <c r="B18" s="247"/>
      <c r="C18" s="133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12"/>
      <c r="R18" s="115"/>
      <c r="S18" s="109"/>
      <c r="T18" s="100"/>
      <c r="U18" s="100"/>
      <c r="V18" s="100"/>
      <c r="W18" s="100"/>
      <c r="X18" s="13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5"/>
    </row>
    <row r="19" spans="1:44" ht="46.5" customHeight="1" thickBot="1">
      <c r="A19" s="101" t="s">
        <v>58</v>
      </c>
      <c r="B19" s="247"/>
      <c r="C19" s="133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12"/>
      <c r="R19" s="115"/>
      <c r="S19" s="109"/>
      <c r="T19" s="100"/>
      <c r="U19" s="100"/>
      <c r="V19" s="100"/>
      <c r="W19" s="100"/>
      <c r="X19" s="13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5"/>
    </row>
    <row r="20" spans="1:44" ht="46.5" customHeight="1" thickBot="1">
      <c r="A20" s="101" t="s">
        <v>59</v>
      </c>
      <c r="B20" s="247"/>
      <c r="C20" s="133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12"/>
      <c r="R20" s="115"/>
      <c r="S20" s="109"/>
      <c r="T20" s="100"/>
      <c r="U20" s="100"/>
      <c r="V20" s="100"/>
      <c r="W20" s="100"/>
      <c r="X20" s="13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5"/>
    </row>
    <row r="21" spans="1:44" ht="46.5" customHeight="1" thickBot="1">
      <c r="A21" s="101" t="s">
        <v>60</v>
      </c>
      <c r="B21" s="244">
        <f ca="1">B9+1</f>
        <v>46279</v>
      </c>
      <c r="C21" s="133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12"/>
      <c r="R21" s="115"/>
      <c r="S21" s="109"/>
      <c r="T21" s="100"/>
      <c r="U21" s="100"/>
      <c r="V21" s="100"/>
      <c r="W21" s="100"/>
      <c r="X21" s="13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5"/>
    </row>
    <row r="22" spans="1:44" ht="46.5" customHeight="1" thickBot="1">
      <c r="A22" s="101" t="s">
        <v>61</v>
      </c>
      <c r="B22" s="244"/>
      <c r="C22" s="133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12"/>
      <c r="R22" s="115"/>
      <c r="S22" s="109"/>
      <c r="T22" s="100"/>
      <c r="U22" s="100"/>
      <c r="V22" s="100"/>
      <c r="W22" s="100"/>
      <c r="X22" s="13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5"/>
    </row>
    <row r="23" spans="1:44" ht="46.5" customHeight="1" thickBot="1">
      <c r="A23" s="101" t="s">
        <v>62</v>
      </c>
      <c r="B23" s="244"/>
      <c r="C23" s="133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12"/>
      <c r="R23" s="115"/>
      <c r="S23" s="109"/>
      <c r="T23" s="100"/>
      <c r="U23" s="100"/>
      <c r="V23" s="100"/>
      <c r="W23" s="100"/>
      <c r="X23" s="13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5"/>
    </row>
    <row r="24" spans="1:44" ht="46.5" customHeight="1" thickBot="1">
      <c r="A24" s="101" t="s">
        <v>63</v>
      </c>
      <c r="B24" s="244"/>
      <c r="C24" s="133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12"/>
      <c r="R24" s="115"/>
      <c r="S24" s="109"/>
      <c r="T24" s="100"/>
      <c r="U24" s="100"/>
      <c r="V24" s="100"/>
      <c r="W24" s="100"/>
      <c r="X24" s="13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5"/>
    </row>
    <row r="25" spans="1:44" ht="46.5" customHeight="1" thickBot="1">
      <c r="A25" s="101" t="s">
        <v>66</v>
      </c>
      <c r="B25" s="244"/>
      <c r="C25" s="133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12"/>
      <c r="R25" s="115"/>
      <c r="S25" s="109"/>
      <c r="T25" s="100"/>
      <c r="U25" s="100"/>
      <c r="V25" s="100"/>
      <c r="W25" s="100"/>
      <c r="X25" s="13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5"/>
    </row>
    <row r="26" spans="1:44" ht="46.5" customHeight="1" thickBot="1">
      <c r="A26" s="101" t="s">
        <v>67</v>
      </c>
      <c r="B26" s="245"/>
      <c r="C26" s="134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13"/>
      <c r="R26" s="116"/>
      <c r="S26" s="110"/>
      <c r="T26" s="106"/>
      <c r="U26" s="106"/>
      <c r="V26" s="106"/>
      <c r="W26" s="106"/>
      <c r="X26" s="13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7"/>
    </row>
    <row r="27" spans="1:44" ht="46.5" customHeight="1" thickBot="1">
      <c r="A27" s="101" t="s">
        <v>53</v>
      </c>
      <c r="B27" s="246">
        <f ca="1">B15+1</f>
        <v>46280</v>
      </c>
      <c r="C27" s="1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11"/>
      <c r="R27" s="114"/>
      <c r="S27" s="108"/>
      <c r="T27" s="103"/>
      <c r="U27" s="103"/>
      <c r="V27" s="103"/>
      <c r="W27" s="103"/>
      <c r="X27" s="1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4"/>
    </row>
    <row r="28" spans="1:44" ht="46.5" customHeight="1" thickBot="1">
      <c r="A28" s="101" t="s">
        <v>55</v>
      </c>
      <c r="B28" s="247"/>
      <c r="C28" s="133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12"/>
      <c r="R28" s="115"/>
      <c r="S28" s="109"/>
      <c r="T28" s="100"/>
      <c r="U28" s="100"/>
      <c r="V28" s="100"/>
      <c r="W28" s="100"/>
      <c r="X28" s="13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5"/>
    </row>
    <row r="29" spans="1:44" ht="46.5" customHeight="1" thickBot="1">
      <c r="A29" s="101" t="s">
        <v>56</v>
      </c>
      <c r="B29" s="247"/>
      <c r="C29" s="133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12"/>
      <c r="R29" s="115"/>
      <c r="S29" s="109"/>
      <c r="T29" s="100"/>
      <c r="U29" s="100"/>
      <c r="V29" s="100"/>
      <c r="W29" s="100"/>
      <c r="X29" s="13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5"/>
    </row>
    <row r="30" spans="1:44" ht="46.5" customHeight="1" thickBot="1">
      <c r="A30" s="101" t="s">
        <v>57</v>
      </c>
      <c r="B30" s="247"/>
      <c r="C30" s="133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12"/>
      <c r="R30" s="115"/>
      <c r="S30" s="109"/>
      <c r="T30" s="100"/>
      <c r="U30" s="100"/>
      <c r="V30" s="100"/>
      <c r="W30" s="100"/>
      <c r="X30" s="13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5"/>
    </row>
    <row r="31" spans="1:44" ht="46.5" customHeight="1" thickBot="1">
      <c r="A31" s="101" t="s">
        <v>58</v>
      </c>
      <c r="B31" s="247"/>
      <c r="C31" s="133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12"/>
      <c r="R31" s="115"/>
      <c r="S31" s="109"/>
      <c r="T31" s="100"/>
      <c r="U31" s="100"/>
      <c r="V31" s="100"/>
      <c r="W31" s="100"/>
      <c r="X31" s="13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5"/>
    </row>
    <row r="32" spans="1:44" ht="46.5" customHeight="1" thickBot="1">
      <c r="A32" s="101" t="s">
        <v>59</v>
      </c>
      <c r="B32" s="247"/>
      <c r="C32" s="133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12"/>
      <c r="R32" s="115"/>
      <c r="S32" s="109"/>
      <c r="T32" s="100"/>
      <c r="U32" s="100"/>
      <c r="V32" s="100"/>
      <c r="W32" s="100"/>
      <c r="X32" s="13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5"/>
    </row>
    <row r="33" spans="1:44" ht="46.5" customHeight="1" thickBot="1">
      <c r="A33" s="101" t="s">
        <v>60</v>
      </c>
      <c r="B33" s="244">
        <f ca="1">B21+1</f>
        <v>46280</v>
      </c>
      <c r="C33" s="133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12"/>
      <c r="R33" s="115"/>
      <c r="S33" s="109"/>
      <c r="T33" s="100"/>
      <c r="U33" s="100"/>
      <c r="V33" s="100"/>
      <c r="W33" s="100"/>
      <c r="X33" s="13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5"/>
    </row>
    <row r="34" spans="1:44" ht="46.5" customHeight="1" thickBot="1">
      <c r="A34" s="101" t="s">
        <v>61</v>
      </c>
      <c r="B34" s="244"/>
      <c r="C34" s="133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12"/>
      <c r="R34" s="115"/>
      <c r="S34" s="109"/>
      <c r="T34" s="100"/>
      <c r="U34" s="100"/>
      <c r="V34" s="100"/>
      <c r="W34" s="100"/>
      <c r="X34" s="13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5"/>
    </row>
    <row r="35" spans="1:44" ht="46.5" customHeight="1" thickBot="1">
      <c r="A35" s="101" t="s">
        <v>62</v>
      </c>
      <c r="B35" s="244"/>
      <c r="C35" s="133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12"/>
      <c r="R35" s="115"/>
      <c r="S35" s="109"/>
      <c r="T35" s="100"/>
      <c r="U35" s="100"/>
      <c r="V35" s="100"/>
      <c r="W35" s="100"/>
      <c r="X35" s="13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5"/>
    </row>
    <row r="36" spans="1:44" ht="46.5" customHeight="1" thickBot="1">
      <c r="A36" s="101" t="s">
        <v>63</v>
      </c>
      <c r="B36" s="244"/>
      <c r="C36" s="133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12"/>
      <c r="R36" s="115"/>
      <c r="S36" s="109"/>
      <c r="T36" s="100"/>
      <c r="U36" s="100"/>
      <c r="V36" s="100"/>
      <c r="W36" s="100"/>
      <c r="X36" s="13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5"/>
    </row>
    <row r="37" spans="1:44" ht="46.5" customHeight="1" thickBot="1">
      <c r="A37" s="101" t="s">
        <v>66</v>
      </c>
      <c r="B37" s="244"/>
      <c r="C37" s="133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12"/>
      <c r="R37" s="115"/>
      <c r="S37" s="109"/>
      <c r="T37" s="100"/>
      <c r="U37" s="100"/>
      <c r="V37" s="100"/>
      <c r="W37" s="100"/>
      <c r="X37" s="13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5"/>
    </row>
    <row r="38" spans="1:44" ht="46.5" customHeight="1" thickBot="1">
      <c r="A38" s="101" t="s">
        <v>67</v>
      </c>
      <c r="B38" s="245"/>
      <c r="C38" s="134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13"/>
      <c r="R38" s="116"/>
      <c r="S38" s="110"/>
      <c r="T38" s="106"/>
      <c r="U38" s="106"/>
      <c r="V38" s="106"/>
      <c r="W38" s="106"/>
      <c r="X38" s="13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7"/>
    </row>
    <row r="39" spans="1:44" ht="46.5" customHeight="1" thickBot="1">
      <c r="A39" s="101" t="s">
        <v>53</v>
      </c>
      <c r="B39" s="246">
        <f t="shared" ref="B39" ca="1" si="0">B27+1</f>
        <v>46281</v>
      </c>
      <c r="C39" s="13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11"/>
      <c r="R39" s="114"/>
      <c r="S39" s="108"/>
      <c r="T39" s="103"/>
      <c r="U39" s="103"/>
      <c r="V39" s="103"/>
      <c r="W39" s="103"/>
      <c r="X39" s="1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4"/>
    </row>
    <row r="40" spans="1:44" ht="46.5" customHeight="1" thickBot="1">
      <c r="A40" s="101" t="s">
        <v>55</v>
      </c>
      <c r="B40" s="247"/>
      <c r="C40" s="133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12"/>
      <c r="R40" s="115"/>
      <c r="S40" s="109"/>
      <c r="T40" s="100"/>
      <c r="U40" s="100"/>
      <c r="V40" s="100"/>
      <c r="W40" s="100"/>
      <c r="X40" s="13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5"/>
    </row>
    <row r="41" spans="1:44" ht="46.5" customHeight="1" thickBot="1">
      <c r="A41" s="101" t="s">
        <v>56</v>
      </c>
      <c r="B41" s="247"/>
      <c r="C41" s="133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12"/>
      <c r="R41" s="115"/>
      <c r="S41" s="109"/>
      <c r="T41" s="100"/>
      <c r="U41" s="100"/>
      <c r="V41" s="100"/>
      <c r="W41" s="100"/>
      <c r="X41" s="13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5"/>
    </row>
    <row r="42" spans="1:44" ht="46.5" customHeight="1" thickBot="1">
      <c r="A42" s="101" t="s">
        <v>57</v>
      </c>
      <c r="B42" s="247"/>
      <c r="C42" s="133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12"/>
      <c r="R42" s="115"/>
      <c r="S42" s="109"/>
      <c r="T42" s="100"/>
      <c r="U42" s="100"/>
      <c r="V42" s="100"/>
      <c r="W42" s="100"/>
      <c r="X42" s="13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5"/>
    </row>
    <row r="43" spans="1:44" ht="46.5" customHeight="1" thickBot="1">
      <c r="A43" s="101" t="s">
        <v>58</v>
      </c>
      <c r="B43" s="247"/>
      <c r="C43" s="133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12"/>
      <c r="R43" s="115"/>
      <c r="S43" s="109"/>
      <c r="T43" s="100"/>
      <c r="U43" s="100"/>
      <c r="V43" s="100"/>
      <c r="W43" s="100"/>
      <c r="X43" s="13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5"/>
    </row>
    <row r="44" spans="1:44" ht="46.5" customHeight="1" thickBot="1">
      <c r="A44" s="101" t="s">
        <v>59</v>
      </c>
      <c r="B44" s="247"/>
      <c r="C44" s="133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12"/>
      <c r="R44" s="115"/>
      <c r="S44" s="109"/>
      <c r="T44" s="100"/>
      <c r="U44" s="100"/>
      <c r="V44" s="100"/>
      <c r="W44" s="100"/>
      <c r="X44" s="13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5"/>
    </row>
    <row r="45" spans="1:44" ht="46.5" customHeight="1" thickBot="1">
      <c r="A45" s="101" t="s">
        <v>60</v>
      </c>
      <c r="B45" s="244">
        <f t="shared" ref="B45" ca="1" si="1">B33+1</f>
        <v>46281</v>
      </c>
      <c r="C45" s="133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12"/>
      <c r="R45" s="115"/>
      <c r="S45" s="109"/>
      <c r="T45" s="100"/>
      <c r="U45" s="100"/>
      <c r="V45" s="100"/>
      <c r="W45" s="100"/>
      <c r="X45" s="13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5"/>
    </row>
    <row r="46" spans="1:44" ht="46.5" customHeight="1" thickBot="1">
      <c r="A46" s="101" t="s">
        <v>61</v>
      </c>
      <c r="B46" s="244"/>
      <c r="C46" s="133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12"/>
      <c r="R46" s="115"/>
      <c r="S46" s="109"/>
      <c r="T46" s="100"/>
      <c r="U46" s="100"/>
      <c r="V46" s="100"/>
      <c r="W46" s="100"/>
      <c r="X46" s="13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5"/>
    </row>
    <row r="47" spans="1:44" ht="46.5" customHeight="1" thickBot="1">
      <c r="A47" s="101" t="s">
        <v>62</v>
      </c>
      <c r="B47" s="244"/>
      <c r="C47" s="133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12"/>
      <c r="R47" s="115"/>
      <c r="S47" s="109"/>
      <c r="T47" s="100"/>
      <c r="U47" s="100"/>
      <c r="V47" s="100"/>
      <c r="W47" s="100"/>
      <c r="X47" s="13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5"/>
    </row>
    <row r="48" spans="1:44" ht="46.5" customHeight="1" thickBot="1">
      <c r="A48" s="101" t="s">
        <v>63</v>
      </c>
      <c r="B48" s="244"/>
      <c r="C48" s="133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12"/>
      <c r="R48" s="115"/>
      <c r="S48" s="109"/>
      <c r="T48" s="100"/>
      <c r="U48" s="100"/>
      <c r="V48" s="100"/>
      <c r="W48" s="100"/>
      <c r="X48" s="13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5"/>
    </row>
    <row r="49" spans="1:44" ht="46.5" customHeight="1" thickBot="1">
      <c r="A49" s="101" t="s">
        <v>66</v>
      </c>
      <c r="B49" s="244"/>
      <c r="C49" s="133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12"/>
      <c r="R49" s="115"/>
      <c r="S49" s="109"/>
      <c r="T49" s="100"/>
      <c r="U49" s="100"/>
      <c r="V49" s="100"/>
      <c r="W49" s="100"/>
      <c r="X49" s="13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5"/>
    </row>
    <row r="50" spans="1:44" ht="46.5" customHeight="1" thickBot="1">
      <c r="A50" s="101" t="s">
        <v>67</v>
      </c>
      <c r="B50" s="245"/>
      <c r="C50" s="134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13"/>
      <c r="R50" s="116"/>
      <c r="S50" s="110"/>
      <c r="T50" s="106"/>
      <c r="U50" s="106"/>
      <c r="V50" s="106"/>
      <c r="W50" s="106"/>
      <c r="X50" s="13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7"/>
    </row>
    <row r="51" spans="1:44" ht="46.5" customHeight="1" thickBot="1">
      <c r="A51" s="101" t="s">
        <v>53</v>
      </c>
      <c r="B51" s="246">
        <f t="shared" ref="B51" ca="1" si="2">B39+1</f>
        <v>46282</v>
      </c>
      <c r="C51" s="132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11"/>
      <c r="R51" s="114"/>
      <c r="S51" s="108"/>
      <c r="T51" s="103"/>
      <c r="U51" s="103"/>
      <c r="V51" s="103"/>
      <c r="W51" s="103"/>
      <c r="X51" s="1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4"/>
    </row>
    <row r="52" spans="1:44" ht="46.5" customHeight="1" thickBot="1">
      <c r="A52" s="101" t="s">
        <v>55</v>
      </c>
      <c r="B52" s="247"/>
      <c r="C52" s="133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12"/>
      <c r="R52" s="115"/>
      <c r="S52" s="109"/>
      <c r="T52" s="100"/>
      <c r="U52" s="100"/>
      <c r="V52" s="100"/>
      <c r="W52" s="100"/>
      <c r="X52" s="13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5"/>
    </row>
    <row r="53" spans="1:44" ht="46.5" customHeight="1" thickBot="1">
      <c r="A53" s="101" t="s">
        <v>56</v>
      </c>
      <c r="B53" s="247"/>
      <c r="C53" s="133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12"/>
      <c r="R53" s="115"/>
      <c r="S53" s="109"/>
      <c r="T53" s="100"/>
      <c r="U53" s="100"/>
      <c r="V53" s="100"/>
      <c r="W53" s="100"/>
      <c r="X53" s="13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5"/>
    </row>
    <row r="54" spans="1:44" ht="46.5" customHeight="1" thickBot="1">
      <c r="A54" s="101" t="s">
        <v>57</v>
      </c>
      <c r="B54" s="247"/>
      <c r="C54" s="133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12"/>
      <c r="R54" s="115"/>
      <c r="S54" s="109"/>
      <c r="T54" s="100"/>
      <c r="U54" s="100"/>
      <c r="V54" s="100"/>
      <c r="W54" s="100"/>
      <c r="X54" s="13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5"/>
    </row>
    <row r="55" spans="1:44" ht="46.5" customHeight="1" thickBot="1">
      <c r="A55" s="101" t="s">
        <v>58</v>
      </c>
      <c r="B55" s="247"/>
      <c r="C55" s="133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12"/>
      <c r="R55" s="115"/>
      <c r="S55" s="109"/>
      <c r="T55" s="100"/>
      <c r="U55" s="100"/>
      <c r="V55" s="100"/>
      <c r="W55" s="100"/>
      <c r="X55" s="13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5"/>
    </row>
    <row r="56" spans="1:44" ht="46.5" customHeight="1" thickBot="1">
      <c r="A56" s="101" t="s">
        <v>59</v>
      </c>
      <c r="B56" s="247"/>
      <c r="C56" s="133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12"/>
      <c r="R56" s="115"/>
      <c r="S56" s="109"/>
      <c r="T56" s="100"/>
      <c r="U56" s="100"/>
      <c r="V56" s="100"/>
      <c r="W56" s="100"/>
      <c r="X56" s="13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5"/>
    </row>
    <row r="57" spans="1:44" ht="46.5" customHeight="1" thickBot="1">
      <c r="A57" s="101" t="s">
        <v>60</v>
      </c>
      <c r="B57" s="244">
        <f t="shared" ref="B57" ca="1" si="3">B45+1</f>
        <v>46282</v>
      </c>
      <c r="C57" s="133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12"/>
      <c r="R57" s="115"/>
      <c r="S57" s="109"/>
      <c r="T57" s="100"/>
      <c r="U57" s="100"/>
      <c r="V57" s="100"/>
      <c r="W57" s="100"/>
      <c r="X57" s="13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5"/>
    </row>
    <row r="58" spans="1:44" ht="46.5" customHeight="1" thickBot="1">
      <c r="A58" s="101" t="s">
        <v>61</v>
      </c>
      <c r="B58" s="244"/>
      <c r="C58" s="133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12"/>
      <c r="R58" s="115"/>
      <c r="S58" s="109"/>
      <c r="T58" s="100"/>
      <c r="U58" s="100"/>
      <c r="V58" s="100"/>
      <c r="W58" s="100"/>
      <c r="X58" s="13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5"/>
    </row>
    <row r="59" spans="1:44" ht="46.5" customHeight="1" thickBot="1">
      <c r="A59" s="101" t="s">
        <v>62</v>
      </c>
      <c r="B59" s="244"/>
      <c r="C59" s="133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12"/>
      <c r="R59" s="115"/>
      <c r="S59" s="109"/>
      <c r="T59" s="100"/>
      <c r="U59" s="100"/>
      <c r="V59" s="100"/>
      <c r="W59" s="100"/>
      <c r="X59" s="13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5"/>
    </row>
    <row r="60" spans="1:44" ht="46.5" customHeight="1" thickBot="1">
      <c r="A60" s="101" t="s">
        <v>63</v>
      </c>
      <c r="B60" s="244"/>
      <c r="C60" s="133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12"/>
      <c r="R60" s="115"/>
      <c r="S60" s="109"/>
      <c r="T60" s="100"/>
      <c r="U60" s="100"/>
      <c r="V60" s="100"/>
      <c r="W60" s="100"/>
      <c r="X60" s="13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5"/>
    </row>
    <row r="61" spans="1:44" ht="46.5" customHeight="1" thickBot="1">
      <c r="A61" s="101" t="s">
        <v>66</v>
      </c>
      <c r="B61" s="244"/>
      <c r="C61" s="133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12"/>
      <c r="R61" s="115"/>
      <c r="S61" s="109"/>
      <c r="T61" s="100"/>
      <c r="U61" s="100"/>
      <c r="V61" s="100"/>
      <c r="W61" s="100"/>
      <c r="X61" s="13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5"/>
    </row>
    <row r="62" spans="1:44" ht="46.5" customHeight="1" thickBot="1">
      <c r="A62" s="101" t="s">
        <v>67</v>
      </c>
      <c r="B62" s="245"/>
      <c r="C62" s="134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13"/>
      <c r="R62" s="116"/>
      <c r="S62" s="110"/>
      <c r="T62" s="106"/>
      <c r="U62" s="106"/>
      <c r="V62" s="106"/>
      <c r="W62" s="106"/>
      <c r="X62" s="13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7"/>
    </row>
    <row r="63" spans="1:44" ht="46.5" customHeight="1" thickBot="1">
      <c r="A63" s="101" t="s">
        <v>53</v>
      </c>
      <c r="B63" s="246">
        <f t="shared" ref="B63" ca="1" si="4">B51+1</f>
        <v>46283</v>
      </c>
      <c r="C63" s="132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11"/>
      <c r="R63" s="114"/>
      <c r="S63" s="108"/>
      <c r="T63" s="103"/>
      <c r="U63" s="103"/>
      <c r="V63" s="103"/>
      <c r="W63" s="103"/>
      <c r="X63" s="1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4"/>
    </row>
    <row r="64" spans="1:44" ht="46.5" customHeight="1" thickBot="1">
      <c r="A64" s="101" t="s">
        <v>55</v>
      </c>
      <c r="B64" s="247"/>
      <c r="C64" s="133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12"/>
      <c r="R64" s="115"/>
      <c r="S64" s="109"/>
      <c r="T64" s="100"/>
      <c r="U64" s="100"/>
      <c r="V64" s="100"/>
      <c r="W64" s="100"/>
      <c r="X64" s="13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5"/>
    </row>
    <row r="65" spans="1:44" ht="46.5" customHeight="1" thickBot="1">
      <c r="A65" s="101" t="s">
        <v>56</v>
      </c>
      <c r="B65" s="247"/>
      <c r="C65" s="133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12"/>
      <c r="R65" s="115"/>
      <c r="S65" s="109"/>
      <c r="T65" s="100"/>
      <c r="U65" s="100"/>
      <c r="V65" s="100"/>
      <c r="W65" s="100"/>
      <c r="X65" s="13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5"/>
    </row>
    <row r="66" spans="1:44" ht="46.5" customHeight="1" thickBot="1">
      <c r="A66" s="101" t="s">
        <v>57</v>
      </c>
      <c r="B66" s="247"/>
      <c r="C66" s="133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12"/>
      <c r="R66" s="115"/>
      <c r="S66" s="109"/>
      <c r="T66" s="100"/>
      <c r="U66" s="100"/>
      <c r="V66" s="100"/>
      <c r="W66" s="100"/>
      <c r="X66" s="13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5"/>
    </row>
    <row r="67" spans="1:44" ht="46.5" customHeight="1" thickBot="1">
      <c r="A67" s="101" t="s">
        <v>58</v>
      </c>
      <c r="B67" s="247"/>
      <c r="C67" s="133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12"/>
      <c r="R67" s="115"/>
      <c r="S67" s="109"/>
      <c r="T67" s="100"/>
      <c r="U67" s="100"/>
      <c r="V67" s="100"/>
      <c r="W67" s="100"/>
      <c r="X67" s="13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5"/>
    </row>
    <row r="68" spans="1:44" ht="46.5" customHeight="1" thickBot="1">
      <c r="A68" s="101" t="s">
        <v>59</v>
      </c>
      <c r="B68" s="247"/>
      <c r="C68" s="133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12"/>
      <c r="R68" s="115"/>
      <c r="S68" s="109"/>
      <c r="T68" s="100"/>
      <c r="U68" s="100"/>
      <c r="V68" s="100"/>
      <c r="W68" s="100"/>
      <c r="X68" s="13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5"/>
    </row>
    <row r="69" spans="1:44" ht="46.5" customHeight="1" thickBot="1">
      <c r="A69" s="101" t="s">
        <v>60</v>
      </c>
      <c r="B69" s="244">
        <f t="shared" ref="B69" ca="1" si="5">B57+1</f>
        <v>46283</v>
      </c>
      <c r="C69" s="133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12"/>
      <c r="R69" s="115"/>
      <c r="S69" s="109"/>
      <c r="T69" s="100"/>
      <c r="U69" s="100"/>
      <c r="V69" s="100"/>
      <c r="W69" s="100"/>
      <c r="X69" s="13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5"/>
    </row>
    <row r="70" spans="1:44" ht="46.5" customHeight="1" thickBot="1">
      <c r="A70" s="101" t="s">
        <v>61</v>
      </c>
      <c r="B70" s="244"/>
      <c r="C70" s="133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12"/>
      <c r="R70" s="115"/>
      <c r="S70" s="109"/>
      <c r="T70" s="100"/>
      <c r="U70" s="100"/>
      <c r="V70" s="100"/>
      <c r="W70" s="100"/>
      <c r="X70" s="13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5"/>
    </row>
    <row r="71" spans="1:44" ht="46.5" customHeight="1" thickBot="1">
      <c r="A71" s="101" t="s">
        <v>62</v>
      </c>
      <c r="B71" s="244"/>
      <c r="C71" s="133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12"/>
      <c r="R71" s="115"/>
      <c r="S71" s="109"/>
      <c r="T71" s="100"/>
      <c r="U71" s="100"/>
      <c r="V71" s="100"/>
      <c r="W71" s="100"/>
      <c r="X71" s="13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5"/>
    </row>
    <row r="72" spans="1:44" ht="46.5" customHeight="1" thickBot="1">
      <c r="A72" s="101" t="s">
        <v>63</v>
      </c>
      <c r="B72" s="244"/>
      <c r="C72" s="133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12"/>
      <c r="R72" s="115"/>
      <c r="S72" s="109"/>
      <c r="T72" s="100"/>
      <c r="U72" s="100"/>
      <c r="V72" s="100"/>
      <c r="W72" s="100"/>
      <c r="X72" s="13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5"/>
    </row>
    <row r="73" spans="1:44" ht="46.5" customHeight="1" thickBot="1">
      <c r="A73" s="101" t="s">
        <v>66</v>
      </c>
      <c r="B73" s="244"/>
      <c r="C73" s="133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12"/>
      <c r="R73" s="115"/>
      <c r="S73" s="109"/>
      <c r="T73" s="100"/>
      <c r="U73" s="100"/>
      <c r="V73" s="100"/>
      <c r="W73" s="100"/>
      <c r="X73" s="13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5"/>
    </row>
    <row r="74" spans="1:44" ht="46.5" customHeight="1" thickBot="1">
      <c r="A74" s="101" t="s">
        <v>67</v>
      </c>
      <c r="B74" s="245"/>
      <c r="C74" s="134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13"/>
      <c r="R74" s="116"/>
      <c r="S74" s="110"/>
      <c r="T74" s="106"/>
      <c r="U74" s="106"/>
      <c r="V74" s="106"/>
      <c r="W74" s="106"/>
      <c r="X74" s="13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7"/>
    </row>
    <row r="75" spans="1:44" ht="46.5" customHeight="1" thickBot="1">
      <c r="A75" s="101" t="s">
        <v>53</v>
      </c>
      <c r="B75" s="246">
        <f t="shared" ref="B75" ca="1" si="6">B63+1</f>
        <v>46284</v>
      </c>
      <c r="C75" s="132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11"/>
      <c r="R75" s="114"/>
      <c r="S75" s="108"/>
      <c r="T75" s="103"/>
      <c r="U75" s="103"/>
      <c r="V75" s="103"/>
      <c r="W75" s="103"/>
      <c r="X75" s="1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4"/>
    </row>
    <row r="76" spans="1:44" ht="46.5" customHeight="1" thickBot="1">
      <c r="A76" s="101" t="s">
        <v>55</v>
      </c>
      <c r="B76" s="247"/>
      <c r="C76" s="133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12"/>
      <c r="R76" s="115"/>
      <c r="S76" s="109"/>
      <c r="T76" s="100"/>
      <c r="U76" s="100"/>
      <c r="V76" s="100"/>
      <c r="W76" s="100"/>
      <c r="X76" s="13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5"/>
    </row>
    <row r="77" spans="1:44" ht="46.5" customHeight="1" thickBot="1">
      <c r="A77" s="101" t="s">
        <v>56</v>
      </c>
      <c r="B77" s="247"/>
      <c r="C77" s="133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12"/>
      <c r="R77" s="115"/>
      <c r="S77" s="109"/>
      <c r="T77" s="100"/>
      <c r="U77" s="100"/>
      <c r="V77" s="100"/>
      <c r="W77" s="100"/>
      <c r="X77" s="13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5"/>
    </row>
    <row r="78" spans="1:44" ht="46.5" customHeight="1" thickBot="1">
      <c r="A78" s="101" t="s">
        <v>57</v>
      </c>
      <c r="B78" s="247"/>
      <c r="C78" s="133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12"/>
      <c r="R78" s="115"/>
      <c r="S78" s="109"/>
      <c r="T78" s="100"/>
      <c r="U78" s="100"/>
      <c r="V78" s="100"/>
      <c r="W78" s="100"/>
      <c r="X78" s="13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5"/>
    </row>
    <row r="79" spans="1:44" ht="46.5" customHeight="1" thickBot="1">
      <c r="A79" s="101" t="s">
        <v>58</v>
      </c>
      <c r="B79" s="247"/>
      <c r="C79" s="133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12"/>
      <c r="R79" s="115"/>
      <c r="S79" s="109"/>
      <c r="T79" s="100"/>
      <c r="U79" s="100"/>
      <c r="V79" s="100"/>
      <c r="W79" s="100"/>
      <c r="X79" s="13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5"/>
    </row>
    <row r="80" spans="1:44" ht="46.5" customHeight="1" thickBot="1">
      <c r="A80" s="101" t="s">
        <v>59</v>
      </c>
      <c r="B80" s="247"/>
      <c r="C80" s="133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12"/>
      <c r="R80" s="115"/>
      <c r="S80" s="109"/>
      <c r="T80" s="100"/>
      <c r="U80" s="100"/>
      <c r="V80" s="100"/>
      <c r="W80" s="100"/>
      <c r="X80" s="13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5"/>
    </row>
    <row r="81" spans="1:44" ht="46.5" customHeight="1" thickBot="1">
      <c r="A81" s="101" t="s">
        <v>60</v>
      </c>
      <c r="B81" s="244">
        <f t="shared" ref="B81" ca="1" si="7">B69+1</f>
        <v>46284</v>
      </c>
      <c r="C81" s="133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12"/>
      <c r="R81" s="115"/>
      <c r="S81" s="109"/>
      <c r="T81" s="100"/>
      <c r="U81" s="100"/>
      <c r="V81" s="100"/>
      <c r="W81" s="100"/>
      <c r="X81" s="13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5"/>
    </row>
    <row r="82" spans="1:44" ht="46.5" customHeight="1" thickBot="1">
      <c r="A82" s="101" t="s">
        <v>61</v>
      </c>
      <c r="B82" s="244"/>
      <c r="C82" s="133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12"/>
      <c r="R82" s="115"/>
      <c r="S82" s="109"/>
      <c r="T82" s="100"/>
      <c r="U82" s="100"/>
      <c r="V82" s="100"/>
      <c r="W82" s="100"/>
      <c r="X82" s="13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5"/>
    </row>
    <row r="83" spans="1:44" ht="46.5" customHeight="1" thickBot="1">
      <c r="A83" s="101" t="s">
        <v>62</v>
      </c>
      <c r="B83" s="244"/>
      <c r="C83" s="133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12"/>
      <c r="R83" s="115"/>
      <c r="S83" s="109"/>
      <c r="T83" s="100"/>
      <c r="U83" s="100"/>
      <c r="V83" s="100"/>
      <c r="W83" s="100"/>
      <c r="X83" s="13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5"/>
    </row>
    <row r="84" spans="1:44" ht="46.5" customHeight="1" thickBot="1">
      <c r="A84" s="101" t="s">
        <v>63</v>
      </c>
      <c r="B84" s="244"/>
      <c r="C84" s="133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12"/>
      <c r="R84" s="115"/>
      <c r="S84" s="109"/>
      <c r="T84" s="100"/>
      <c r="U84" s="100"/>
      <c r="V84" s="100"/>
      <c r="W84" s="100"/>
      <c r="X84" s="13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5"/>
    </row>
    <row r="85" spans="1:44" ht="46.5" customHeight="1" thickBot="1">
      <c r="A85" s="101" t="s">
        <v>66</v>
      </c>
      <c r="B85" s="244"/>
      <c r="C85" s="133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12"/>
      <c r="R85" s="115"/>
      <c r="S85" s="109"/>
      <c r="T85" s="100"/>
      <c r="U85" s="100"/>
      <c r="V85" s="100"/>
      <c r="W85" s="100"/>
      <c r="X85" s="13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5"/>
    </row>
    <row r="86" spans="1:44" ht="46.5" customHeight="1" thickBot="1">
      <c r="A86" s="101" t="s">
        <v>67</v>
      </c>
      <c r="B86" s="245"/>
      <c r="C86" s="134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13"/>
      <c r="R86" s="116"/>
      <c r="S86" s="110"/>
      <c r="T86" s="106"/>
      <c r="U86" s="106"/>
      <c r="V86" s="106"/>
      <c r="W86" s="106"/>
      <c r="X86" s="13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7"/>
    </row>
    <row r="87" spans="1:44" ht="46.5" customHeight="1" thickBot="1">
      <c r="A87" s="101" t="s">
        <v>53</v>
      </c>
      <c r="B87" s="246">
        <f t="shared" ref="B87" ca="1" si="8">B75+1</f>
        <v>46285</v>
      </c>
      <c r="C87" s="132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11"/>
      <c r="R87" s="114"/>
      <c r="S87" s="108"/>
      <c r="T87" s="103"/>
      <c r="U87" s="103"/>
      <c r="V87" s="103"/>
      <c r="W87" s="103"/>
      <c r="X87" s="1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4"/>
    </row>
    <row r="88" spans="1:44" ht="46.5" customHeight="1" thickBot="1">
      <c r="A88" s="101" t="s">
        <v>55</v>
      </c>
      <c r="B88" s="247"/>
      <c r="C88" s="133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12"/>
      <c r="R88" s="115"/>
      <c r="S88" s="109"/>
      <c r="T88" s="100"/>
      <c r="U88" s="100"/>
      <c r="V88" s="100"/>
      <c r="W88" s="100"/>
      <c r="X88" s="13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5"/>
    </row>
    <row r="89" spans="1:44" ht="46.5" customHeight="1" thickBot="1">
      <c r="A89" s="101" t="s">
        <v>56</v>
      </c>
      <c r="B89" s="247"/>
      <c r="C89" s="133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12"/>
      <c r="R89" s="115"/>
      <c r="S89" s="109"/>
      <c r="T89" s="100"/>
      <c r="U89" s="100"/>
      <c r="V89" s="100"/>
      <c r="W89" s="100"/>
      <c r="X89" s="13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5"/>
    </row>
    <row r="90" spans="1:44" ht="46.5" customHeight="1" thickBot="1">
      <c r="A90" s="101" t="s">
        <v>57</v>
      </c>
      <c r="B90" s="247"/>
      <c r="C90" s="133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12"/>
      <c r="R90" s="115"/>
      <c r="S90" s="109"/>
      <c r="T90" s="100"/>
      <c r="U90" s="100"/>
      <c r="V90" s="100"/>
      <c r="W90" s="100"/>
      <c r="X90" s="13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5"/>
    </row>
    <row r="91" spans="1:44" ht="46.5" customHeight="1" thickBot="1">
      <c r="A91" s="101" t="s">
        <v>58</v>
      </c>
      <c r="B91" s="247"/>
      <c r="C91" s="133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12"/>
      <c r="R91" s="115"/>
      <c r="S91" s="109"/>
      <c r="T91" s="100"/>
      <c r="U91" s="100"/>
      <c r="V91" s="100"/>
      <c r="W91" s="100"/>
      <c r="X91" s="13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5"/>
    </row>
    <row r="92" spans="1:44" ht="46.5" customHeight="1" thickBot="1">
      <c r="A92" s="101" t="s">
        <v>59</v>
      </c>
      <c r="B92" s="247"/>
      <c r="C92" s="133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12"/>
      <c r="R92" s="115"/>
      <c r="S92" s="109"/>
      <c r="T92" s="100"/>
      <c r="U92" s="100"/>
      <c r="V92" s="100"/>
      <c r="W92" s="100"/>
      <c r="X92" s="13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5"/>
    </row>
    <row r="93" spans="1:44" ht="46.5" customHeight="1" thickBot="1">
      <c r="A93" s="101" t="s">
        <v>60</v>
      </c>
      <c r="B93" s="244">
        <f t="shared" ref="B93" ca="1" si="9">B81+1</f>
        <v>46285</v>
      </c>
      <c r="C93" s="133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12"/>
      <c r="R93" s="115"/>
      <c r="S93" s="109"/>
      <c r="T93" s="100"/>
      <c r="U93" s="100"/>
      <c r="V93" s="100"/>
      <c r="W93" s="100"/>
      <c r="X93" s="13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Q93" s="100"/>
      <c r="AR93" s="105"/>
    </row>
    <row r="94" spans="1:44" ht="46.5" customHeight="1" thickBot="1">
      <c r="A94" s="101" t="s">
        <v>61</v>
      </c>
      <c r="B94" s="244"/>
      <c r="C94" s="133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12"/>
      <c r="R94" s="115"/>
      <c r="S94" s="109"/>
      <c r="T94" s="100"/>
      <c r="U94" s="100"/>
      <c r="V94" s="100"/>
      <c r="W94" s="100"/>
      <c r="X94" s="13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5"/>
    </row>
    <row r="95" spans="1:44" ht="46.5" customHeight="1" thickBot="1">
      <c r="A95" s="101" t="s">
        <v>62</v>
      </c>
      <c r="B95" s="244"/>
      <c r="C95" s="133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12"/>
      <c r="R95" s="115"/>
      <c r="S95" s="109"/>
      <c r="T95" s="100"/>
      <c r="U95" s="100"/>
      <c r="V95" s="100"/>
      <c r="W95" s="100"/>
      <c r="X95" s="13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5"/>
    </row>
    <row r="96" spans="1:44" ht="46.5" customHeight="1" thickBot="1">
      <c r="A96" s="101" t="s">
        <v>63</v>
      </c>
      <c r="B96" s="244"/>
      <c r="C96" s="133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12"/>
      <c r="R96" s="115"/>
      <c r="S96" s="109"/>
      <c r="T96" s="100"/>
      <c r="U96" s="100"/>
      <c r="V96" s="100"/>
      <c r="W96" s="100"/>
      <c r="X96" s="13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5"/>
    </row>
    <row r="97" spans="1:44" ht="46.5" customHeight="1" thickBot="1">
      <c r="A97" s="101" t="s">
        <v>66</v>
      </c>
      <c r="B97" s="244"/>
      <c r="C97" s="133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12"/>
      <c r="R97" s="115"/>
      <c r="S97" s="109"/>
      <c r="T97" s="100"/>
      <c r="U97" s="100"/>
      <c r="V97" s="100"/>
      <c r="W97" s="100"/>
      <c r="X97" s="13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5"/>
    </row>
    <row r="98" spans="1:44" ht="46.5" customHeight="1" thickBot="1">
      <c r="A98" s="101" t="s">
        <v>67</v>
      </c>
      <c r="B98" s="245"/>
      <c r="C98" s="134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13"/>
      <c r="R98" s="116"/>
      <c r="S98" s="110"/>
      <c r="T98" s="106"/>
      <c r="U98" s="106"/>
      <c r="V98" s="106"/>
      <c r="W98" s="106"/>
      <c r="X98" s="13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7"/>
    </row>
    <row r="99" spans="1:44" ht="46.5" customHeight="1" thickBot="1">
      <c r="A99" s="101" t="s">
        <v>53</v>
      </c>
      <c r="B99" s="246">
        <f t="shared" ref="B99" ca="1" si="10">B87+1</f>
        <v>46286</v>
      </c>
      <c r="C99" s="132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11"/>
      <c r="R99" s="114"/>
      <c r="S99" s="108"/>
      <c r="T99" s="103"/>
      <c r="U99" s="103"/>
      <c r="V99" s="103"/>
      <c r="W99" s="103"/>
      <c r="X99" s="1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4"/>
    </row>
    <row r="100" spans="1:44" ht="46.5" customHeight="1" thickBot="1">
      <c r="A100" s="101" t="s">
        <v>55</v>
      </c>
      <c r="B100" s="247"/>
      <c r="C100" s="133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12"/>
      <c r="R100" s="115"/>
      <c r="S100" s="109"/>
      <c r="T100" s="100"/>
      <c r="U100" s="100"/>
      <c r="V100" s="100"/>
      <c r="W100" s="100"/>
      <c r="X100" s="13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5"/>
    </row>
    <row r="101" spans="1:44" ht="46.5" customHeight="1" thickBot="1">
      <c r="A101" s="101" t="s">
        <v>56</v>
      </c>
      <c r="B101" s="247"/>
      <c r="C101" s="133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12"/>
      <c r="R101" s="115"/>
      <c r="S101" s="109"/>
      <c r="T101" s="100"/>
      <c r="U101" s="100"/>
      <c r="V101" s="100"/>
      <c r="W101" s="100"/>
      <c r="X101" s="13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5"/>
    </row>
    <row r="102" spans="1:44" ht="46.5" customHeight="1" thickBot="1">
      <c r="A102" s="101" t="s">
        <v>57</v>
      </c>
      <c r="B102" s="247"/>
      <c r="C102" s="133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12"/>
      <c r="R102" s="115"/>
      <c r="S102" s="109"/>
      <c r="T102" s="100"/>
      <c r="U102" s="100"/>
      <c r="V102" s="100"/>
      <c r="W102" s="100"/>
      <c r="X102" s="13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5"/>
    </row>
    <row r="103" spans="1:44" ht="46.5" customHeight="1" thickBot="1">
      <c r="A103" s="101" t="s">
        <v>58</v>
      </c>
      <c r="B103" s="247"/>
      <c r="C103" s="133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12"/>
      <c r="R103" s="115"/>
      <c r="S103" s="109"/>
      <c r="T103" s="100"/>
      <c r="U103" s="100"/>
      <c r="V103" s="100"/>
      <c r="W103" s="100"/>
      <c r="X103" s="13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5"/>
    </row>
    <row r="104" spans="1:44" ht="46.5" customHeight="1" thickBot="1">
      <c r="A104" s="101" t="s">
        <v>59</v>
      </c>
      <c r="B104" s="247"/>
      <c r="C104" s="133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12"/>
      <c r="R104" s="115"/>
      <c r="S104" s="109"/>
      <c r="T104" s="100"/>
      <c r="U104" s="100"/>
      <c r="V104" s="100"/>
      <c r="W104" s="100"/>
      <c r="X104" s="13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5"/>
    </row>
    <row r="105" spans="1:44" ht="46.5" customHeight="1" thickBot="1">
      <c r="A105" s="101" t="s">
        <v>60</v>
      </c>
      <c r="B105" s="244">
        <f t="shared" ref="B105" ca="1" si="11">B93+1</f>
        <v>46286</v>
      </c>
      <c r="C105" s="133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12"/>
      <c r="R105" s="115"/>
      <c r="S105" s="109"/>
      <c r="T105" s="100"/>
      <c r="U105" s="100"/>
      <c r="V105" s="100"/>
      <c r="W105" s="100"/>
      <c r="X105" s="13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5"/>
    </row>
    <row r="106" spans="1:44" ht="46.5" customHeight="1" thickBot="1">
      <c r="A106" s="101" t="s">
        <v>61</v>
      </c>
      <c r="B106" s="244"/>
      <c r="C106" s="133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12"/>
      <c r="R106" s="115"/>
      <c r="S106" s="109"/>
      <c r="T106" s="100"/>
      <c r="U106" s="100"/>
      <c r="V106" s="100"/>
      <c r="W106" s="100"/>
      <c r="X106" s="13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5"/>
    </row>
    <row r="107" spans="1:44" ht="46.5" customHeight="1" thickBot="1">
      <c r="A107" s="101" t="s">
        <v>62</v>
      </c>
      <c r="B107" s="244"/>
      <c r="C107" s="133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12"/>
      <c r="R107" s="115"/>
      <c r="S107" s="109"/>
      <c r="T107" s="100"/>
      <c r="U107" s="100"/>
      <c r="V107" s="100"/>
      <c r="W107" s="100"/>
      <c r="X107" s="13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5"/>
    </row>
    <row r="108" spans="1:44" ht="46.5" customHeight="1" thickBot="1">
      <c r="A108" s="101" t="s">
        <v>63</v>
      </c>
      <c r="B108" s="244"/>
      <c r="C108" s="133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12"/>
      <c r="R108" s="115"/>
      <c r="S108" s="109"/>
      <c r="T108" s="100"/>
      <c r="U108" s="100"/>
      <c r="V108" s="100"/>
      <c r="W108" s="100"/>
      <c r="X108" s="13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5"/>
    </row>
    <row r="109" spans="1:44" ht="46.5" customHeight="1" thickBot="1">
      <c r="A109" s="101" t="s">
        <v>66</v>
      </c>
      <c r="B109" s="244"/>
      <c r="C109" s="133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12"/>
      <c r="R109" s="115"/>
      <c r="S109" s="109"/>
      <c r="T109" s="100"/>
      <c r="U109" s="100"/>
      <c r="V109" s="100"/>
      <c r="W109" s="100"/>
      <c r="X109" s="13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5"/>
    </row>
    <row r="110" spans="1:44" ht="46.5" customHeight="1" thickBot="1">
      <c r="A110" s="101" t="s">
        <v>67</v>
      </c>
      <c r="B110" s="245"/>
      <c r="C110" s="134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13"/>
      <c r="R110" s="116"/>
      <c r="S110" s="110"/>
      <c r="T110" s="106"/>
      <c r="U110" s="106"/>
      <c r="V110" s="106"/>
      <c r="W110" s="106"/>
      <c r="X110" s="13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7"/>
    </row>
    <row r="111" spans="1:44" ht="46.5" customHeight="1" thickBot="1">
      <c r="A111" s="101" t="s">
        <v>53</v>
      </c>
      <c r="B111" s="246">
        <f t="shared" ref="B111" ca="1" si="12">B99+1</f>
        <v>46287</v>
      </c>
      <c r="C111" s="132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11"/>
      <c r="R111" s="114"/>
      <c r="S111" s="108"/>
      <c r="T111" s="103"/>
      <c r="U111" s="103"/>
      <c r="V111" s="103"/>
      <c r="W111" s="103"/>
      <c r="X111" s="1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4"/>
    </row>
    <row r="112" spans="1:44" ht="46.5" customHeight="1" thickBot="1">
      <c r="A112" s="101" t="s">
        <v>55</v>
      </c>
      <c r="B112" s="247"/>
      <c r="C112" s="133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12"/>
      <c r="R112" s="115"/>
      <c r="S112" s="109"/>
      <c r="T112" s="100"/>
      <c r="U112" s="100"/>
      <c r="V112" s="100"/>
      <c r="W112" s="100"/>
      <c r="X112" s="13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5"/>
    </row>
    <row r="113" spans="1:44" ht="46.5" customHeight="1" thickBot="1">
      <c r="A113" s="101" t="s">
        <v>56</v>
      </c>
      <c r="B113" s="247"/>
      <c r="C113" s="133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12"/>
      <c r="R113" s="115"/>
      <c r="S113" s="109"/>
      <c r="T113" s="100"/>
      <c r="U113" s="100"/>
      <c r="V113" s="100"/>
      <c r="W113" s="100"/>
      <c r="X113" s="13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5"/>
    </row>
    <row r="114" spans="1:44" ht="46.5" customHeight="1" thickBot="1">
      <c r="A114" s="101" t="s">
        <v>57</v>
      </c>
      <c r="B114" s="247"/>
      <c r="C114" s="133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12"/>
      <c r="R114" s="115"/>
      <c r="S114" s="109"/>
      <c r="T114" s="100"/>
      <c r="U114" s="100"/>
      <c r="V114" s="100"/>
      <c r="W114" s="100"/>
      <c r="X114" s="13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5"/>
    </row>
    <row r="115" spans="1:44" ht="46.5" customHeight="1" thickBot="1">
      <c r="A115" s="101" t="s">
        <v>58</v>
      </c>
      <c r="B115" s="247"/>
      <c r="C115" s="133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12"/>
      <c r="R115" s="115"/>
      <c r="S115" s="109"/>
      <c r="T115" s="100"/>
      <c r="U115" s="100"/>
      <c r="V115" s="100"/>
      <c r="W115" s="100"/>
      <c r="X115" s="13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5"/>
    </row>
    <row r="116" spans="1:44" ht="46.5" customHeight="1" thickBot="1">
      <c r="A116" s="101" t="s">
        <v>59</v>
      </c>
      <c r="B116" s="247"/>
      <c r="C116" s="133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12"/>
      <c r="R116" s="115"/>
      <c r="S116" s="109"/>
      <c r="T116" s="100"/>
      <c r="U116" s="100"/>
      <c r="V116" s="100"/>
      <c r="W116" s="100"/>
      <c r="X116" s="13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5"/>
    </row>
    <row r="117" spans="1:44" ht="46.5" customHeight="1" thickBot="1">
      <c r="A117" s="101" t="s">
        <v>60</v>
      </c>
      <c r="B117" s="244">
        <f t="shared" ref="B117" ca="1" si="13">B105+1</f>
        <v>46287</v>
      </c>
      <c r="C117" s="133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12"/>
      <c r="R117" s="115"/>
      <c r="S117" s="109"/>
      <c r="T117" s="100"/>
      <c r="U117" s="100"/>
      <c r="V117" s="100"/>
      <c r="W117" s="100"/>
      <c r="X117" s="13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5"/>
    </row>
    <row r="118" spans="1:44" ht="46.5" customHeight="1" thickBot="1">
      <c r="A118" s="101" t="s">
        <v>61</v>
      </c>
      <c r="B118" s="244"/>
      <c r="C118" s="133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12"/>
      <c r="R118" s="115"/>
      <c r="S118" s="109"/>
      <c r="T118" s="100"/>
      <c r="U118" s="100"/>
      <c r="V118" s="100"/>
      <c r="W118" s="100"/>
      <c r="X118" s="13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5"/>
    </row>
    <row r="119" spans="1:44" ht="46.5" customHeight="1" thickBot="1">
      <c r="A119" s="101" t="s">
        <v>62</v>
      </c>
      <c r="B119" s="244"/>
      <c r="C119" s="133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12"/>
      <c r="R119" s="115"/>
      <c r="S119" s="109"/>
      <c r="T119" s="100"/>
      <c r="U119" s="100"/>
      <c r="V119" s="100"/>
      <c r="W119" s="100"/>
      <c r="X119" s="13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5"/>
    </row>
    <row r="120" spans="1:44" ht="46.5" customHeight="1" thickBot="1">
      <c r="A120" s="101" t="s">
        <v>63</v>
      </c>
      <c r="B120" s="244"/>
      <c r="C120" s="133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12"/>
      <c r="R120" s="115"/>
      <c r="S120" s="109"/>
      <c r="T120" s="100"/>
      <c r="U120" s="100"/>
      <c r="V120" s="100"/>
      <c r="W120" s="100"/>
      <c r="X120" s="13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5"/>
    </row>
    <row r="121" spans="1:44" ht="46.5" customHeight="1" thickBot="1">
      <c r="A121" s="101" t="s">
        <v>66</v>
      </c>
      <c r="B121" s="244"/>
      <c r="C121" s="133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12"/>
      <c r="R121" s="115"/>
      <c r="S121" s="109"/>
      <c r="T121" s="100"/>
      <c r="U121" s="100"/>
      <c r="V121" s="100"/>
      <c r="W121" s="100"/>
      <c r="X121" s="13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5"/>
    </row>
    <row r="122" spans="1:44" ht="46.5" customHeight="1" thickBot="1">
      <c r="A122" s="101" t="s">
        <v>67</v>
      </c>
      <c r="B122" s="245"/>
      <c r="C122" s="134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13"/>
      <c r="R122" s="116"/>
      <c r="S122" s="110"/>
      <c r="T122" s="106"/>
      <c r="U122" s="106"/>
      <c r="V122" s="106"/>
      <c r="W122" s="106"/>
      <c r="X122" s="13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7"/>
    </row>
    <row r="123" spans="1:44" ht="46.5" customHeight="1" thickBot="1">
      <c r="A123" s="101" t="s">
        <v>53</v>
      </c>
      <c r="B123" s="246">
        <f t="shared" ref="B123" ca="1" si="14">B111+1</f>
        <v>46288</v>
      </c>
      <c r="C123" s="132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11"/>
      <c r="R123" s="114"/>
      <c r="S123" s="108"/>
      <c r="T123" s="103"/>
      <c r="U123" s="103"/>
      <c r="V123" s="103"/>
      <c r="W123" s="103"/>
      <c r="X123" s="1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4"/>
    </row>
    <row r="124" spans="1:44" ht="46.5" customHeight="1" thickBot="1">
      <c r="A124" s="101" t="s">
        <v>55</v>
      </c>
      <c r="B124" s="247"/>
      <c r="C124" s="133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12"/>
      <c r="R124" s="115"/>
      <c r="S124" s="109"/>
      <c r="T124" s="100"/>
      <c r="U124" s="100"/>
      <c r="V124" s="100"/>
      <c r="W124" s="100"/>
      <c r="X124" s="13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5"/>
    </row>
    <row r="125" spans="1:44" ht="46.5" customHeight="1" thickBot="1">
      <c r="A125" s="101" t="s">
        <v>56</v>
      </c>
      <c r="B125" s="247"/>
      <c r="C125" s="133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12"/>
      <c r="R125" s="115"/>
      <c r="S125" s="109"/>
      <c r="T125" s="100"/>
      <c r="U125" s="100"/>
      <c r="V125" s="100"/>
      <c r="W125" s="100"/>
      <c r="X125" s="13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5"/>
    </row>
    <row r="126" spans="1:44" ht="46.5" customHeight="1" thickBot="1">
      <c r="A126" s="101" t="s">
        <v>57</v>
      </c>
      <c r="B126" s="247"/>
      <c r="C126" s="133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12"/>
      <c r="R126" s="115"/>
      <c r="S126" s="109"/>
      <c r="T126" s="100"/>
      <c r="U126" s="100"/>
      <c r="V126" s="100"/>
      <c r="W126" s="100"/>
      <c r="X126" s="13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5"/>
    </row>
    <row r="127" spans="1:44" ht="46.5" customHeight="1" thickBot="1">
      <c r="A127" s="101" t="s">
        <v>58</v>
      </c>
      <c r="B127" s="247"/>
      <c r="C127" s="133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12"/>
      <c r="R127" s="115"/>
      <c r="S127" s="109"/>
      <c r="T127" s="100"/>
      <c r="U127" s="100"/>
      <c r="V127" s="100"/>
      <c r="W127" s="100"/>
      <c r="X127" s="13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5"/>
    </row>
    <row r="128" spans="1:44" ht="46.5" customHeight="1" thickBot="1">
      <c r="A128" s="101" t="s">
        <v>59</v>
      </c>
      <c r="B128" s="247"/>
      <c r="C128" s="133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12"/>
      <c r="R128" s="115"/>
      <c r="S128" s="109"/>
      <c r="U128" s="100"/>
      <c r="V128" s="100"/>
      <c r="W128" s="100"/>
      <c r="X128" s="13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5"/>
    </row>
    <row r="129" spans="1:44" ht="46.5" customHeight="1" thickBot="1">
      <c r="A129" s="101" t="s">
        <v>60</v>
      </c>
      <c r="B129" s="244">
        <f t="shared" ref="B129" ca="1" si="15">B117+1</f>
        <v>46288</v>
      </c>
      <c r="C129" s="133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12"/>
      <c r="R129" s="115"/>
      <c r="S129" s="109"/>
      <c r="T129" s="100"/>
      <c r="U129" s="100"/>
      <c r="V129" s="100"/>
      <c r="W129" s="100"/>
      <c r="X129" s="13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5"/>
    </row>
    <row r="130" spans="1:44" ht="46.5" customHeight="1" thickBot="1">
      <c r="A130" s="101" t="s">
        <v>61</v>
      </c>
      <c r="B130" s="244"/>
      <c r="C130" s="133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12"/>
      <c r="R130" s="115"/>
      <c r="S130" s="109"/>
      <c r="T130" s="100"/>
      <c r="U130" s="100"/>
      <c r="V130" s="100"/>
      <c r="W130" s="100"/>
      <c r="X130" s="13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5"/>
    </row>
    <row r="131" spans="1:44" ht="46.5" customHeight="1" thickBot="1">
      <c r="A131" s="101" t="s">
        <v>62</v>
      </c>
      <c r="B131" s="244"/>
      <c r="C131" s="133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12"/>
      <c r="R131" s="115"/>
      <c r="S131" s="109"/>
      <c r="T131" s="100"/>
      <c r="U131" s="100"/>
      <c r="V131" s="100"/>
      <c r="W131" s="100"/>
      <c r="X131" s="13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5"/>
    </row>
    <row r="132" spans="1:44" ht="46.5" customHeight="1" thickBot="1">
      <c r="A132" s="101" t="s">
        <v>63</v>
      </c>
      <c r="B132" s="244"/>
      <c r="C132" s="133"/>
      <c r="D132" s="100"/>
      <c r="E132" s="100"/>
      <c r="F132" s="100"/>
      <c r="H132" s="100"/>
      <c r="I132" s="100"/>
      <c r="J132" s="100"/>
      <c r="K132" s="100"/>
      <c r="L132" s="100">
        <v>139</v>
      </c>
      <c r="M132" s="100"/>
      <c r="N132" s="100"/>
      <c r="O132" s="100"/>
      <c r="P132" s="100"/>
      <c r="Q132" s="112"/>
      <c r="R132" s="115"/>
      <c r="S132" s="109"/>
      <c r="T132" s="100"/>
      <c r="U132" s="100"/>
      <c r="V132" s="100"/>
      <c r="W132" s="100"/>
      <c r="X132" s="13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5"/>
    </row>
    <row r="133" spans="1:44" ht="46.5" customHeight="1" thickBot="1">
      <c r="A133" s="101" t="s">
        <v>66</v>
      </c>
      <c r="B133" s="244"/>
      <c r="C133" s="133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12"/>
      <c r="R133" s="115"/>
      <c r="S133" s="109"/>
      <c r="T133" s="100"/>
      <c r="U133" s="100"/>
      <c r="V133" s="100"/>
      <c r="W133" s="100"/>
      <c r="X133" s="13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5"/>
    </row>
    <row r="134" spans="1:44" ht="46.5" customHeight="1" thickBot="1">
      <c r="A134" s="101" t="s">
        <v>67</v>
      </c>
      <c r="B134" s="245"/>
      <c r="C134" s="134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13"/>
      <c r="R134" s="116"/>
      <c r="S134" s="110"/>
      <c r="T134" s="106"/>
      <c r="U134" s="106"/>
      <c r="V134" s="106"/>
      <c r="W134" s="106"/>
      <c r="X134" s="13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7"/>
    </row>
    <row r="135" spans="1:44" ht="46.5" customHeight="1" thickBot="1">
      <c r="A135" s="101" t="s">
        <v>53</v>
      </c>
      <c r="B135" s="246">
        <f t="shared" ref="B135" ca="1" si="16">B123+1</f>
        <v>46289</v>
      </c>
      <c r="C135" s="132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11"/>
      <c r="R135" s="114"/>
      <c r="S135" s="108"/>
      <c r="T135" s="103"/>
      <c r="U135" s="103"/>
      <c r="V135" s="103"/>
      <c r="W135" s="103"/>
      <c r="X135" s="1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4"/>
    </row>
    <row r="136" spans="1:44" ht="46.5" customHeight="1" thickBot="1">
      <c r="A136" s="101" t="s">
        <v>55</v>
      </c>
      <c r="B136" s="247"/>
      <c r="C136" s="133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12"/>
      <c r="R136" s="115"/>
      <c r="S136" s="109"/>
      <c r="T136" s="100"/>
      <c r="U136" s="100"/>
      <c r="V136" s="100"/>
      <c r="W136" s="100"/>
      <c r="X136" s="13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5"/>
    </row>
    <row r="137" spans="1:44" ht="46.5" customHeight="1" thickBot="1">
      <c r="A137" s="101" t="s">
        <v>56</v>
      </c>
      <c r="B137" s="247"/>
      <c r="C137" s="133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12"/>
      <c r="R137" s="115"/>
      <c r="S137" s="109"/>
      <c r="T137" s="100"/>
      <c r="U137" s="100"/>
      <c r="V137" s="100"/>
      <c r="W137" s="100"/>
      <c r="X137" s="13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5"/>
    </row>
    <row r="138" spans="1:44" ht="46.5" customHeight="1" thickBot="1">
      <c r="A138" s="101" t="s">
        <v>57</v>
      </c>
      <c r="B138" s="247"/>
      <c r="C138" s="133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12"/>
      <c r="R138" s="115"/>
      <c r="S138" s="109"/>
      <c r="T138" s="100"/>
      <c r="U138" s="100"/>
      <c r="V138" s="100"/>
      <c r="W138" s="100"/>
      <c r="X138" s="13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5"/>
    </row>
    <row r="139" spans="1:44" ht="46.5" customHeight="1" thickBot="1">
      <c r="A139" s="101" t="s">
        <v>58</v>
      </c>
      <c r="B139" s="247"/>
      <c r="C139" s="133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12"/>
      <c r="R139" s="115"/>
      <c r="S139" s="109"/>
      <c r="T139" s="100"/>
      <c r="U139" s="100"/>
      <c r="V139" s="100"/>
      <c r="W139" s="100"/>
      <c r="X139" s="13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5"/>
    </row>
    <row r="140" spans="1:44" ht="46.5" customHeight="1" thickBot="1">
      <c r="A140" s="101" t="s">
        <v>59</v>
      </c>
      <c r="B140" s="247"/>
      <c r="C140" s="133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12"/>
      <c r="R140" s="115"/>
      <c r="S140" s="109"/>
      <c r="T140" s="100"/>
      <c r="U140" s="100"/>
      <c r="V140" s="100"/>
      <c r="W140" s="100"/>
      <c r="X140" s="13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5"/>
    </row>
    <row r="141" spans="1:44" ht="46.5" customHeight="1" thickBot="1">
      <c r="A141" s="101" t="s">
        <v>60</v>
      </c>
      <c r="B141" s="244">
        <f t="shared" ref="B141" ca="1" si="17">B129+1</f>
        <v>46289</v>
      </c>
      <c r="C141" s="133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12"/>
      <c r="R141" s="115"/>
      <c r="S141" s="109"/>
      <c r="T141" s="100"/>
      <c r="U141" s="100"/>
      <c r="V141" s="100"/>
      <c r="W141" s="100"/>
      <c r="X141" s="13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5"/>
    </row>
    <row r="142" spans="1:44" ht="46.5" customHeight="1" thickBot="1">
      <c r="A142" s="101" t="s">
        <v>61</v>
      </c>
      <c r="B142" s="244"/>
      <c r="C142" s="133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12"/>
      <c r="R142" s="115"/>
      <c r="S142" s="109"/>
      <c r="T142" s="100"/>
      <c r="U142" s="100"/>
      <c r="V142" s="100"/>
      <c r="W142" s="100"/>
      <c r="X142" s="13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5"/>
    </row>
    <row r="143" spans="1:44" ht="46.5" customHeight="1" thickBot="1">
      <c r="A143" s="101" t="s">
        <v>62</v>
      </c>
      <c r="B143" s="244"/>
      <c r="C143" s="133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12"/>
      <c r="R143" s="115"/>
      <c r="S143" s="109"/>
      <c r="T143" s="100"/>
      <c r="U143" s="100"/>
      <c r="V143" s="100"/>
      <c r="W143" s="100"/>
      <c r="X143" s="13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5"/>
    </row>
    <row r="144" spans="1:44" ht="46.5" customHeight="1" thickBot="1">
      <c r="A144" s="101" t="s">
        <v>63</v>
      </c>
      <c r="B144" s="244"/>
      <c r="C144" s="133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12"/>
      <c r="R144" s="115"/>
      <c r="S144" s="109"/>
      <c r="T144" s="100"/>
      <c r="U144" s="100"/>
      <c r="V144" s="100"/>
      <c r="W144" s="100"/>
      <c r="X144" s="13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5"/>
    </row>
    <row r="145" spans="1:44" ht="46.5" customHeight="1" thickBot="1">
      <c r="A145" s="101" t="s">
        <v>66</v>
      </c>
      <c r="B145" s="244"/>
      <c r="C145" s="133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12"/>
      <c r="R145" s="115"/>
      <c r="S145" s="109"/>
      <c r="T145" s="100"/>
      <c r="U145" s="100"/>
      <c r="V145" s="100"/>
      <c r="W145" s="100"/>
      <c r="X145" s="13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5"/>
    </row>
    <row r="146" spans="1:44" ht="46.5" customHeight="1" thickBot="1">
      <c r="A146" s="101" t="s">
        <v>67</v>
      </c>
      <c r="B146" s="245"/>
      <c r="C146" s="134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13"/>
      <c r="R146" s="116"/>
      <c r="S146" s="110"/>
      <c r="T146" s="106"/>
      <c r="U146" s="106"/>
      <c r="V146" s="106"/>
      <c r="W146" s="106"/>
      <c r="X146" s="13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7"/>
    </row>
    <row r="147" spans="1:44" ht="46.5" customHeight="1" thickBot="1">
      <c r="A147" s="101" t="s">
        <v>53</v>
      </c>
      <c r="B147" s="246">
        <f t="shared" ref="B147" ca="1" si="18">B135+1</f>
        <v>46290</v>
      </c>
      <c r="C147" s="132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11"/>
      <c r="R147" s="114"/>
      <c r="S147" s="108"/>
      <c r="T147" s="103"/>
      <c r="U147" s="103"/>
      <c r="V147" s="103"/>
      <c r="W147" s="103"/>
      <c r="X147" s="1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4"/>
    </row>
    <row r="148" spans="1:44" ht="46.5" customHeight="1" thickBot="1">
      <c r="A148" s="101" t="s">
        <v>55</v>
      </c>
      <c r="B148" s="247"/>
      <c r="C148" s="133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12"/>
      <c r="R148" s="115"/>
      <c r="S148" s="109"/>
      <c r="T148" s="100"/>
      <c r="U148" s="100"/>
      <c r="V148" s="100"/>
      <c r="W148" s="100"/>
      <c r="X148" s="13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5"/>
    </row>
    <row r="149" spans="1:44" ht="46.5" customHeight="1" thickBot="1">
      <c r="A149" s="101" t="s">
        <v>56</v>
      </c>
      <c r="B149" s="247"/>
      <c r="C149" s="133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12"/>
      <c r="R149" s="115"/>
      <c r="S149" s="109"/>
      <c r="T149" s="100"/>
      <c r="U149" s="100"/>
      <c r="V149" s="100"/>
      <c r="W149" s="100"/>
      <c r="X149" s="13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5"/>
    </row>
    <row r="150" spans="1:44" ht="46.5" customHeight="1" thickBot="1">
      <c r="A150" s="101" t="s">
        <v>57</v>
      </c>
      <c r="B150" s="247"/>
      <c r="C150" s="133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12"/>
      <c r="R150" s="115"/>
      <c r="S150" s="109"/>
      <c r="T150" s="100"/>
      <c r="U150" s="100"/>
      <c r="V150" s="100"/>
      <c r="W150" s="100"/>
      <c r="X150" s="13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5"/>
    </row>
    <row r="151" spans="1:44" ht="46.5" customHeight="1" thickBot="1">
      <c r="A151" s="101" t="s">
        <v>58</v>
      </c>
      <c r="B151" s="247"/>
      <c r="C151" s="133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12"/>
      <c r="R151" s="115"/>
      <c r="S151" s="109"/>
      <c r="T151" s="100"/>
      <c r="U151" s="100"/>
      <c r="V151" s="100"/>
      <c r="W151" s="100"/>
      <c r="X151" s="13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5"/>
    </row>
    <row r="152" spans="1:44" ht="46.5" customHeight="1" thickBot="1">
      <c r="A152" s="101" t="s">
        <v>59</v>
      </c>
      <c r="B152" s="247"/>
      <c r="C152" s="133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12"/>
      <c r="R152" s="115"/>
      <c r="S152" s="109"/>
      <c r="T152" s="100"/>
      <c r="U152" s="100"/>
      <c r="V152" s="100"/>
      <c r="W152" s="100"/>
      <c r="X152" s="13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5"/>
    </row>
    <row r="153" spans="1:44" ht="46.5" customHeight="1" thickBot="1">
      <c r="A153" s="101" t="s">
        <v>60</v>
      </c>
      <c r="B153" s="244">
        <f t="shared" ref="B153" ca="1" si="19">B141+1</f>
        <v>46290</v>
      </c>
      <c r="C153" s="133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12"/>
      <c r="R153" s="115"/>
      <c r="S153" s="109"/>
      <c r="T153" s="100"/>
      <c r="U153" s="100"/>
      <c r="V153" s="100"/>
      <c r="W153" s="100"/>
      <c r="X153" s="13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5"/>
    </row>
    <row r="154" spans="1:44" ht="46.5" customHeight="1" thickBot="1">
      <c r="A154" s="101" t="s">
        <v>61</v>
      </c>
      <c r="B154" s="244"/>
      <c r="C154" s="133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12"/>
      <c r="R154" s="115"/>
      <c r="S154" s="109"/>
      <c r="T154" s="100"/>
      <c r="U154" s="100"/>
      <c r="V154" s="100"/>
      <c r="W154" s="100"/>
      <c r="X154" s="13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5"/>
    </row>
    <row r="155" spans="1:44" ht="46.5" customHeight="1" thickBot="1">
      <c r="A155" s="101" t="s">
        <v>62</v>
      </c>
      <c r="B155" s="244"/>
      <c r="C155" s="133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12"/>
      <c r="R155" s="115"/>
      <c r="S155" s="109"/>
      <c r="T155" s="100"/>
      <c r="U155" s="100"/>
      <c r="V155" s="100"/>
      <c r="W155" s="100"/>
      <c r="X155" s="13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5"/>
    </row>
    <row r="156" spans="1:44" ht="46.5" customHeight="1" thickBot="1">
      <c r="A156" s="101" t="s">
        <v>63</v>
      </c>
      <c r="B156" s="244"/>
      <c r="C156" s="133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12"/>
      <c r="R156" s="115"/>
      <c r="S156" s="109"/>
      <c r="T156" s="100"/>
      <c r="U156" s="100"/>
      <c r="V156" s="100"/>
      <c r="W156" s="100"/>
      <c r="X156" s="13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5"/>
    </row>
    <row r="157" spans="1:44" ht="46.5" customHeight="1" thickBot="1">
      <c r="A157" s="101" t="s">
        <v>66</v>
      </c>
      <c r="B157" s="244"/>
      <c r="C157" s="133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12"/>
      <c r="R157" s="115"/>
      <c r="S157" s="109"/>
      <c r="T157" s="100"/>
      <c r="U157" s="100"/>
      <c r="V157" s="100"/>
      <c r="W157" s="100"/>
      <c r="X157" s="13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5"/>
    </row>
    <row r="158" spans="1:44" ht="46.5" customHeight="1" thickBot="1">
      <c r="A158" s="101" t="s">
        <v>67</v>
      </c>
      <c r="B158" s="245"/>
      <c r="C158" s="134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13"/>
      <c r="R158" s="116"/>
      <c r="S158" s="110"/>
      <c r="T158" s="106"/>
      <c r="U158" s="106"/>
      <c r="V158" s="106"/>
      <c r="W158" s="106"/>
      <c r="X158" s="13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7"/>
    </row>
    <row r="159" spans="1:44" ht="46.5" customHeight="1" thickBot="1">
      <c r="A159" s="101" t="s">
        <v>53</v>
      </c>
      <c r="B159" s="246">
        <f t="shared" ref="B159" ca="1" si="20">B147+1</f>
        <v>46291</v>
      </c>
      <c r="C159" s="132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11"/>
      <c r="R159" s="114"/>
      <c r="S159" s="108"/>
      <c r="T159" s="103"/>
      <c r="U159" s="103"/>
      <c r="V159" s="103"/>
      <c r="W159" s="103"/>
      <c r="X159" s="1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4"/>
    </row>
    <row r="160" spans="1:44" ht="46.5" customHeight="1" thickBot="1">
      <c r="A160" s="101" t="s">
        <v>55</v>
      </c>
      <c r="B160" s="247"/>
      <c r="C160" s="133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12"/>
      <c r="R160" s="115"/>
      <c r="S160" s="109"/>
      <c r="T160" s="100"/>
      <c r="U160" s="100"/>
      <c r="V160" s="100"/>
      <c r="W160" s="100"/>
      <c r="X160" s="13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5"/>
    </row>
    <row r="161" spans="1:44" ht="46.5" customHeight="1" thickBot="1">
      <c r="A161" s="101" t="s">
        <v>56</v>
      </c>
      <c r="B161" s="247"/>
      <c r="C161" s="133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12"/>
      <c r="R161" s="115"/>
      <c r="S161" s="109"/>
      <c r="T161" s="100"/>
      <c r="U161" s="100"/>
      <c r="V161" s="100"/>
      <c r="W161" s="100"/>
      <c r="X161" s="13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5"/>
    </row>
    <row r="162" spans="1:44" ht="46.5" customHeight="1" thickBot="1">
      <c r="A162" s="101" t="s">
        <v>57</v>
      </c>
      <c r="B162" s="247"/>
      <c r="C162" s="133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12"/>
      <c r="R162" s="115"/>
      <c r="S162" s="109"/>
      <c r="T162" s="100"/>
      <c r="U162" s="100"/>
      <c r="V162" s="100"/>
      <c r="W162" s="100"/>
      <c r="X162" s="13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5"/>
    </row>
    <row r="163" spans="1:44" ht="46.5" customHeight="1" thickBot="1">
      <c r="A163" s="101" t="s">
        <v>58</v>
      </c>
      <c r="B163" s="247"/>
      <c r="C163" s="133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12"/>
      <c r="R163" s="115"/>
      <c r="S163" s="109"/>
      <c r="T163" s="100"/>
      <c r="U163" s="100"/>
      <c r="V163" s="100"/>
      <c r="W163" s="100"/>
      <c r="X163" s="13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5"/>
    </row>
    <row r="164" spans="1:44" ht="46.5" customHeight="1" thickBot="1">
      <c r="A164" s="101" t="s">
        <v>59</v>
      </c>
      <c r="B164" s="247"/>
      <c r="C164" s="133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12"/>
      <c r="R164" s="115"/>
      <c r="S164" s="109"/>
      <c r="T164" s="100"/>
      <c r="U164" s="100"/>
      <c r="V164" s="100"/>
      <c r="W164" s="100"/>
      <c r="X164" s="13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5"/>
    </row>
    <row r="165" spans="1:44" ht="46.5" customHeight="1" thickBot="1">
      <c r="A165" s="101" t="s">
        <v>60</v>
      </c>
      <c r="B165" s="244">
        <f t="shared" ref="B165" ca="1" si="21">B153+1</f>
        <v>46291</v>
      </c>
      <c r="C165" s="133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12"/>
      <c r="R165" s="115"/>
      <c r="S165" s="109"/>
      <c r="T165" s="100"/>
      <c r="U165" s="100"/>
      <c r="V165" s="100"/>
      <c r="W165" s="100"/>
      <c r="X165" s="13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5"/>
    </row>
    <row r="166" spans="1:44" ht="46.5" customHeight="1" thickBot="1">
      <c r="A166" s="101" t="s">
        <v>61</v>
      </c>
      <c r="B166" s="244"/>
      <c r="C166" s="133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12"/>
      <c r="R166" s="115"/>
      <c r="S166" s="109"/>
      <c r="T166" s="100"/>
      <c r="U166" s="100"/>
      <c r="V166" s="100"/>
      <c r="W166" s="100"/>
      <c r="X166" s="13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5"/>
    </row>
    <row r="167" spans="1:44" ht="46.5" customHeight="1" thickBot="1">
      <c r="A167" s="101" t="s">
        <v>62</v>
      </c>
      <c r="B167" s="244"/>
      <c r="C167" s="133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12"/>
      <c r="R167" s="115"/>
      <c r="S167" s="109"/>
      <c r="T167" s="100"/>
      <c r="U167" s="100"/>
      <c r="V167" s="100"/>
      <c r="W167" s="100"/>
      <c r="X167" s="13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5"/>
    </row>
    <row r="168" spans="1:44" ht="46.5" customHeight="1" thickBot="1">
      <c r="A168" s="101" t="s">
        <v>63</v>
      </c>
      <c r="B168" s="244"/>
      <c r="C168" s="133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12"/>
      <c r="R168" s="115"/>
      <c r="S168" s="109"/>
      <c r="T168" s="100"/>
      <c r="U168" s="100"/>
      <c r="V168" s="100"/>
      <c r="W168" s="100"/>
      <c r="X168" s="13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5"/>
    </row>
    <row r="169" spans="1:44" ht="46.5" customHeight="1" thickBot="1">
      <c r="A169" s="101" t="s">
        <v>66</v>
      </c>
      <c r="B169" s="244"/>
      <c r="C169" s="133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12"/>
      <c r="R169" s="115"/>
      <c r="S169" s="109"/>
      <c r="T169" s="100"/>
      <c r="U169" s="100"/>
      <c r="V169" s="100"/>
      <c r="W169" s="100"/>
      <c r="X169" s="13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5"/>
    </row>
    <row r="170" spans="1:44" ht="46.5" customHeight="1" thickBot="1">
      <c r="A170" s="101" t="s">
        <v>67</v>
      </c>
      <c r="B170" s="245"/>
      <c r="C170" s="134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13"/>
      <c r="R170" s="116"/>
      <c r="S170" s="110"/>
      <c r="T170" s="106"/>
      <c r="U170" s="106"/>
      <c r="V170" s="106"/>
      <c r="W170" s="106"/>
      <c r="X170" s="13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7"/>
    </row>
    <row r="171" spans="1:44" ht="46.5" customHeight="1" thickBot="1">
      <c r="A171" s="101" t="s">
        <v>53</v>
      </c>
      <c r="B171" s="246">
        <f t="shared" ref="B171" ca="1" si="22">B159+1</f>
        <v>46292</v>
      </c>
      <c r="C171" s="132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11"/>
      <c r="R171" s="114"/>
      <c r="S171" s="108"/>
      <c r="T171" s="103"/>
      <c r="U171" s="103"/>
      <c r="V171" s="103"/>
      <c r="W171" s="103"/>
      <c r="X171" s="1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4"/>
    </row>
    <row r="172" spans="1:44" ht="46.5" customHeight="1" thickBot="1">
      <c r="A172" s="101" t="s">
        <v>55</v>
      </c>
      <c r="B172" s="247"/>
      <c r="C172" s="133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12"/>
      <c r="R172" s="115"/>
      <c r="S172" s="109"/>
      <c r="T172" s="100"/>
      <c r="U172" s="100"/>
      <c r="V172" s="100"/>
      <c r="W172" s="100"/>
      <c r="X172" s="13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5"/>
    </row>
    <row r="173" spans="1:44" ht="46.5" customHeight="1" thickBot="1">
      <c r="A173" s="101" t="s">
        <v>56</v>
      </c>
      <c r="B173" s="247"/>
      <c r="C173" s="133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12"/>
      <c r="R173" s="115"/>
      <c r="S173" s="109"/>
      <c r="T173" s="100"/>
      <c r="U173" s="100"/>
      <c r="V173" s="100"/>
      <c r="W173" s="100"/>
      <c r="X173" s="13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5"/>
    </row>
    <row r="174" spans="1:44" ht="46.5" customHeight="1" thickBot="1">
      <c r="A174" s="101" t="s">
        <v>57</v>
      </c>
      <c r="B174" s="247"/>
      <c r="C174" s="133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12"/>
      <c r="R174" s="115"/>
      <c r="S174" s="109"/>
      <c r="T174" s="100"/>
      <c r="U174" s="100"/>
      <c r="V174" s="100"/>
      <c r="W174" s="100"/>
      <c r="X174" s="13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5"/>
    </row>
    <row r="175" spans="1:44" ht="46.5" customHeight="1" thickBot="1">
      <c r="A175" s="101" t="s">
        <v>58</v>
      </c>
      <c r="B175" s="247"/>
      <c r="C175" s="133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12"/>
      <c r="R175" s="115"/>
      <c r="S175" s="109"/>
      <c r="T175" s="100"/>
      <c r="U175" s="100"/>
      <c r="V175" s="100"/>
      <c r="W175" s="100"/>
      <c r="X175" s="13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5"/>
    </row>
    <row r="176" spans="1:44" ht="46.5" customHeight="1" thickBot="1">
      <c r="A176" s="101" t="s">
        <v>59</v>
      </c>
      <c r="B176" s="247"/>
      <c r="C176" s="133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12"/>
      <c r="R176" s="115"/>
      <c r="S176" s="109"/>
      <c r="T176" s="100"/>
      <c r="U176" s="100"/>
      <c r="V176" s="100"/>
      <c r="W176" s="100"/>
      <c r="X176" s="13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5"/>
    </row>
    <row r="177" spans="1:44" ht="46.5" customHeight="1" thickBot="1">
      <c r="A177" s="101" t="s">
        <v>60</v>
      </c>
      <c r="B177" s="244">
        <f t="shared" ref="B177" ca="1" si="23">B165+1</f>
        <v>46292</v>
      </c>
      <c r="C177" s="133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12"/>
      <c r="R177" s="115"/>
      <c r="S177" s="109"/>
      <c r="T177" s="100"/>
      <c r="U177" s="100"/>
      <c r="V177" s="100"/>
      <c r="W177" s="100"/>
      <c r="X177" s="13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5"/>
    </row>
    <row r="178" spans="1:44" ht="46.5" customHeight="1" thickBot="1">
      <c r="A178" s="101" t="s">
        <v>61</v>
      </c>
      <c r="B178" s="244"/>
      <c r="C178" s="133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12"/>
      <c r="R178" s="115"/>
      <c r="S178" s="109"/>
      <c r="T178" s="100"/>
      <c r="U178" s="100"/>
      <c r="V178" s="100"/>
      <c r="W178" s="100"/>
      <c r="X178" s="13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5"/>
    </row>
    <row r="179" spans="1:44" ht="46.5" customHeight="1" thickBot="1">
      <c r="A179" s="101" t="s">
        <v>62</v>
      </c>
      <c r="B179" s="244"/>
      <c r="C179" s="133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12"/>
      <c r="R179" s="115"/>
      <c r="S179" s="109"/>
      <c r="T179" s="100"/>
      <c r="U179" s="100"/>
      <c r="V179" s="100"/>
      <c r="W179" s="100"/>
      <c r="X179" s="13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5"/>
    </row>
    <row r="180" spans="1:44" ht="46.5" customHeight="1" thickBot="1">
      <c r="A180" s="101" t="s">
        <v>63</v>
      </c>
      <c r="B180" s="244"/>
      <c r="C180" s="133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12"/>
      <c r="R180" s="115"/>
      <c r="S180" s="109"/>
      <c r="T180" s="100"/>
      <c r="U180" s="100"/>
      <c r="V180" s="100"/>
      <c r="W180" s="100"/>
      <c r="X180" s="13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5"/>
    </row>
    <row r="181" spans="1:44" ht="46.5" customHeight="1" thickBot="1">
      <c r="A181" s="101" t="s">
        <v>66</v>
      </c>
      <c r="B181" s="244"/>
      <c r="C181" s="133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12"/>
      <c r="R181" s="115"/>
      <c r="S181" s="109"/>
      <c r="T181" s="100"/>
      <c r="U181" s="100"/>
      <c r="V181" s="100"/>
      <c r="W181" s="100"/>
      <c r="X181" s="13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5"/>
    </row>
    <row r="182" spans="1:44" ht="46.5" customHeight="1" thickBot="1">
      <c r="A182" s="101" t="s">
        <v>67</v>
      </c>
      <c r="B182" s="245"/>
      <c r="C182" s="134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13"/>
      <c r="R182" s="116"/>
      <c r="S182" s="110"/>
      <c r="T182" s="106"/>
      <c r="U182" s="106"/>
      <c r="V182" s="106"/>
      <c r="W182" s="106"/>
      <c r="X182" s="13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7"/>
    </row>
    <row r="183" spans="1:44" ht="46.5" customHeight="1" thickBot="1">
      <c r="A183" s="101" t="s">
        <v>53</v>
      </c>
      <c r="B183" s="246">
        <f t="shared" ref="B183" ca="1" si="24">B171+1</f>
        <v>46293</v>
      </c>
      <c r="C183" s="132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11"/>
      <c r="R183" s="114"/>
      <c r="S183" s="108"/>
      <c r="T183" s="103"/>
      <c r="U183" s="103"/>
      <c r="V183" s="103"/>
      <c r="W183" s="103"/>
      <c r="X183" s="1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4"/>
    </row>
    <row r="184" spans="1:44" ht="46.5" customHeight="1" thickBot="1">
      <c r="A184" s="101" t="s">
        <v>55</v>
      </c>
      <c r="B184" s="247"/>
      <c r="C184" s="133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12"/>
      <c r="R184" s="115"/>
      <c r="S184" s="109"/>
      <c r="T184" s="100"/>
      <c r="U184" s="100"/>
      <c r="V184" s="100"/>
      <c r="W184" s="100"/>
      <c r="X184" s="13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5"/>
    </row>
    <row r="185" spans="1:44" ht="46.5" customHeight="1" thickBot="1">
      <c r="A185" s="101" t="s">
        <v>56</v>
      </c>
      <c r="B185" s="247"/>
      <c r="C185" s="133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12"/>
      <c r="R185" s="115"/>
      <c r="S185" s="109"/>
      <c r="T185" s="100"/>
      <c r="U185" s="100"/>
      <c r="V185" s="100"/>
      <c r="W185" s="100"/>
      <c r="X185" s="13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5"/>
    </row>
    <row r="186" spans="1:44" ht="46.5" customHeight="1" thickBot="1">
      <c r="A186" s="101" t="s">
        <v>57</v>
      </c>
      <c r="B186" s="247"/>
      <c r="C186" s="133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12"/>
      <c r="R186" s="115"/>
      <c r="S186" s="109"/>
      <c r="T186" s="100"/>
      <c r="U186" s="100"/>
      <c r="V186" s="100"/>
      <c r="W186" s="100"/>
      <c r="X186" s="13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5"/>
    </row>
    <row r="187" spans="1:44" ht="46.5" customHeight="1" thickBot="1">
      <c r="A187" s="101" t="s">
        <v>58</v>
      </c>
      <c r="B187" s="247"/>
      <c r="C187" s="133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12"/>
      <c r="R187" s="115"/>
      <c r="S187" s="109"/>
      <c r="T187" s="100"/>
      <c r="U187" s="100"/>
      <c r="V187" s="100"/>
      <c r="W187" s="100"/>
      <c r="X187" s="13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5"/>
    </row>
    <row r="188" spans="1:44" ht="46.5" customHeight="1" thickBot="1">
      <c r="A188" s="101" t="s">
        <v>59</v>
      </c>
      <c r="B188" s="247"/>
      <c r="C188" s="133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12"/>
      <c r="R188" s="115"/>
      <c r="S188" s="109"/>
      <c r="T188" s="100"/>
      <c r="U188" s="100"/>
      <c r="V188" s="100"/>
      <c r="W188" s="100"/>
      <c r="X188" s="13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5"/>
    </row>
    <row r="189" spans="1:44" ht="46.5" customHeight="1" thickBot="1">
      <c r="A189" s="101" t="s">
        <v>60</v>
      </c>
      <c r="B189" s="244">
        <f t="shared" ref="B189" ca="1" si="25">B177+1</f>
        <v>46293</v>
      </c>
      <c r="C189" s="133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12"/>
      <c r="R189" s="115"/>
      <c r="S189" s="109"/>
      <c r="T189" s="100"/>
      <c r="U189" s="100"/>
      <c r="V189" s="100"/>
      <c r="W189" s="100"/>
      <c r="X189" s="13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5"/>
    </row>
    <row r="190" spans="1:44" ht="46.5" customHeight="1" thickBot="1">
      <c r="A190" s="101" t="s">
        <v>61</v>
      </c>
      <c r="B190" s="244"/>
      <c r="C190" s="133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12"/>
      <c r="R190" s="115"/>
      <c r="S190" s="109"/>
      <c r="T190" s="100"/>
      <c r="U190" s="100"/>
      <c r="V190" s="100"/>
      <c r="W190" s="100"/>
      <c r="X190" s="13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5"/>
    </row>
    <row r="191" spans="1:44" ht="46.5" customHeight="1" thickBot="1">
      <c r="A191" s="101" t="s">
        <v>62</v>
      </c>
      <c r="B191" s="244"/>
      <c r="C191" s="133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12"/>
      <c r="R191" s="115"/>
      <c r="S191" s="109"/>
      <c r="T191" s="100"/>
      <c r="U191" s="100"/>
      <c r="V191" s="100"/>
      <c r="W191" s="100"/>
      <c r="X191" s="13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5"/>
    </row>
    <row r="192" spans="1:44" ht="46.5" customHeight="1" thickBot="1">
      <c r="A192" s="101" t="s">
        <v>63</v>
      </c>
      <c r="B192" s="244"/>
      <c r="C192" s="133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12"/>
      <c r="R192" s="115"/>
      <c r="S192" s="109"/>
      <c r="T192" s="100"/>
      <c r="U192" s="100"/>
      <c r="V192" s="100"/>
      <c r="W192" s="100"/>
      <c r="X192" s="13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5"/>
    </row>
    <row r="193" spans="1:44" ht="46.5" customHeight="1" thickBot="1">
      <c r="A193" s="101" t="s">
        <v>66</v>
      </c>
      <c r="B193" s="244"/>
      <c r="C193" s="133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12"/>
      <c r="R193" s="115"/>
      <c r="S193" s="109"/>
      <c r="T193" s="100"/>
      <c r="U193" s="100"/>
      <c r="V193" s="100"/>
      <c r="W193" s="100"/>
      <c r="X193" s="13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5"/>
    </row>
    <row r="194" spans="1:44" ht="46.5" customHeight="1" thickBot="1">
      <c r="A194" s="101" t="s">
        <v>67</v>
      </c>
      <c r="B194" s="245"/>
      <c r="C194" s="134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13"/>
      <c r="R194" s="116"/>
      <c r="S194" s="110"/>
      <c r="T194" s="106"/>
      <c r="U194" s="106"/>
      <c r="V194" s="106"/>
      <c r="W194" s="106"/>
      <c r="X194" s="13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7"/>
    </row>
    <row r="195" spans="1:44" ht="46.5" customHeight="1" thickBot="1">
      <c r="A195" s="101" t="s">
        <v>53</v>
      </c>
      <c r="B195" s="246">
        <f t="shared" ref="B195" ca="1" si="26">B183+1</f>
        <v>46294</v>
      </c>
      <c r="C195" s="132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11"/>
      <c r="R195" s="114"/>
      <c r="S195" s="108"/>
      <c r="T195" s="103"/>
      <c r="U195" s="103"/>
      <c r="V195" s="103"/>
      <c r="W195" s="103"/>
      <c r="X195" s="1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4"/>
    </row>
    <row r="196" spans="1:44" ht="46.5" customHeight="1" thickBot="1">
      <c r="A196" s="101" t="s">
        <v>55</v>
      </c>
      <c r="B196" s="247"/>
      <c r="C196" s="133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12"/>
      <c r="R196" s="115"/>
      <c r="S196" s="109"/>
      <c r="T196" s="100"/>
      <c r="U196" s="100"/>
      <c r="V196" s="100"/>
      <c r="W196" s="100"/>
      <c r="X196" s="13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5"/>
    </row>
    <row r="197" spans="1:44" ht="46.5" customHeight="1" thickBot="1">
      <c r="A197" s="101" t="s">
        <v>56</v>
      </c>
      <c r="B197" s="247"/>
      <c r="C197" s="133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12"/>
      <c r="R197" s="115"/>
      <c r="S197" s="109"/>
      <c r="T197" s="100"/>
      <c r="U197" s="100"/>
      <c r="V197" s="100"/>
      <c r="W197" s="100"/>
      <c r="X197" s="13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5"/>
    </row>
    <row r="198" spans="1:44" ht="46.5" customHeight="1" thickBot="1">
      <c r="A198" s="101" t="s">
        <v>57</v>
      </c>
      <c r="B198" s="247"/>
      <c r="C198" s="133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12"/>
      <c r="R198" s="115"/>
      <c r="S198" s="109"/>
      <c r="T198" s="100"/>
      <c r="U198" s="100"/>
      <c r="V198" s="100"/>
      <c r="W198" s="100"/>
      <c r="X198" s="13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5"/>
    </row>
    <row r="199" spans="1:44" ht="46.5" customHeight="1" thickBot="1">
      <c r="A199" s="101" t="s">
        <v>58</v>
      </c>
      <c r="B199" s="247"/>
      <c r="C199" s="133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12"/>
      <c r="R199" s="115"/>
      <c r="S199" s="109"/>
      <c r="T199" s="100"/>
      <c r="U199" s="100"/>
      <c r="V199" s="100"/>
      <c r="W199" s="100"/>
      <c r="X199" s="13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5"/>
    </row>
    <row r="200" spans="1:44" ht="46.5" customHeight="1" thickBot="1">
      <c r="A200" s="101" t="s">
        <v>59</v>
      </c>
      <c r="B200" s="247"/>
      <c r="C200" s="133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12"/>
      <c r="R200" s="115"/>
      <c r="S200" s="109"/>
      <c r="T200" s="100"/>
      <c r="U200" s="100"/>
      <c r="V200" s="100"/>
      <c r="W200" s="100"/>
      <c r="X200" s="13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5"/>
    </row>
    <row r="201" spans="1:44" ht="46.5" customHeight="1" thickBot="1">
      <c r="A201" s="101" t="s">
        <v>60</v>
      </c>
      <c r="B201" s="244">
        <f t="shared" ref="B201" ca="1" si="27">B189+1</f>
        <v>46294</v>
      </c>
      <c r="C201" s="133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12"/>
      <c r="R201" s="115"/>
      <c r="S201" s="109"/>
      <c r="T201" s="100"/>
      <c r="U201" s="100"/>
      <c r="V201" s="100"/>
      <c r="W201" s="100"/>
      <c r="X201" s="13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5"/>
    </row>
    <row r="202" spans="1:44" ht="46.5" customHeight="1" thickBot="1">
      <c r="A202" s="101" t="s">
        <v>61</v>
      </c>
      <c r="B202" s="244"/>
      <c r="C202" s="133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12"/>
      <c r="R202" s="115"/>
      <c r="S202" s="109"/>
      <c r="T202" s="100"/>
      <c r="U202" s="100"/>
      <c r="V202" s="100"/>
      <c r="W202" s="100"/>
      <c r="X202" s="13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5"/>
    </row>
    <row r="203" spans="1:44" ht="46.5" customHeight="1" thickBot="1">
      <c r="A203" s="101" t="s">
        <v>62</v>
      </c>
      <c r="B203" s="244"/>
      <c r="C203" s="133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12"/>
      <c r="R203" s="115"/>
      <c r="S203" s="109"/>
      <c r="T203" s="100"/>
      <c r="U203" s="100"/>
      <c r="V203" s="100"/>
      <c r="W203" s="100"/>
      <c r="X203" s="13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5"/>
    </row>
    <row r="204" spans="1:44" ht="46.5" customHeight="1" thickBot="1">
      <c r="A204" s="101" t="s">
        <v>63</v>
      </c>
      <c r="B204" s="244"/>
      <c r="C204" s="133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12"/>
      <c r="R204" s="115"/>
      <c r="S204" s="109"/>
      <c r="T204" s="100"/>
      <c r="U204" s="100"/>
      <c r="V204" s="100"/>
      <c r="W204" s="100"/>
      <c r="X204" s="13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5"/>
    </row>
    <row r="205" spans="1:44" ht="46.5" customHeight="1" thickBot="1">
      <c r="A205" s="101" t="s">
        <v>66</v>
      </c>
      <c r="B205" s="244"/>
      <c r="C205" s="133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12"/>
      <c r="R205" s="115"/>
      <c r="S205" s="109"/>
      <c r="T205" s="100"/>
      <c r="U205" s="100"/>
      <c r="V205" s="100"/>
      <c r="W205" s="100"/>
      <c r="X205" s="13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5"/>
    </row>
    <row r="206" spans="1:44" ht="46.5" customHeight="1" thickBot="1">
      <c r="A206" s="101" t="s">
        <v>67</v>
      </c>
      <c r="B206" s="245"/>
      <c r="C206" s="134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13"/>
      <c r="R206" s="116"/>
      <c r="S206" s="110"/>
      <c r="T206" s="106"/>
      <c r="U206" s="106"/>
      <c r="V206" s="106"/>
      <c r="W206" s="106"/>
      <c r="X206" s="13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7"/>
    </row>
    <row r="207" spans="1:44" ht="46.5" customHeight="1" thickBot="1">
      <c r="A207" s="101" t="s">
        <v>53</v>
      </c>
      <c r="B207" s="246">
        <f t="shared" ref="B207" ca="1" si="28">B195+1</f>
        <v>46295</v>
      </c>
      <c r="C207" s="132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11"/>
      <c r="R207" s="114"/>
      <c r="S207" s="108"/>
      <c r="T207" s="103"/>
      <c r="U207" s="103"/>
      <c r="V207" s="103"/>
      <c r="W207" s="103"/>
      <c r="X207" s="1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4"/>
    </row>
    <row r="208" spans="1:44" ht="46.5" customHeight="1" thickBot="1">
      <c r="A208" s="101" t="s">
        <v>55</v>
      </c>
      <c r="B208" s="247"/>
      <c r="C208" s="133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12"/>
      <c r="R208" s="115"/>
      <c r="S208" s="109"/>
      <c r="T208" s="100"/>
      <c r="U208" s="100"/>
      <c r="V208" s="100"/>
      <c r="W208" s="100"/>
      <c r="X208" s="13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5"/>
    </row>
    <row r="209" spans="1:44" ht="46.5" customHeight="1" thickBot="1">
      <c r="A209" s="101" t="s">
        <v>56</v>
      </c>
      <c r="B209" s="247"/>
      <c r="C209" s="133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12"/>
      <c r="R209" s="115"/>
      <c r="S209" s="109"/>
      <c r="T209" s="100"/>
      <c r="U209" s="100"/>
      <c r="V209" s="100"/>
      <c r="W209" s="100"/>
      <c r="X209" s="13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5"/>
    </row>
    <row r="210" spans="1:44" ht="46.5" customHeight="1" thickBot="1">
      <c r="A210" s="101" t="s">
        <v>57</v>
      </c>
      <c r="B210" s="247"/>
      <c r="C210" s="133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12"/>
      <c r="R210" s="115"/>
      <c r="S210" s="109"/>
      <c r="T210" s="100"/>
      <c r="U210" s="100"/>
      <c r="V210" s="100"/>
      <c r="W210" s="100"/>
      <c r="X210" s="13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5"/>
    </row>
    <row r="211" spans="1:44" ht="46.5" customHeight="1" thickBot="1">
      <c r="A211" s="101" t="s">
        <v>58</v>
      </c>
      <c r="B211" s="247"/>
      <c r="C211" s="133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12"/>
      <c r="R211" s="115"/>
      <c r="S211" s="109"/>
      <c r="T211" s="100"/>
      <c r="U211" s="100"/>
      <c r="V211" s="100"/>
      <c r="W211" s="100"/>
      <c r="X211" s="13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5"/>
    </row>
    <row r="212" spans="1:44" ht="46.5" customHeight="1" thickBot="1">
      <c r="A212" s="101" t="s">
        <v>59</v>
      </c>
      <c r="B212" s="247"/>
      <c r="C212" s="133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12"/>
      <c r="R212" s="115"/>
      <c r="S212" s="109"/>
      <c r="T212" s="100"/>
      <c r="U212" s="100"/>
      <c r="V212" s="100"/>
      <c r="W212" s="100"/>
      <c r="X212" s="13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5"/>
    </row>
    <row r="213" spans="1:44" ht="46.5" customHeight="1" thickBot="1">
      <c r="A213" s="101" t="s">
        <v>60</v>
      </c>
      <c r="B213" s="244">
        <f t="shared" ref="B213" ca="1" si="29">B201+1</f>
        <v>46295</v>
      </c>
      <c r="C213" s="133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12"/>
      <c r="R213" s="115"/>
      <c r="S213" s="109"/>
      <c r="T213" s="100"/>
      <c r="U213" s="100"/>
      <c r="V213" s="100"/>
      <c r="W213" s="100"/>
      <c r="X213" s="13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5"/>
    </row>
    <row r="214" spans="1:44" ht="46.5" customHeight="1" thickBot="1">
      <c r="A214" s="101" t="s">
        <v>61</v>
      </c>
      <c r="B214" s="244"/>
      <c r="C214" s="133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12"/>
      <c r="R214" s="115"/>
      <c r="S214" s="109"/>
      <c r="T214" s="100"/>
      <c r="U214" s="100"/>
      <c r="V214" s="100"/>
      <c r="W214" s="100"/>
      <c r="X214" s="13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5"/>
    </row>
    <row r="215" spans="1:44" ht="46.5" customHeight="1" thickBot="1">
      <c r="A215" s="101" t="s">
        <v>62</v>
      </c>
      <c r="B215" s="244"/>
      <c r="C215" s="133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12"/>
      <c r="R215" s="115"/>
      <c r="S215" s="109"/>
      <c r="T215" s="100"/>
      <c r="U215" s="100"/>
      <c r="V215" s="100"/>
      <c r="W215" s="100"/>
      <c r="X215" s="13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5"/>
    </row>
    <row r="216" spans="1:44" ht="46.5" customHeight="1" thickBot="1">
      <c r="A216" s="101" t="s">
        <v>63</v>
      </c>
      <c r="B216" s="244"/>
      <c r="C216" s="133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12"/>
      <c r="R216" s="115"/>
      <c r="S216" s="109"/>
      <c r="T216" s="100"/>
      <c r="U216" s="100"/>
      <c r="V216" s="100"/>
      <c r="W216" s="100"/>
      <c r="X216" s="13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5"/>
    </row>
    <row r="217" spans="1:44" ht="46.5" customHeight="1" thickBot="1">
      <c r="A217" s="101" t="s">
        <v>66</v>
      </c>
      <c r="B217" s="244"/>
      <c r="C217" s="133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12"/>
      <c r="R217" s="115"/>
      <c r="S217" s="109"/>
      <c r="T217" s="100"/>
      <c r="U217" s="100"/>
      <c r="V217" s="100"/>
      <c r="W217" s="100"/>
      <c r="X217" s="13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5"/>
    </row>
    <row r="218" spans="1:44" ht="46.5" customHeight="1" thickBot="1">
      <c r="A218" s="101" t="s">
        <v>67</v>
      </c>
      <c r="B218" s="245"/>
      <c r="C218" s="134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13"/>
      <c r="R218" s="116"/>
      <c r="S218" s="110"/>
      <c r="T218" s="106"/>
      <c r="U218" s="106"/>
      <c r="V218" s="106"/>
      <c r="W218" s="106"/>
      <c r="X218" s="13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7"/>
    </row>
    <row r="219" spans="1:44" ht="46.5" customHeight="1" thickBot="1">
      <c r="A219" s="101" t="s">
        <v>53</v>
      </c>
      <c r="B219" s="246">
        <f t="shared" ref="B219" ca="1" si="30">B207+1</f>
        <v>46296</v>
      </c>
      <c r="C219" s="132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11"/>
      <c r="R219" s="114"/>
      <c r="S219" s="108"/>
      <c r="T219" s="103"/>
      <c r="U219" s="103"/>
      <c r="V219" s="103"/>
      <c r="W219" s="103"/>
      <c r="X219" s="1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4"/>
    </row>
    <row r="220" spans="1:44" ht="46.5" customHeight="1" thickBot="1">
      <c r="A220" s="101" t="s">
        <v>55</v>
      </c>
      <c r="B220" s="247"/>
      <c r="C220" s="133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12"/>
      <c r="R220" s="115"/>
      <c r="S220" s="109"/>
      <c r="T220" s="100"/>
      <c r="U220" s="100"/>
      <c r="V220" s="100"/>
      <c r="W220" s="100"/>
      <c r="X220" s="13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5"/>
    </row>
    <row r="221" spans="1:44" ht="46.5" customHeight="1" thickBot="1">
      <c r="A221" s="101" t="s">
        <v>56</v>
      </c>
      <c r="B221" s="247"/>
      <c r="C221" s="133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12"/>
      <c r="R221" s="115"/>
      <c r="S221" s="109"/>
      <c r="T221" s="100"/>
      <c r="U221" s="100"/>
      <c r="V221" s="100"/>
      <c r="W221" s="100"/>
      <c r="X221" s="13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5"/>
    </row>
    <row r="222" spans="1:44" ht="46.5" customHeight="1" thickBot="1">
      <c r="A222" s="101" t="s">
        <v>57</v>
      </c>
      <c r="B222" s="247"/>
      <c r="C222" s="133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12"/>
      <c r="R222" s="115"/>
      <c r="S222" s="109"/>
      <c r="T222" s="100"/>
      <c r="U222" s="100"/>
      <c r="V222" s="100"/>
      <c r="W222" s="100"/>
      <c r="X222" s="13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5"/>
    </row>
    <row r="223" spans="1:44" ht="46.5" customHeight="1" thickBot="1">
      <c r="A223" s="101" t="s">
        <v>58</v>
      </c>
      <c r="B223" s="247"/>
      <c r="C223" s="133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12"/>
      <c r="R223" s="115"/>
      <c r="S223" s="109"/>
      <c r="T223" s="100"/>
      <c r="U223" s="100"/>
      <c r="V223" s="100"/>
      <c r="W223" s="100"/>
      <c r="X223" s="13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5"/>
    </row>
    <row r="224" spans="1:44" ht="46.5" customHeight="1" thickBot="1">
      <c r="A224" s="101" t="s">
        <v>59</v>
      </c>
      <c r="B224" s="247"/>
      <c r="C224" s="133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12"/>
      <c r="R224" s="115"/>
      <c r="S224" s="109"/>
      <c r="T224" s="100"/>
      <c r="U224" s="100"/>
      <c r="V224" s="100"/>
      <c r="W224" s="100"/>
      <c r="X224" s="13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5"/>
    </row>
    <row r="225" spans="1:44" ht="46.5" customHeight="1" thickBot="1">
      <c r="A225" s="101" t="s">
        <v>60</v>
      </c>
      <c r="B225" s="244">
        <f t="shared" ref="B225" ca="1" si="31">B213+1</f>
        <v>46296</v>
      </c>
      <c r="C225" s="133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12"/>
      <c r="R225" s="115"/>
      <c r="S225" s="109"/>
      <c r="T225" s="100"/>
      <c r="U225" s="100"/>
      <c r="V225" s="100"/>
      <c r="W225" s="100"/>
      <c r="X225" s="13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5"/>
    </row>
    <row r="226" spans="1:44" ht="46.5" customHeight="1" thickBot="1">
      <c r="A226" s="101" t="s">
        <v>61</v>
      </c>
      <c r="B226" s="244"/>
      <c r="C226" s="133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12"/>
      <c r="R226" s="115"/>
      <c r="S226" s="109"/>
      <c r="T226" s="100"/>
      <c r="U226" s="100"/>
      <c r="V226" s="100"/>
      <c r="W226" s="100"/>
      <c r="X226" s="13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5"/>
    </row>
    <row r="227" spans="1:44" ht="46.5" customHeight="1" thickBot="1">
      <c r="A227" s="101" t="s">
        <v>62</v>
      </c>
      <c r="B227" s="244"/>
      <c r="C227" s="133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12"/>
      <c r="R227" s="115"/>
      <c r="S227" s="109"/>
      <c r="T227" s="100"/>
      <c r="U227" s="100"/>
      <c r="V227" s="100"/>
      <c r="W227" s="100"/>
      <c r="X227" s="13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5"/>
    </row>
    <row r="228" spans="1:44" ht="46.5" customHeight="1" thickBot="1">
      <c r="A228" s="101" t="s">
        <v>63</v>
      </c>
      <c r="B228" s="244"/>
      <c r="C228" s="133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12"/>
      <c r="R228" s="115"/>
      <c r="S228" s="109"/>
      <c r="T228" s="100"/>
      <c r="U228" s="100"/>
      <c r="V228" s="100"/>
      <c r="W228" s="100"/>
      <c r="X228" s="13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5"/>
    </row>
    <row r="229" spans="1:44" ht="46.5" customHeight="1" thickBot="1">
      <c r="A229" s="101" t="s">
        <v>66</v>
      </c>
      <c r="B229" s="244"/>
      <c r="C229" s="133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12"/>
      <c r="R229" s="115"/>
      <c r="S229" s="109"/>
      <c r="T229" s="100"/>
      <c r="U229" s="100"/>
      <c r="V229" s="100"/>
      <c r="W229" s="100"/>
      <c r="X229" s="13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5"/>
    </row>
    <row r="230" spans="1:44" ht="46.5" customHeight="1" thickBot="1">
      <c r="A230" s="117" t="s">
        <v>67</v>
      </c>
      <c r="B230" s="256"/>
      <c r="C230" s="135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20"/>
      <c r="R230" s="121"/>
      <c r="S230" s="118"/>
      <c r="T230" s="119"/>
      <c r="U230" s="119"/>
      <c r="V230" s="119"/>
      <c r="W230" s="119"/>
      <c r="X230" s="13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22"/>
    </row>
    <row r="231" spans="1:44" ht="46.5" customHeight="1" thickBot="1">
      <c r="A231" s="126" t="s">
        <v>53</v>
      </c>
      <c r="B231" s="246">
        <f t="shared" ref="B231" ca="1" si="32">B219+1</f>
        <v>46297</v>
      </c>
      <c r="C231" s="132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11"/>
      <c r="R231" s="114"/>
      <c r="S231" s="108"/>
      <c r="T231" s="103"/>
      <c r="U231" s="103"/>
      <c r="V231" s="103"/>
      <c r="W231" s="103"/>
      <c r="X231" s="127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4"/>
    </row>
    <row r="232" spans="1:44" ht="46.5" customHeight="1" thickBot="1">
      <c r="A232" s="126" t="s">
        <v>55</v>
      </c>
      <c r="B232" s="247"/>
      <c r="C232" s="133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12"/>
      <c r="R232" s="115"/>
      <c r="S232" s="109"/>
      <c r="T232" s="100"/>
      <c r="U232" s="100"/>
      <c r="V232" s="100"/>
      <c r="W232" s="100"/>
      <c r="X232" s="13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5"/>
    </row>
    <row r="233" spans="1:44" ht="46.5" customHeight="1" thickBot="1">
      <c r="A233" s="126" t="s">
        <v>56</v>
      </c>
      <c r="B233" s="247"/>
      <c r="C233" s="133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12"/>
      <c r="R233" s="115"/>
      <c r="S233" s="109"/>
      <c r="T233" s="100"/>
      <c r="U233" s="100"/>
      <c r="V233" s="100"/>
      <c r="W233" s="100"/>
      <c r="X233" s="13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5"/>
    </row>
    <row r="234" spans="1:44" ht="46.5" customHeight="1" thickBot="1">
      <c r="A234" s="126" t="s">
        <v>57</v>
      </c>
      <c r="B234" s="247"/>
      <c r="C234" s="133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12"/>
      <c r="R234" s="115"/>
      <c r="S234" s="109"/>
      <c r="T234" s="100"/>
      <c r="U234" s="100"/>
      <c r="V234" s="100"/>
      <c r="W234" s="100"/>
      <c r="X234" s="13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5"/>
    </row>
    <row r="235" spans="1:44" ht="46.5" customHeight="1" thickBot="1">
      <c r="A235" s="126" t="s">
        <v>58</v>
      </c>
      <c r="B235" s="247"/>
      <c r="C235" s="133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12"/>
      <c r="R235" s="115"/>
      <c r="S235" s="109"/>
      <c r="T235" s="100"/>
      <c r="U235" s="100"/>
      <c r="V235" s="100"/>
      <c r="W235" s="100"/>
      <c r="X235" s="13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5"/>
    </row>
    <row r="236" spans="1:44" ht="46.5" customHeight="1" thickBot="1">
      <c r="A236" s="126" t="s">
        <v>59</v>
      </c>
      <c r="B236" s="247"/>
      <c r="C236" s="133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12"/>
      <c r="R236" s="115"/>
      <c r="S236" s="109"/>
      <c r="T236" s="100"/>
      <c r="U236" s="100"/>
      <c r="V236" s="100"/>
      <c r="W236" s="100"/>
      <c r="X236" s="13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5"/>
    </row>
    <row r="237" spans="1:44" ht="46.5" customHeight="1" thickBot="1">
      <c r="A237" s="126" t="s">
        <v>60</v>
      </c>
      <c r="B237" s="244">
        <f t="shared" ref="B237" ca="1" si="33">B225+1</f>
        <v>46297</v>
      </c>
      <c r="C237" s="133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12"/>
      <c r="R237" s="115"/>
      <c r="S237" s="109"/>
      <c r="T237" s="100"/>
      <c r="U237" s="100"/>
      <c r="V237" s="100"/>
      <c r="W237" s="100"/>
      <c r="X237" s="13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5"/>
    </row>
    <row r="238" spans="1:44" ht="46.5" customHeight="1" thickBot="1">
      <c r="A238" s="126" t="s">
        <v>61</v>
      </c>
      <c r="B238" s="244"/>
      <c r="C238" s="133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12"/>
      <c r="R238" s="115"/>
      <c r="S238" s="109"/>
      <c r="T238" s="100"/>
      <c r="U238" s="100"/>
      <c r="V238" s="100"/>
      <c r="W238" s="100"/>
      <c r="X238" s="13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5"/>
    </row>
    <row r="239" spans="1:44" ht="46.5" customHeight="1" thickBot="1">
      <c r="A239" s="126" t="s">
        <v>62</v>
      </c>
      <c r="B239" s="244"/>
      <c r="C239" s="133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12"/>
      <c r="R239" s="115"/>
      <c r="S239" s="109"/>
      <c r="T239" s="100"/>
      <c r="U239" s="100"/>
      <c r="V239" s="100"/>
      <c r="W239" s="100"/>
      <c r="X239" s="13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5"/>
    </row>
    <row r="240" spans="1:44" ht="46.5" customHeight="1" thickBot="1">
      <c r="A240" s="126" t="s">
        <v>63</v>
      </c>
      <c r="B240" s="244"/>
      <c r="C240" s="133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12"/>
      <c r="R240" s="115"/>
      <c r="S240" s="109"/>
      <c r="T240" s="100"/>
      <c r="U240" s="100"/>
      <c r="V240" s="100"/>
      <c r="W240" s="100"/>
      <c r="X240" s="13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5"/>
    </row>
    <row r="241" spans="1:44" ht="46.5" customHeight="1" thickBot="1">
      <c r="A241" s="126" t="s">
        <v>66</v>
      </c>
      <c r="B241" s="244"/>
      <c r="C241" s="133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12"/>
      <c r="R241" s="115"/>
      <c r="S241" s="109"/>
      <c r="T241" s="100"/>
      <c r="U241" s="100"/>
      <c r="V241" s="100"/>
      <c r="W241" s="100"/>
      <c r="X241" s="13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5"/>
    </row>
    <row r="242" spans="1:44" ht="46.5" customHeight="1" thickBot="1">
      <c r="A242" s="126" t="s">
        <v>67</v>
      </c>
      <c r="B242" s="245"/>
      <c r="C242" s="134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13"/>
      <c r="R242" s="116"/>
      <c r="S242" s="110"/>
      <c r="T242" s="106"/>
      <c r="U242" s="106"/>
      <c r="V242" s="106"/>
      <c r="W242" s="106"/>
      <c r="X242" s="128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7"/>
    </row>
    <row r="243" spans="1:44" ht="46.5" customHeight="1">
      <c r="A243" s="123"/>
      <c r="B243" s="258"/>
      <c r="R243" s="124"/>
      <c r="X243" s="125"/>
    </row>
    <row r="244" spans="1:44" ht="46.5" customHeight="1">
      <c r="A244" s="123"/>
      <c r="B244" s="258"/>
      <c r="R244" s="124"/>
      <c r="X244" s="125"/>
    </row>
    <row r="245" spans="1:44" ht="46.5" customHeight="1">
      <c r="A245" s="123"/>
      <c r="B245" s="258"/>
      <c r="R245" s="124"/>
      <c r="X245" s="125"/>
    </row>
    <row r="246" spans="1:44" ht="46.5" customHeight="1">
      <c r="A246" s="123"/>
      <c r="B246" s="258"/>
      <c r="R246" s="124"/>
      <c r="X246" s="125"/>
    </row>
    <row r="247" spans="1:44" ht="46.5" customHeight="1">
      <c r="A247" s="123"/>
      <c r="B247" s="258"/>
      <c r="R247" s="124"/>
      <c r="X247" s="125"/>
    </row>
    <row r="248" spans="1:44" ht="46.5" customHeight="1">
      <c r="A248" s="123"/>
      <c r="B248" s="258"/>
      <c r="R248" s="124"/>
      <c r="X248" s="125"/>
    </row>
    <row r="249" spans="1:44" ht="46.5" customHeight="1">
      <c r="A249" s="123"/>
      <c r="B249" s="257"/>
      <c r="R249" s="124"/>
      <c r="X249" s="125"/>
    </row>
    <row r="250" spans="1:44" ht="46.5" customHeight="1">
      <c r="A250" s="123"/>
      <c r="B250" s="257"/>
      <c r="R250" s="124"/>
      <c r="X250" s="125"/>
    </row>
    <row r="251" spans="1:44" ht="46.5" customHeight="1">
      <c r="A251" s="123"/>
      <c r="B251" s="257"/>
      <c r="R251" s="124"/>
      <c r="X251" s="125"/>
    </row>
    <row r="252" spans="1:44" ht="46.5" customHeight="1">
      <c r="A252" s="123"/>
      <c r="B252" s="257"/>
      <c r="R252" s="124"/>
      <c r="X252" s="125"/>
    </row>
    <row r="253" spans="1:44" ht="46.5" customHeight="1">
      <c r="A253" s="123"/>
      <c r="B253" s="257"/>
      <c r="R253" s="124"/>
      <c r="X253" s="125"/>
    </row>
    <row r="254" spans="1:44" ht="46.5" customHeight="1">
      <c r="A254" s="123"/>
      <c r="B254" s="257"/>
      <c r="R254" s="124"/>
      <c r="X254" s="125"/>
    </row>
    <row r="255" spans="1:44" ht="46.5" customHeight="1">
      <c r="A255" s="123"/>
      <c r="B255" s="258"/>
      <c r="R255" s="124"/>
      <c r="X255" s="125"/>
    </row>
    <row r="256" spans="1:44" ht="46.5" customHeight="1">
      <c r="A256" s="123"/>
      <c r="B256" s="258"/>
      <c r="R256" s="124"/>
      <c r="X256" s="125"/>
    </row>
    <row r="257" spans="1:24" ht="46.5" customHeight="1">
      <c r="A257" s="123"/>
      <c r="B257" s="258"/>
      <c r="R257" s="124"/>
      <c r="X257" s="125"/>
    </row>
    <row r="258" spans="1:24" ht="46.5" customHeight="1">
      <c r="A258" s="123"/>
      <c r="B258" s="258"/>
      <c r="R258" s="124"/>
      <c r="X258" s="125"/>
    </row>
    <row r="259" spans="1:24" ht="46.5" customHeight="1">
      <c r="A259" s="123"/>
      <c r="B259" s="258"/>
      <c r="R259" s="124"/>
      <c r="X259" s="125"/>
    </row>
    <row r="260" spans="1:24" ht="46.5" customHeight="1">
      <c r="A260" s="123"/>
      <c r="B260" s="258"/>
      <c r="R260" s="124"/>
      <c r="X260" s="125"/>
    </row>
    <row r="261" spans="1:24" ht="46.5" customHeight="1">
      <c r="A261" s="123"/>
      <c r="B261" s="257"/>
      <c r="R261" s="124"/>
      <c r="X261" s="125"/>
    </row>
    <row r="262" spans="1:24" ht="46.5" customHeight="1">
      <c r="A262" s="123"/>
      <c r="B262" s="257"/>
      <c r="R262" s="124"/>
      <c r="X262" s="125"/>
    </row>
    <row r="263" spans="1:24" ht="46.5" customHeight="1">
      <c r="A263" s="123"/>
      <c r="B263" s="257"/>
      <c r="R263" s="124"/>
      <c r="X263" s="125"/>
    </row>
    <row r="264" spans="1:24" ht="46.5" customHeight="1">
      <c r="A264" s="123"/>
      <c r="B264" s="257"/>
      <c r="R264" s="124"/>
      <c r="X264" s="125"/>
    </row>
    <row r="265" spans="1:24" ht="46.5" customHeight="1">
      <c r="A265" s="123"/>
      <c r="B265" s="257"/>
      <c r="R265" s="124"/>
      <c r="X265" s="125"/>
    </row>
    <row r="266" spans="1:24" ht="46.5" customHeight="1">
      <c r="A266" s="123"/>
      <c r="B266" s="257"/>
      <c r="R266" s="124"/>
      <c r="X266" s="125"/>
    </row>
    <row r="267" spans="1:24" ht="46.5" customHeight="1">
      <c r="A267" s="123"/>
      <c r="B267" s="258"/>
      <c r="R267" s="124"/>
      <c r="X267" s="125"/>
    </row>
    <row r="268" spans="1:24" ht="46.5" customHeight="1">
      <c r="A268" s="123"/>
      <c r="B268" s="258"/>
      <c r="R268" s="124"/>
      <c r="X268" s="125"/>
    </row>
    <row r="269" spans="1:24" ht="46.5" customHeight="1">
      <c r="A269" s="123"/>
      <c r="B269" s="258"/>
      <c r="R269" s="124"/>
      <c r="X269" s="125"/>
    </row>
    <row r="270" spans="1:24" ht="46.5" customHeight="1">
      <c r="A270" s="123"/>
      <c r="B270" s="258"/>
      <c r="R270" s="124"/>
      <c r="X270" s="125"/>
    </row>
    <row r="271" spans="1:24" ht="46.5" customHeight="1">
      <c r="A271" s="123"/>
      <c r="B271" s="258"/>
      <c r="R271" s="124"/>
      <c r="X271" s="125"/>
    </row>
    <row r="272" spans="1:24" ht="46.5" customHeight="1">
      <c r="A272" s="123"/>
      <c r="B272" s="258"/>
      <c r="R272" s="124"/>
      <c r="X272" s="125"/>
    </row>
    <row r="273" spans="1:24" ht="46.5" customHeight="1">
      <c r="A273" s="123"/>
      <c r="B273" s="257"/>
      <c r="R273" s="124"/>
      <c r="X273" s="125"/>
    </row>
    <row r="274" spans="1:24" ht="46.5" customHeight="1">
      <c r="A274" s="123"/>
      <c r="B274" s="257"/>
      <c r="R274" s="124"/>
      <c r="X274" s="125"/>
    </row>
    <row r="275" spans="1:24" ht="46.5" customHeight="1">
      <c r="A275" s="123"/>
      <c r="B275" s="257"/>
      <c r="R275" s="124"/>
      <c r="X275" s="125"/>
    </row>
    <row r="276" spans="1:24" ht="46.5" customHeight="1">
      <c r="A276" s="123"/>
      <c r="B276" s="257"/>
      <c r="R276" s="124"/>
      <c r="X276" s="125"/>
    </row>
    <row r="277" spans="1:24" ht="46.5" customHeight="1">
      <c r="A277" s="123"/>
      <c r="B277" s="257"/>
      <c r="R277" s="124"/>
      <c r="X277" s="125"/>
    </row>
    <row r="278" spans="1:24" ht="46.5" customHeight="1">
      <c r="A278" s="123"/>
      <c r="B278" s="257"/>
      <c r="R278" s="124"/>
      <c r="X278" s="125"/>
    </row>
    <row r="279" spans="1:24" ht="46.5" customHeight="1">
      <c r="A279" s="123"/>
      <c r="B279" s="258"/>
      <c r="R279" s="124"/>
      <c r="X279" s="125"/>
    </row>
    <row r="280" spans="1:24" ht="46.5" customHeight="1">
      <c r="A280" s="123"/>
      <c r="B280" s="258"/>
      <c r="R280" s="124"/>
      <c r="X280" s="125"/>
    </row>
    <row r="281" spans="1:24" ht="46.5" customHeight="1">
      <c r="A281" s="123"/>
      <c r="B281" s="258"/>
      <c r="R281" s="124"/>
      <c r="X281" s="125"/>
    </row>
    <row r="282" spans="1:24" ht="46.5" customHeight="1">
      <c r="A282" s="123"/>
      <c r="B282" s="258"/>
      <c r="R282" s="124"/>
      <c r="X282" s="125"/>
    </row>
    <row r="283" spans="1:24" ht="46.5" customHeight="1">
      <c r="A283" s="123"/>
      <c r="B283" s="258"/>
      <c r="R283" s="124"/>
      <c r="X283" s="125"/>
    </row>
    <row r="284" spans="1:24" ht="46.5" customHeight="1">
      <c r="A284" s="123"/>
      <c r="B284" s="258"/>
      <c r="R284" s="124"/>
      <c r="X284" s="125"/>
    </row>
    <row r="285" spans="1:24" ht="46.5" customHeight="1">
      <c r="A285" s="123"/>
      <c r="B285" s="257"/>
      <c r="R285" s="124"/>
      <c r="X285" s="125"/>
    </row>
    <row r="286" spans="1:24" ht="46.5" customHeight="1">
      <c r="A286" s="123"/>
      <c r="B286" s="257"/>
      <c r="R286" s="124"/>
      <c r="X286" s="125"/>
    </row>
    <row r="287" spans="1:24" ht="46.5" customHeight="1">
      <c r="A287" s="123"/>
      <c r="B287" s="257"/>
      <c r="R287" s="124"/>
      <c r="X287" s="125"/>
    </row>
    <row r="288" spans="1:24" ht="46.5" customHeight="1">
      <c r="A288" s="123"/>
      <c r="B288" s="257"/>
      <c r="R288" s="124"/>
      <c r="X288" s="125"/>
    </row>
    <row r="289" spans="1:24" ht="46.5" customHeight="1">
      <c r="A289" s="123"/>
      <c r="B289" s="257"/>
      <c r="R289" s="124"/>
      <c r="X289" s="125"/>
    </row>
    <row r="290" spans="1:24" ht="46.5" customHeight="1">
      <c r="A290" s="123"/>
      <c r="B290" s="257"/>
      <c r="R290" s="124"/>
      <c r="X290" s="125"/>
    </row>
    <row r="291" spans="1:24" ht="46.5" customHeight="1">
      <c r="A291" s="123"/>
      <c r="B291" s="258"/>
      <c r="R291" s="124"/>
      <c r="X291" s="125"/>
    </row>
    <row r="292" spans="1:24" ht="46.5" customHeight="1">
      <c r="A292" s="123"/>
      <c r="B292" s="258"/>
      <c r="R292" s="124"/>
      <c r="X292" s="125"/>
    </row>
    <row r="293" spans="1:24" ht="46.5" customHeight="1">
      <c r="A293" s="123"/>
      <c r="B293" s="258"/>
      <c r="R293" s="124"/>
      <c r="X293" s="125"/>
    </row>
    <row r="294" spans="1:24" ht="46.5" customHeight="1">
      <c r="A294" s="123"/>
      <c r="B294" s="258"/>
      <c r="R294" s="124"/>
      <c r="X294" s="125"/>
    </row>
    <row r="295" spans="1:24" ht="46.5" customHeight="1">
      <c r="A295" s="123"/>
      <c r="B295" s="258"/>
      <c r="R295" s="124"/>
      <c r="X295" s="125"/>
    </row>
    <row r="296" spans="1:24" ht="46.5" customHeight="1">
      <c r="A296" s="123"/>
      <c r="B296" s="258"/>
      <c r="R296" s="124"/>
      <c r="X296" s="125"/>
    </row>
    <row r="297" spans="1:24" ht="46.5" customHeight="1">
      <c r="A297" s="123"/>
      <c r="B297" s="257"/>
      <c r="R297" s="124"/>
      <c r="X297" s="125"/>
    </row>
    <row r="298" spans="1:24" ht="46.5" customHeight="1">
      <c r="A298" s="123"/>
      <c r="B298" s="257"/>
      <c r="R298" s="124"/>
      <c r="X298" s="125"/>
    </row>
    <row r="299" spans="1:24" ht="46.5" customHeight="1">
      <c r="A299" s="123"/>
      <c r="B299" s="257"/>
      <c r="R299" s="124"/>
      <c r="X299" s="125"/>
    </row>
    <row r="300" spans="1:24" ht="46.5" customHeight="1">
      <c r="A300" s="123"/>
      <c r="B300" s="257"/>
      <c r="R300" s="124"/>
      <c r="X300" s="125"/>
    </row>
    <row r="301" spans="1:24" ht="46.5" customHeight="1">
      <c r="A301" s="123"/>
      <c r="B301" s="257"/>
      <c r="R301" s="124"/>
      <c r="X301" s="125"/>
    </row>
    <row r="302" spans="1:24" ht="46.5" customHeight="1">
      <c r="A302" s="123"/>
      <c r="B302" s="257"/>
      <c r="R302" s="124"/>
      <c r="X302" s="125"/>
    </row>
    <row r="303" spans="1:24" ht="46.5" customHeight="1">
      <c r="A303" s="123"/>
      <c r="B303" s="258"/>
      <c r="R303" s="124"/>
      <c r="X303" s="125"/>
    </row>
    <row r="304" spans="1:24" ht="46.5" customHeight="1">
      <c r="A304" s="123"/>
      <c r="B304" s="258"/>
      <c r="R304" s="124"/>
      <c r="X304" s="125"/>
    </row>
    <row r="305" spans="1:24" ht="46.5" customHeight="1">
      <c r="A305" s="123"/>
      <c r="B305" s="258"/>
      <c r="R305" s="124"/>
      <c r="X305" s="125"/>
    </row>
    <row r="306" spans="1:24" ht="46.5" customHeight="1">
      <c r="A306" s="123"/>
      <c r="B306" s="258"/>
      <c r="R306" s="124"/>
      <c r="X306" s="125"/>
    </row>
    <row r="307" spans="1:24" ht="46.5" customHeight="1">
      <c r="A307" s="123"/>
      <c r="B307" s="258"/>
      <c r="R307" s="124"/>
      <c r="X307" s="125"/>
    </row>
    <row r="308" spans="1:24" ht="46.5" customHeight="1">
      <c r="A308" s="123"/>
      <c r="B308" s="258"/>
      <c r="R308" s="124"/>
      <c r="X308" s="125"/>
    </row>
    <row r="309" spans="1:24" ht="46.5" customHeight="1">
      <c r="A309" s="123"/>
      <c r="B309" s="257"/>
      <c r="R309" s="124"/>
      <c r="X309" s="125"/>
    </row>
    <row r="310" spans="1:24" ht="46.5" customHeight="1">
      <c r="A310" s="123"/>
      <c r="B310" s="257"/>
      <c r="R310" s="124"/>
      <c r="X310" s="125"/>
    </row>
    <row r="311" spans="1:24" ht="46.5" customHeight="1">
      <c r="A311" s="123"/>
      <c r="B311" s="257"/>
      <c r="R311" s="124"/>
      <c r="X311" s="125"/>
    </row>
    <row r="312" spans="1:24" ht="46.5" customHeight="1">
      <c r="A312" s="123"/>
      <c r="B312" s="257"/>
      <c r="R312" s="124"/>
      <c r="X312" s="125"/>
    </row>
    <row r="313" spans="1:24" ht="46.5" customHeight="1">
      <c r="A313" s="123"/>
      <c r="B313" s="257"/>
      <c r="R313" s="124"/>
      <c r="X313" s="125"/>
    </row>
    <row r="314" spans="1:24" ht="46.5" customHeight="1">
      <c r="A314" s="123"/>
      <c r="B314" s="257"/>
      <c r="R314" s="124"/>
      <c r="X314" s="125"/>
    </row>
    <row r="315" spans="1:24" ht="46.5" customHeight="1">
      <c r="A315" s="123"/>
      <c r="B315" s="258"/>
      <c r="R315" s="124"/>
      <c r="X315" s="125"/>
    </row>
    <row r="316" spans="1:24" ht="46.5" customHeight="1">
      <c r="A316" s="123"/>
      <c r="B316" s="258"/>
      <c r="R316" s="124"/>
      <c r="X316" s="125"/>
    </row>
    <row r="317" spans="1:24" ht="46.5" customHeight="1">
      <c r="A317" s="123"/>
      <c r="B317" s="258"/>
      <c r="R317" s="124"/>
      <c r="X317" s="125"/>
    </row>
    <row r="318" spans="1:24" ht="46.5" customHeight="1">
      <c r="A318" s="123"/>
      <c r="B318" s="258"/>
      <c r="R318" s="124"/>
      <c r="X318" s="125"/>
    </row>
    <row r="319" spans="1:24" ht="46.5" customHeight="1">
      <c r="A319" s="123"/>
      <c r="B319" s="258"/>
      <c r="R319" s="124"/>
      <c r="X319" s="125"/>
    </row>
    <row r="320" spans="1:24" ht="46.5" customHeight="1">
      <c r="A320" s="123"/>
      <c r="B320" s="258"/>
      <c r="R320" s="124"/>
      <c r="X320" s="125"/>
    </row>
    <row r="321" spans="1:24" ht="46.5" customHeight="1">
      <c r="A321" s="123"/>
      <c r="B321" s="257"/>
      <c r="R321" s="124"/>
      <c r="X321" s="125"/>
    </row>
    <row r="322" spans="1:24" ht="46.5" customHeight="1">
      <c r="A322" s="123"/>
      <c r="B322" s="257"/>
      <c r="R322" s="124"/>
      <c r="X322" s="125"/>
    </row>
    <row r="323" spans="1:24" ht="46.5" customHeight="1">
      <c r="A323" s="123"/>
      <c r="B323" s="257"/>
      <c r="R323" s="124"/>
      <c r="X323" s="125"/>
    </row>
    <row r="324" spans="1:24" ht="46.5" customHeight="1">
      <c r="A324" s="123"/>
      <c r="B324" s="257"/>
      <c r="R324" s="124"/>
      <c r="X324" s="125"/>
    </row>
    <row r="325" spans="1:24" ht="46.5" customHeight="1">
      <c r="A325" s="123"/>
      <c r="B325" s="257"/>
      <c r="R325" s="124"/>
      <c r="X325" s="125"/>
    </row>
    <row r="326" spans="1:24" ht="46.5" customHeight="1">
      <c r="A326" s="123"/>
      <c r="B326" s="257"/>
      <c r="R326" s="124"/>
      <c r="X326" s="125"/>
    </row>
    <row r="327" spans="1:24" ht="46.5" customHeight="1">
      <c r="A327" s="123"/>
      <c r="B327" s="258"/>
      <c r="R327" s="124"/>
      <c r="X327" s="125"/>
    </row>
    <row r="328" spans="1:24" ht="46.5" customHeight="1">
      <c r="A328" s="123"/>
      <c r="B328" s="258"/>
      <c r="R328" s="124"/>
      <c r="X328" s="125"/>
    </row>
    <row r="329" spans="1:24" ht="46.5" customHeight="1">
      <c r="A329" s="123"/>
      <c r="B329" s="258"/>
      <c r="R329" s="124"/>
      <c r="X329" s="125"/>
    </row>
    <row r="330" spans="1:24" ht="46.5" customHeight="1">
      <c r="A330" s="123"/>
      <c r="B330" s="258"/>
      <c r="R330" s="124"/>
      <c r="X330" s="125"/>
    </row>
    <row r="331" spans="1:24" ht="46.5" customHeight="1">
      <c r="A331" s="123"/>
      <c r="B331" s="258"/>
      <c r="R331" s="124"/>
      <c r="X331" s="125"/>
    </row>
    <row r="332" spans="1:24" ht="46.5" customHeight="1">
      <c r="A332" s="123"/>
      <c r="B332" s="258"/>
      <c r="R332" s="124"/>
      <c r="X332" s="125"/>
    </row>
    <row r="333" spans="1:24" ht="46.5" customHeight="1">
      <c r="A333" s="123"/>
      <c r="B333" s="257"/>
      <c r="R333" s="124"/>
      <c r="X333" s="125"/>
    </row>
    <row r="334" spans="1:24" ht="46.5" customHeight="1">
      <c r="A334" s="123"/>
      <c r="B334" s="257"/>
      <c r="R334" s="124"/>
      <c r="X334" s="125"/>
    </row>
    <row r="335" spans="1:24" ht="46.5" customHeight="1">
      <c r="A335" s="123"/>
      <c r="B335" s="257"/>
      <c r="R335" s="124"/>
      <c r="X335" s="125"/>
    </row>
    <row r="336" spans="1:24" ht="46.5" customHeight="1">
      <c r="A336" s="123"/>
      <c r="B336" s="257"/>
      <c r="R336" s="124"/>
      <c r="X336" s="125"/>
    </row>
    <row r="337" spans="1:24" ht="46.5" customHeight="1">
      <c r="A337" s="123"/>
      <c r="B337" s="257"/>
      <c r="R337" s="124"/>
      <c r="X337" s="125"/>
    </row>
    <row r="338" spans="1:24" ht="46.5" customHeight="1">
      <c r="A338" s="123"/>
      <c r="B338" s="257"/>
      <c r="R338" s="124"/>
      <c r="X338" s="125"/>
    </row>
    <row r="339" spans="1:24" ht="46.5" customHeight="1">
      <c r="A339" s="123"/>
      <c r="B339" s="258"/>
      <c r="R339" s="124"/>
      <c r="X339" s="125"/>
    </row>
    <row r="340" spans="1:24" ht="46.5" customHeight="1">
      <c r="A340" s="123"/>
      <c r="B340" s="258"/>
      <c r="R340" s="124"/>
      <c r="X340" s="125"/>
    </row>
    <row r="341" spans="1:24" ht="46.5" customHeight="1">
      <c r="A341" s="123"/>
      <c r="B341" s="258"/>
      <c r="R341" s="124"/>
      <c r="X341" s="125"/>
    </row>
    <row r="342" spans="1:24" ht="46.5" customHeight="1">
      <c r="A342" s="123"/>
      <c r="B342" s="258"/>
      <c r="R342" s="124"/>
      <c r="X342" s="125"/>
    </row>
    <row r="343" spans="1:24" ht="46.5" customHeight="1">
      <c r="A343" s="123"/>
      <c r="B343" s="258"/>
      <c r="R343" s="124"/>
      <c r="X343" s="125"/>
    </row>
    <row r="344" spans="1:24" ht="46.5" customHeight="1">
      <c r="A344" s="123"/>
      <c r="B344" s="258"/>
      <c r="R344" s="124"/>
      <c r="X344" s="125"/>
    </row>
    <row r="345" spans="1:24" ht="46.5" customHeight="1">
      <c r="A345" s="123"/>
      <c r="B345" s="257"/>
      <c r="R345" s="124"/>
      <c r="X345" s="125"/>
    </row>
    <row r="346" spans="1:24" ht="46.5" customHeight="1">
      <c r="A346" s="123"/>
      <c r="B346" s="257"/>
      <c r="R346" s="124"/>
      <c r="X346" s="125"/>
    </row>
    <row r="347" spans="1:24" ht="46.5" customHeight="1">
      <c r="A347" s="123"/>
      <c r="B347" s="257"/>
      <c r="R347" s="124"/>
      <c r="X347" s="125"/>
    </row>
    <row r="348" spans="1:24" ht="46.5" customHeight="1">
      <c r="A348" s="123"/>
      <c r="B348" s="257"/>
      <c r="R348" s="124"/>
      <c r="X348" s="125"/>
    </row>
    <row r="349" spans="1:24" ht="46.5" customHeight="1">
      <c r="A349" s="123"/>
      <c r="B349" s="257"/>
      <c r="R349" s="124"/>
      <c r="X349" s="125"/>
    </row>
    <row r="350" spans="1:24" ht="46.5" customHeight="1">
      <c r="A350" s="123"/>
      <c r="B350" s="257"/>
      <c r="R350" s="124"/>
      <c r="X350" s="125"/>
    </row>
    <row r="351" spans="1:24" ht="46.5" customHeight="1">
      <c r="A351" s="123"/>
      <c r="B351" s="258"/>
      <c r="R351" s="124"/>
      <c r="X351" s="125"/>
    </row>
    <row r="352" spans="1:24" ht="46.5" customHeight="1">
      <c r="A352" s="123"/>
      <c r="B352" s="258"/>
      <c r="R352" s="124"/>
      <c r="X352" s="125"/>
    </row>
    <row r="353" spans="1:24" ht="46.5" customHeight="1">
      <c r="A353" s="123"/>
      <c r="B353" s="258"/>
      <c r="R353" s="124"/>
      <c r="X353" s="125"/>
    </row>
    <row r="354" spans="1:24" ht="46.5" customHeight="1">
      <c r="A354" s="123"/>
      <c r="B354" s="258"/>
      <c r="R354" s="124"/>
      <c r="X354" s="125"/>
    </row>
    <row r="355" spans="1:24" ht="46.5" customHeight="1">
      <c r="A355" s="123"/>
      <c r="B355" s="258"/>
      <c r="R355" s="124"/>
      <c r="X355" s="125"/>
    </row>
    <row r="356" spans="1:24" ht="46.5" customHeight="1">
      <c r="A356" s="123"/>
      <c r="B356" s="258"/>
      <c r="R356" s="124"/>
      <c r="X356" s="125"/>
    </row>
    <row r="357" spans="1:24" ht="46.5" customHeight="1">
      <c r="A357" s="123"/>
      <c r="B357" s="257"/>
      <c r="R357" s="124"/>
      <c r="X357" s="125"/>
    </row>
    <row r="358" spans="1:24" ht="46.5" customHeight="1">
      <c r="A358" s="123"/>
      <c r="B358" s="257"/>
      <c r="R358" s="124"/>
      <c r="X358" s="125"/>
    </row>
    <row r="359" spans="1:24" ht="46.5" customHeight="1">
      <c r="A359" s="123"/>
      <c r="B359" s="257"/>
      <c r="R359" s="124"/>
      <c r="X359" s="125"/>
    </row>
    <row r="360" spans="1:24" ht="46.5" customHeight="1">
      <c r="A360" s="123"/>
      <c r="B360" s="257"/>
      <c r="R360" s="124"/>
      <c r="X360" s="125"/>
    </row>
    <row r="361" spans="1:24" ht="46.5" customHeight="1">
      <c r="A361" s="123"/>
      <c r="B361" s="257"/>
      <c r="R361" s="124"/>
      <c r="X361" s="125"/>
    </row>
    <row r="362" spans="1:24" ht="46.5" customHeight="1">
      <c r="A362" s="123"/>
      <c r="B362" s="257"/>
      <c r="R362" s="124"/>
      <c r="X362" s="125"/>
    </row>
    <row r="363" spans="1:24" ht="46.5" customHeight="1">
      <c r="A363" s="123"/>
      <c r="B363" s="258"/>
      <c r="R363" s="124"/>
      <c r="X363" s="125"/>
    </row>
    <row r="364" spans="1:24" ht="46.5" customHeight="1">
      <c r="A364" s="123"/>
      <c r="B364" s="258"/>
      <c r="R364" s="124"/>
      <c r="X364" s="125"/>
    </row>
    <row r="365" spans="1:24" ht="46.5" customHeight="1">
      <c r="A365" s="123"/>
      <c r="B365" s="258"/>
      <c r="R365" s="124"/>
      <c r="X365" s="125"/>
    </row>
    <row r="366" spans="1:24" ht="46.5" customHeight="1">
      <c r="A366" s="123"/>
      <c r="B366" s="258"/>
      <c r="R366" s="124"/>
      <c r="X366" s="125"/>
    </row>
    <row r="367" spans="1:24" ht="46.5" customHeight="1">
      <c r="A367" s="123"/>
      <c r="B367" s="258"/>
      <c r="R367" s="124"/>
      <c r="X367" s="125"/>
    </row>
    <row r="368" spans="1:24" ht="46.5" customHeight="1">
      <c r="A368" s="123"/>
      <c r="B368" s="258"/>
      <c r="R368" s="124"/>
      <c r="X368" s="125"/>
    </row>
    <row r="369" spans="1:24" ht="46.5" customHeight="1">
      <c r="A369" s="123"/>
      <c r="B369" s="257"/>
      <c r="R369" s="124"/>
      <c r="X369" s="125"/>
    </row>
    <row r="370" spans="1:24" ht="46.5" customHeight="1">
      <c r="A370" s="123"/>
      <c r="B370" s="257"/>
      <c r="R370" s="124"/>
      <c r="X370" s="125"/>
    </row>
    <row r="371" spans="1:24" ht="46.5" customHeight="1">
      <c r="A371" s="123"/>
      <c r="B371" s="257"/>
      <c r="R371" s="124"/>
      <c r="X371" s="125"/>
    </row>
    <row r="372" spans="1:24" ht="46.5" customHeight="1">
      <c r="A372" s="123"/>
      <c r="B372" s="257"/>
      <c r="R372" s="124"/>
      <c r="X372" s="125"/>
    </row>
    <row r="373" spans="1:24" ht="46.5" customHeight="1">
      <c r="A373" s="123"/>
      <c r="B373" s="257"/>
      <c r="R373" s="124"/>
      <c r="X373" s="125"/>
    </row>
    <row r="374" spans="1:24" ht="46.5" customHeight="1">
      <c r="A374" s="123"/>
      <c r="B374" s="257"/>
      <c r="R374" s="124"/>
      <c r="X374" s="125"/>
    </row>
    <row r="375" spans="1:24" ht="46.5" customHeight="1">
      <c r="A375" s="123"/>
      <c r="B375" s="258"/>
      <c r="R375" s="124"/>
      <c r="X375" s="125"/>
    </row>
    <row r="376" spans="1:24" ht="46.5" customHeight="1">
      <c r="A376" s="123"/>
      <c r="B376" s="258"/>
      <c r="R376" s="124"/>
      <c r="X376" s="125"/>
    </row>
    <row r="377" spans="1:24" ht="46.5" customHeight="1">
      <c r="A377" s="123"/>
      <c r="B377" s="258"/>
      <c r="R377" s="124"/>
      <c r="X377" s="125"/>
    </row>
    <row r="378" spans="1:24" ht="46.5" customHeight="1">
      <c r="A378" s="123"/>
      <c r="B378" s="258"/>
      <c r="R378" s="124"/>
      <c r="X378" s="125"/>
    </row>
    <row r="379" spans="1:24" ht="46.5" customHeight="1">
      <c r="A379" s="123"/>
      <c r="B379" s="258"/>
      <c r="R379" s="124"/>
      <c r="X379" s="125"/>
    </row>
    <row r="380" spans="1:24" ht="46.5" customHeight="1">
      <c r="A380" s="123"/>
      <c r="B380" s="258"/>
      <c r="R380" s="124"/>
      <c r="X380" s="125"/>
    </row>
    <row r="381" spans="1:24" ht="46.5" customHeight="1">
      <c r="A381" s="123"/>
      <c r="B381" s="257"/>
      <c r="R381" s="124"/>
      <c r="X381" s="125"/>
    </row>
    <row r="382" spans="1:24" ht="46.5" customHeight="1">
      <c r="A382" s="123"/>
      <c r="B382" s="257"/>
      <c r="R382" s="124"/>
      <c r="X382" s="125"/>
    </row>
    <row r="383" spans="1:24" ht="46.5" customHeight="1">
      <c r="A383" s="123"/>
      <c r="B383" s="257"/>
      <c r="R383" s="124"/>
      <c r="X383" s="125"/>
    </row>
    <row r="384" spans="1:24" ht="46.5" customHeight="1">
      <c r="A384" s="123"/>
      <c r="B384" s="257"/>
      <c r="R384" s="124"/>
      <c r="X384" s="125"/>
    </row>
    <row r="385" spans="1:24" ht="46.5" customHeight="1">
      <c r="A385" s="123"/>
      <c r="B385" s="257"/>
      <c r="R385" s="124"/>
      <c r="X385" s="125"/>
    </row>
    <row r="386" spans="1:24" ht="46.5" customHeight="1">
      <c r="A386" s="123"/>
      <c r="B386" s="257"/>
      <c r="R386" s="124"/>
      <c r="X386" s="125"/>
    </row>
    <row r="387" spans="1:24" ht="46.5" customHeight="1">
      <c r="A387" s="123"/>
      <c r="B387" s="258"/>
      <c r="R387" s="124"/>
      <c r="X387" s="125"/>
    </row>
    <row r="388" spans="1:24" ht="46.5" customHeight="1">
      <c r="A388" s="123"/>
      <c r="B388" s="258"/>
      <c r="R388" s="124"/>
      <c r="X388" s="125"/>
    </row>
    <row r="389" spans="1:24" ht="46.5" customHeight="1">
      <c r="A389" s="123"/>
      <c r="B389" s="258"/>
      <c r="R389" s="124"/>
      <c r="X389" s="125"/>
    </row>
    <row r="390" spans="1:24" ht="46.5" customHeight="1">
      <c r="A390" s="123"/>
      <c r="B390" s="258"/>
      <c r="R390" s="124"/>
      <c r="X390" s="125"/>
    </row>
    <row r="391" spans="1:24" ht="46.5" customHeight="1">
      <c r="A391" s="123"/>
      <c r="B391" s="258"/>
      <c r="R391" s="124"/>
      <c r="X391" s="125"/>
    </row>
    <row r="392" spans="1:24" ht="46.5" customHeight="1">
      <c r="A392" s="123"/>
      <c r="B392" s="258"/>
      <c r="R392" s="124"/>
      <c r="X392" s="125"/>
    </row>
    <row r="393" spans="1:24" ht="46.5" customHeight="1">
      <c r="A393" s="123"/>
      <c r="B393" s="257"/>
      <c r="R393" s="124"/>
      <c r="X393" s="125"/>
    </row>
    <row r="394" spans="1:24" ht="46.5" customHeight="1">
      <c r="A394" s="123"/>
      <c r="B394" s="257"/>
      <c r="R394" s="124"/>
      <c r="X394" s="125"/>
    </row>
    <row r="395" spans="1:24" ht="46.5" customHeight="1">
      <c r="A395" s="123"/>
      <c r="B395" s="257"/>
      <c r="R395" s="124"/>
      <c r="X395" s="125"/>
    </row>
    <row r="396" spans="1:24" ht="46.5" customHeight="1">
      <c r="A396" s="123"/>
      <c r="B396" s="257"/>
      <c r="R396" s="124"/>
      <c r="X396" s="125"/>
    </row>
    <row r="397" spans="1:24" ht="46.5" customHeight="1">
      <c r="A397" s="123"/>
      <c r="B397" s="257"/>
      <c r="R397" s="124"/>
      <c r="X397" s="125"/>
    </row>
    <row r="398" spans="1:24" ht="46.5" customHeight="1">
      <c r="A398" s="123"/>
      <c r="B398" s="257"/>
      <c r="R398" s="124"/>
      <c r="X398" s="125"/>
    </row>
    <row r="399" spans="1:24" ht="46.5" customHeight="1">
      <c r="A399" s="123"/>
      <c r="B399" s="258"/>
      <c r="R399" s="124"/>
      <c r="X399" s="125"/>
    </row>
    <row r="400" spans="1:24" ht="46.5" customHeight="1">
      <c r="A400" s="123"/>
      <c r="B400" s="258"/>
      <c r="R400" s="124"/>
      <c r="X400" s="125"/>
    </row>
    <row r="401" spans="1:24" ht="46.5" customHeight="1">
      <c r="A401" s="123"/>
      <c r="B401" s="258"/>
      <c r="R401" s="124"/>
      <c r="X401" s="125"/>
    </row>
    <row r="402" spans="1:24" ht="46.5" customHeight="1">
      <c r="A402" s="123"/>
      <c r="B402" s="258"/>
      <c r="R402" s="124"/>
      <c r="X402" s="125"/>
    </row>
    <row r="403" spans="1:24" ht="46.5" customHeight="1">
      <c r="A403" s="123"/>
      <c r="B403" s="258"/>
      <c r="R403" s="124"/>
      <c r="X403" s="125"/>
    </row>
    <row r="404" spans="1:24" ht="46.5" customHeight="1">
      <c r="A404" s="123"/>
      <c r="B404" s="258"/>
      <c r="R404" s="124"/>
      <c r="X404" s="125"/>
    </row>
    <row r="405" spans="1:24" ht="46.5" customHeight="1">
      <c r="A405" s="123"/>
      <c r="B405" s="257"/>
      <c r="R405" s="124"/>
      <c r="X405" s="125"/>
    </row>
    <row r="406" spans="1:24" ht="46.5" customHeight="1">
      <c r="A406" s="123"/>
      <c r="B406" s="257"/>
      <c r="R406" s="124"/>
      <c r="X406" s="125"/>
    </row>
    <row r="407" spans="1:24" ht="46.5" customHeight="1">
      <c r="A407" s="123"/>
      <c r="B407" s="257"/>
      <c r="R407" s="124"/>
      <c r="X407" s="125"/>
    </row>
    <row r="408" spans="1:24" ht="46.5" customHeight="1">
      <c r="A408" s="123"/>
      <c r="B408" s="257"/>
      <c r="R408" s="124"/>
      <c r="X408" s="125"/>
    </row>
    <row r="409" spans="1:24" ht="46.5" customHeight="1">
      <c r="A409" s="123"/>
      <c r="B409" s="257"/>
      <c r="R409" s="124"/>
      <c r="X409" s="125"/>
    </row>
    <row r="410" spans="1:24" ht="46.5" customHeight="1">
      <c r="A410" s="123"/>
      <c r="B410" s="257"/>
      <c r="R410" s="124"/>
      <c r="X410" s="125"/>
    </row>
    <row r="411" spans="1:24" ht="46.5" customHeight="1">
      <c r="A411" s="123"/>
      <c r="B411" s="258"/>
      <c r="R411" s="124"/>
      <c r="X411" s="125"/>
    </row>
    <row r="412" spans="1:24" ht="46.5" customHeight="1">
      <c r="A412" s="123"/>
      <c r="B412" s="258"/>
      <c r="R412" s="124"/>
      <c r="X412" s="125"/>
    </row>
    <row r="413" spans="1:24" ht="46.5" customHeight="1">
      <c r="A413" s="123"/>
      <c r="B413" s="258"/>
      <c r="R413" s="124"/>
      <c r="X413" s="125"/>
    </row>
    <row r="414" spans="1:24" ht="46.5" customHeight="1">
      <c r="A414" s="123"/>
      <c r="B414" s="258"/>
      <c r="R414" s="124"/>
      <c r="X414" s="125"/>
    </row>
    <row r="415" spans="1:24" ht="46.5" customHeight="1">
      <c r="A415" s="123"/>
      <c r="B415" s="258"/>
      <c r="R415" s="124"/>
      <c r="X415" s="125"/>
    </row>
    <row r="416" spans="1:24" ht="46.5" customHeight="1">
      <c r="A416" s="123"/>
      <c r="B416" s="258"/>
      <c r="R416" s="124"/>
      <c r="X416" s="125"/>
    </row>
    <row r="417" spans="1:24" ht="46.5" customHeight="1">
      <c r="A417" s="123"/>
      <c r="B417" s="257"/>
      <c r="R417" s="124"/>
      <c r="X417" s="125"/>
    </row>
    <row r="418" spans="1:24" ht="46.5" customHeight="1">
      <c r="A418" s="123"/>
      <c r="B418" s="257"/>
      <c r="R418" s="124"/>
      <c r="X418" s="125"/>
    </row>
    <row r="419" spans="1:24" ht="46.5" customHeight="1">
      <c r="A419" s="123"/>
      <c r="B419" s="257"/>
      <c r="R419" s="124"/>
      <c r="X419" s="125"/>
    </row>
    <row r="420" spans="1:24" ht="46.5" customHeight="1">
      <c r="A420" s="123"/>
      <c r="B420" s="257"/>
      <c r="R420" s="124"/>
      <c r="X420" s="125"/>
    </row>
    <row r="421" spans="1:24" ht="46.5" customHeight="1">
      <c r="A421" s="123"/>
      <c r="B421" s="257"/>
      <c r="R421" s="124"/>
      <c r="X421" s="125"/>
    </row>
    <row r="422" spans="1:24" ht="46.5" customHeight="1">
      <c r="A422" s="123"/>
      <c r="B422" s="257"/>
      <c r="R422" s="124"/>
      <c r="X422" s="125"/>
    </row>
    <row r="423" spans="1:24" ht="46.5" customHeight="1">
      <c r="A423" s="123"/>
      <c r="B423" s="258"/>
      <c r="R423" s="124"/>
      <c r="X423" s="125"/>
    </row>
    <row r="424" spans="1:24" ht="46.5" customHeight="1">
      <c r="A424" s="123"/>
      <c r="B424" s="258"/>
      <c r="R424" s="124"/>
      <c r="X424" s="125"/>
    </row>
    <row r="425" spans="1:24" ht="46.5" customHeight="1">
      <c r="A425" s="123"/>
      <c r="B425" s="258"/>
      <c r="R425" s="124"/>
      <c r="X425" s="125"/>
    </row>
    <row r="426" spans="1:24" ht="46.5" customHeight="1">
      <c r="A426" s="123"/>
      <c r="B426" s="258"/>
      <c r="R426" s="124"/>
      <c r="X426" s="125"/>
    </row>
    <row r="427" spans="1:24" ht="46.5" customHeight="1">
      <c r="A427" s="123"/>
      <c r="B427" s="258"/>
      <c r="R427" s="124"/>
      <c r="X427" s="125"/>
    </row>
    <row r="428" spans="1:24" ht="46.5" customHeight="1">
      <c r="A428" s="123"/>
      <c r="B428" s="258"/>
      <c r="R428" s="124"/>
      <c r="X428" s="125"/>
    </row>
    <row r="429" spans="1:24" ht="46.5" customHeight="1">
      <c r="A429" s="123"/>
      <c r="B429" s="257"/>
      <c r="R429" s="124"/>
      <c r="X429" s="125"/>
    </row>
    <row r="430" spans="1:24" ht="46.5" customHeight="1">
      <c r="A430" s="123"/>
      <c r="B430" s="257"/>
      <c r="R430" s="124"/>
      <c r="X430" s="125"/>
    </row>
    <row r="431" spans="1:24" ht="46.5" customHeight="1">
      <c r="A431" s="123"/>
      <c r="B431" s="257"/>
      <c r="R431" s="124"/>
      <c r="X431" s="125"/>
    </row>
    <row r="432" spans="1:24" ht="46.5" customHeight="1">
      <c r="A432" s="123"/>
      <c r="B432" s="257"/>
      <c r="R432" s="124"/>
      <c r="X432" s="125"/>
    </row>
    <row r="433" spans="1:24" ht="46.5" customHeight="1">
      <c r="A433" s="123"/>
      <c r="B433" s="257"/>
      <c r="R433" s="124"/>
      <c r="X433" s="125"/>
    </row>
    <row r="434" spans="1:24" ht="46.5" customHeight="1">
      <c r="A434" s="123"/>
      <c r="B434" s="257"/>
      <c r="R434" s="124"/>
      <c r="X434" s="125"/>
    </row>
    <row r="435" spans="1:24" ht="46.5" customHeight="1">
      <c r="A435" s="123"/>
      <c r="B435" s="258"/>
      <c r="R435" s="124"/>
      <c r="X435" s="125"/>
    </row>
    <row r="436" spans="1:24" ht="46.5" customHeight="1">
      <c r="A436" s="123"/>
      <c r="B436" s="258"/>
      <c r="R436" s="124"/>
      <c r="X436" s="125"/>
    </row>
    <row r="437" spans="1:24" ht="46.5" customHeight="1">
      <c r="A437" s="123"/>
      <c r="B437" s="258"/>
      <c r="R437" s="124"/>
      <c r="X437" s="125"/>
    </row>
    <row r="438" spans="1:24" ht="46.5" customHeight="1">
      <c r="A438" s="123"/>
      <c r="B438" s="258"/>
      <c r="R438" s="124"/>
      <c r="X438" s="125"/>
    </row>
    <row r="439" spans="1:24" ht="46.5" customHeight="1">
      <c r="A439" s="123"/>
      <c r="B439" s="258"/>
      <c r="R439" s="124"/>
      <c r="X439" s="125"/>
    </row>
    <row r="440" spans="1:24" ht="46.5" customHeight="1">
      <c r="A440" s="123"/>
      <c r="B440" s="258"/>
      <c r="R440" s="124"/>
      <c r="X440" s="125"/>
    </row>
    <row r="441" spans="1:24" ht="46.5" customHeight="1">
      <c r="A441" s="123"/>
      <c r="B441" s="257"/>
      <c r="R441" s="124"/>
      <c r="X441" s="125"/>
    </row>
    <row r="442" spans="1:24" ht="46.5" customHeight="1">
      <c r="A442" s="123"/>
      <c r="B442" s="257"/>
      <c r="R442" s="124"/>
      <c r="X442" s="125"/>
    </row>
    <row r="443" spans="1:24" ht="46.5" customHeight="1">
      <c r="A443" s="123"/>
      <c r="B443" s="257"/>
      <c r="R443" s="124"/>
      <c r="X443" s="125"/>
    </row>
    <row r="444" spans="1:24" ht="46.5" customHeight="1">
      <c r="A444" s="123"/>
      <c r="B444" s="257"/>
      <c r="R444" s="124"/>
      <c r="X444" s="125"/>
    </row>
    <row r="445" spans="1:24" ht="46.5" customHeight="1">
      <c r="A445" s="123"/>
      <c r="B445" s="257"/>
      <c r="R445" s="124"/>
      <c r="X445" s="125"/>
    </row>
    <row r="446" spans="1:24" ht="46.5" customHeight="1">
      <c r="A446" s="123"/>
      <c r="B446" s="257"/>
      <c r="R446" s="124"/>
      <c r="X446" s="125"/>
    </row>
    <row r="447" spans="1:24" ht="46.5" customHeight="1">
      <c r="A447" s="123"/>
      <c r="B447" s="258"/>
      <c r="R447" s="124"/>
      <c r="X447" s="125"/>
    </row>
    <row r="448" spans="1:24" ht="46.5" customHeight="1">
      <c r="A448" s="123"/>
      <c r="B448" s="258"/>
      <c r="R448" s="124"/>
      <c r="X448" s="125"/>
    </row>
    <row r="449" spans="1:24" ht="46.5" customHeight="1">
      <c r="A449" s="123"/>
      <c r="B449" s="258"/>
      <c r="R449" s="124"/>
      <c r="X449" s="125"/>
    </row>
    <row r="450" spans="1:24" ht="46.5" customHeight="1">
      <c r="A450" s="123"/>
      <c r="B450" s="258"/>
      <c r="R450" s="124"/>
      <c r="X450" s="125"/>
    </row>
    <row r="451" spans="1:24" ht="46.5" customHeight="1">
      <c r="A451" s="123"/>
      <c r="B451" s="258"/>
      <c r="R451" s="124"/>
      <c r="X451" s="125"/>
    </row>
    <row r="452" spans="1:24" ht="46.5" customHeight="1">
      <c r="A452" s="123"/>
      <c r="B452" s="258"/>
      <c r="R452" s="124"/>
      <c r="X452" s="125"/>
    </row>
    <row r="453" spans="1:24" ht="46.5" customHeight="1">
      <c r="A453" s="123"/>
      <c r="B453" s="257"/>
      <c r="R453" s="124"/>
      <c r="X453" s="125"/>
    </row>
    <row r="454" spans="1:24" ht="46.5" customHeight="1">
      <c r="A454" s="123"/>
      <c r="B454" s="257"/>
      <c r="R454" s="124"/>
      <c r="X454" s="125"/>
    </row>
    <row r="455" spans="1:24" ht="46.5" customHeight="1">
      <c r="A455" s="123"/>
      <c r="B455" s="257"/>
      <c r="R455" s="124"/>
      <c r="X455" s="125"/>
    </row>
    <row r="456" spans="1:24" ht="46.5" customHeight="1">
      <c r="A456" s="123"/>
      <c r="B456" s="257"/>
      <c r="R456" s="124"/>
      <c r="X456" s="125"/>
    </row>
    <row r="457" spans="1:24" ht="46.5" customHeight="1">
      <c r="A457" s="123"/>
      <c r="B457" s="257"/>
      <c r="R457" s="124"/>
      <c r="X457" s="125"/>
    </row>
    <row r="458" spans="1:24" ht="46.5" customHeight="1">
      <c r="A458" s="123"/>
      <c r="B458" s="257"/>
      <c r="R458" s="124"/>
      <c r="X458" s="125"/>
    </row>
    <row r="459" spans="1:24" ht="46.5" customHeight="1">
      <c r="A459" s="123"/>
      <c r="B459" s="258"/>
      <c r="R459" s="124"/>
      <c r="X459" s="125"/>
    </row>
    <row r="460" spans="1:24" ht="46.5" customHeight="1">
      <c r="A460" s="123"/>
      <c r="B460" s="258"/>
      <c r="R460" s="124"/>
      <c r="X460" s="125"/>
    </row>
    <row r="461" spans="1:24" ht="46.5" customHeight="1">
      <c r="A461" s="123"/>
      <c r="B461" s="258"/>
      <c r="R461" s="124"/>
      <c r="X461" s="125"/>
    </row>
    <row r="462" spans="1:24" ht="46.5" customHeight="1">
      <c r="A462" s="123"/>
      <c r="B462" s="258"/>
      <c r="R462" s="124"/>
      <c r="X462" s="125"/>
    </row>
    <row r="463" spans="1:24" ht="46.5" customHeight="1">
      <c r="A463" s="123"/>
      <c r="B463" s="258"/>
      <c r="R463" s="124"/>
      <c r="X463" s="125"/>
    </row>
    <row r="464" spans="1:24" ht="46.5" customHeight="1">
      <c r="A464" s="123"/>
      <c r="B464" s="258"/>
      <c r="R464" s="124"/>
      <c r="X464" s="125"/>
    </row>
    <row r="465" spans="1:24" ht="46.5" customHeight="1">
      <c r="A465" s="123"/>
      <c r="B465" s="257"/>
      <c r="R465" s="124"/>
      <c r="X465" s="125"/>
    </row>
    <row r="466" spans="1:24" ht="46.5" customHeight="1">
      <c r="A466" s="123"/>
      <c r="B466" s="257"/>
      <c r="R466" s="124"/>
      <c r="X466" s="125"/>
    </row>
    <row r="467" spans="1:24" ht="46.5" customHeight="1">
      <c r="A467" s="123"/>
      <c r="B467" s="257"/>
      <c r="R467" s="124"/>
      <c r="X467" s="125"/>
    </row>
    <row r="468" spans="1:24" ht="46.5" customHeight="1">
      <c r="A468" s="123"/>
      <c r="B468" s="257"/>
      <c r="R468" s="124"/>
      <c r="X468" s="125"/>
    </row>
    <row r="469" spans="1:24" ht="46.5" customHeight="1">
      <c r="A469" s="123"/>
      <c r="B469" s="257"/>
      <c r="R469" s="124"/>
      <c r="X469" s="125"/>
    </row>
    <row r="470" spans="1:24" ht="46.5" customHeight="1">
      <c r="A470" s="123"/>
      <c r="B470" s="257"/>
      <c r="R470" s="124"/>
      <c r="X470" s="125"/>
    </row>
    <row r="471" spans="1:24" ht="46.5" customHeight="1">
      <c r="A471" s="123"/>
      <c r="B471" s="258"/>
      <c r="R471" s="124"/>
      <c r="X471" s="125"/>
    </row>
    <row r="472" spans="1:24" ht="46.5" customHeight="1">
      <c r="A472" s="123"/>
      <c r="B472" s="258"/>
      <c r="R472" s="124"/>
      <c r="X472" s="125"/>
    </row>
    <row r="473" spans="1:24" ht="46.5" customHeight="1">
      <c r="A473" s="123"/>
      <c r="B473" s="258"/>
      <c r="R473" s="124"/>
      <c r="X473" s="125"/>
    </row>
    <row r="474" spans="1:24" ht="46.5" customHeight="1">
      <c r="A474" s="123"/>
      <c r="B474" s="258"/>
      <c r="R474" s="124"/>
      <c r="X474" s="125"/>
    </row>
    <row r="475" spans="1:24" ht="46.5" customHeight="1">
      <c r="A475" s="123"/>
      <c r="B475" s="258"/>
      <c r="R475" s="124"/>
      <c r="X475" s="125"/>
    </row>
    <row r="476" spans="1:24" ht="46.5" customHeight="1">
      <c r="A476" s="123"/>
      <c r="B476" s="258"/>
      <c r="R476" s="124"/>
      <c r="X476" s="125"/>
    </row>
    <row r="477" spans="1:24" ht="46.5" customHeight="1">
      <c r="A477" s="123"/>
      <c r="B477" s="257"/>
      <c r="R477" s="124"/>
      <c r="X477" s="125"/>
    </row>
    <row r="478" spans="1:24" ht="46.5" customHeight="1">
      <c r="A478" s="123"/>
      <c r="B478" s="257"/>
      <c r="R478" s="124"/>
      <c r="X478" s="125"/>
    </row>
    <row r="479" spans="1:24" ht="46.5" customHeight="1">
      <c r="A479" s="123"/>
      <c r="B479" s="257"/>
      <c r="R479" s="124"/>
      <c r="X479" s="125"/>
    </row>
    <row r="480" spans="1:24" ht="46.5" customHeight="1">
      <c r="A480" s="123"/>
      <c r="B480" s="257"/>
      <c r="R480" s="124"/>
      <c r="X480" s="125"/>
    </row>
    <row r="481" spans="1:24" ht="46.5" customHeight="1">
      <c r="A481" s="123"/>
      <c r="B481" s="257"/>
      <c r="R481" s="124"/>
      <c r="X481" s="125"/>
    </row>
    <row r="482" spans="1:24" ht="46.5" customHeight="1">
      <c r="A482" s="123"/>
      <c r="B482" s="257"/>
      <c r="R482" s="124"/>
      <c r="X482" s="125"/>
    </row>
    <row r="483" spans="1:24" ht="46.5" customHeight="1">
      <c r="A483" s="123"/>
      <c r="B483" s="258"/>
      <c r="R483" s="124"/>
      <c r="X483" s="125"/>
    </row>
    <row r="484" spans="1:24" ht="46.5" customHeight="1">
      <c r="A484" s="123"/>
      <c r="B484" s="258"/>
      <c r="R484" s="124"/>
      <c r="X484" s="125"/>
    </row>
    <row r="485" spans="1:24" ht="46.5" customHeight="1">
      <c r="A485" s="123"/>
      <c r="B485" s="258"/>
      <c r="R485" s="124"/>
      <c r="X485" s="125"/>
    </row>
    <row r="486" spans="1:24" ht="46.5" customHeight="1">
      <c r="A486" s="123"/>
      <c r="B486" s="258"/>
      <c r="R486" s="124"/>
      <c r="X486" s="125"/>
    </row>
    <row r="487" spans="1:24" ht="46.5" customHeight="1">
      <c r="A487" s="123"/>
      <c r="B487" s="258"/>
      <c r="R487" s="124"/>
      <c r="X487" s="125"/>
    </row>
    <row r="488" spans="1:24" ht="46.5" customHeight="1">
      <c r="A488" s="123"/>
      <c r="B488" s="258"/>
      <c r="R488" s="124"/>
      <c r="X488" s="125"/>
    </row>
    <row r="489" spans="1:24" ht="46.5" customHeight="1">
      <c r="A489" s="123"/>
      <c r="B489" s="257"/>
      <c r="R489" s="124"/>
      <c r="X489" s="125"/>
    </row>
    <row r="490" spans="1:24" ht="46.5" customHeight="1">
      <c r="A490" s="123"/>
      <c r="B490" s="257"/>
      <c r="R490" s="124"/>
      <c r="X490" s="125"/>
    </row>
    <row r="491" spans="1:24" ht="46.5" customHeight="1">
      <c r="A491" s="123"/>
      <c r="B491" s="257"/>
      <c r="R491" s="124"/>
      <c r="X491" s="125"/>
    </row>
    <row r="492" spans="1:24" ht="46.5" customHeight="1">
      <c r="A492" s="123"/>
      <c r="B492" s="257"/>
      <c r="R492" s="124"/>
      <c r="X492" s="125"/>
    </row>
    <row r="493" spans="1:24" ht="46.5" customHeight="1">
      <c r="A493" s="123"/>
      <c r="B493" s="257"/>
      <c r="R493" s="124"/>
      <c r="X493" s="125"/>
    </row>
    <row r="494" spans="1:24" ht="46.5" customHeight="1">
      <c r="A494" s="123"/>
      <c r="B494" s="257"/>
      <c r="R494" s="124"/>
      <c r="X494" s="125"/>
    </row>
    <row r="495" spans="1:24" ht="46.5" customHeight="1">
      <c r="A495" s="123"/>
      <c r="B495" s="258"/>
      <c r="R495" s="124"/>
      <c r="X495" s="125"/>
    </row>
    <row r="496" spans="1:24" ht="46.5" customHeight="1">
      <c r="A496" s="123"/>
      <c r="B496" s="258"/>
      <c r="R496" s="124"/>
      <c r="X496" s="125"/>
    </row>
    <row r="497" spans="1:24" ht="46.5" customHeight="1">
      <c r="A497" s="123"/>
      <c r="B497" s="258"/>
      <c r="R497" s="124"/>
      <c r="X497" s="125"/>
    </row>
    <row r="498" spans="1:24" ht="46.5" customHeight="1">
      <c r="A498" s="123"/>
      <c r="B498" s="258"/>
      <c r="R498" s="124"/>
      <c r="X498" s="125"/>
    </row>
    <row r="499" spans="1:24" ht="46.5" customHeight="1">
      <c r="A499" s="123"/>
      <c r="B499" s="258"/>
      <c r="R499" s="124"/>
      <c r="X499" s="125"/>
    </row>
    <row r="500" spans="1:24" ht="46.5" customHeight="1">
      <c r="A500" s="123"/>
      <c r="B500" s="258"/>
      <c r="R500" s="124"/>
      <c r="X500" s="125"/>
    </row>
    <row r="501" spans="1:24" ht="46.5" customHeight="1">
      <c r="A501" s="123"/>
      <c r="B501" s="257"/>
      <c r="R501" s="124"/>
      <c r="X501" s="125"/>
    </row>
    <row r="502" spans="1:24" ht="46.5" customHeight="1">
      <c r="A502" s="123"/>
      <c r="B502" s="257"/>
      <c r="R502" s="124"/>
      <c r="X502" s="125"/>
    </row>
    <row r="503" spans="1:24" ht="46.5" customHeight="1">
      <c r="A503" s="123"/>
      <c r="B503" s="257"/>
      <c r="R503" s="124"/>
      <c r="X503" s="125"/>
    </row>
    <row r="504" spans="1:24" ht="46.5" customHeight="1">
      <c r="A504" s="123"/>
      <c r="B504" s="257"/>
      <c r="R504" s="124"/>
      <c r="X504" s="125"/>
    </row>
    <row r="505" spans="1:24" ht="46.5" customHeight="1">
      <c r="A505" s="123"/>
      <c r="B505" s="257"/>
      <c r="R505" s="124"/>
      <c r="X505" s="125"/>
    </row>
    <row r="506" spans="1:24" ht="46.5" customHeight="1">
      <c r="A506" s="123"/>
      <c r="B506" s="257"/>
      <c r="R506" s="124"/>
      <c r="X506" s="125"/>
    </row>
    <row r="507" spans="1:24" ht="46.5" customHeight="1">
      <c r="A507" s="123"/>
      <c r="B507" s="258"/>
      <c r="R507" s="124"/>
      <c r="X507" s="125"/>
    </row>
    <row r="508" spans="1:24" ht="46.5" customHeight="1">
      <c r="A508" s="123"/>
      <c r="B508" s="258"/>
      <c r="R508" s="124"/>
      <c r="X508" s="125"/>
    </row>
    <row r="509" spans="1:24" ht="46.5" customHeight="1">
      <c r="A509" s="123"/>
      <c r="B509" s="258"/>
      <c r="R509" s="124"/>
      <c r="X509" s="125"/>
    </row>
    <row r="510" spans="1:24" ht="46.5" customHeight="1">
      <c r="A510" s="123"/>
      <c r="B510" s="258"/>
      <c r="R510" s="124"/>
      <c r="X510" s="125"/>
    </row>
    <row r="511" spans="1:24" ht="46.5" customHeight="1">
      <c r="A511" s="123"/>
      <c r="B511" s="258"/>
      <c r="R511" s="124"/>
      <c r="X511" s="125"/>
    </row>
    <row r="512" spans="1:24" ht="46.5" customHeight="1">
      <c r="A512" s="123"/>
      <c r="B512" s="258"/>
      <c r="R512" s="124"/>
      <c r="X512" s="125"/>
    </row>
    <row r="513" spans="1:24" ht="46.5" customHeight="1">
      <c r="A513" s="123"/>
      <c r="B513" s="257"/>
      <c r="R513" s="124"/>
      <c r="X513" s="125"/>
    </row>
    <row r="514" spans="1:24" ht="46.5" customHeight="1">
      <c r="A514" s="123"/>
      <c r="B514" s="257"/>
      <c r="R514" s="124"/>
      <c r="X514" s="125"/>
    </row>
    <row r="515" spans="1:24" ht="46.5" customHeight="1">
      <c r="A515" s="123"/>
      <c r="B515" s="257"/>
      <c r="R515" s="124"/>
      <c r="X515" s="125"/>
    </row>
    <row r="516" spans="1:24" ht="46.5" customHeight="1">
      <c r="A516" s="123"/>
      <c r="B516" s="257"/>
      <c r="R516" s="124"/>
      <c r="X516" s="125"/>
    </row>
    <row r="517" spans="1:24" ht="46.5" customHeight="1">
      <c r="A517" s="123"/>
      <c r="B517" s="257"/>
      <c r="R517" s="124"/>
      <c r="X517" s="125"/>
    </row>
    <row r="518" spans="1:24" ht="46.5" customHeight="1">
      <c r="A518" s="123"/>
      <c r="B518" s="257"/>
      <c r="R518" s="124"/>
      <c r="X518" s="125"/>
    </row>
    <row r="519" spans="1:24" ht="46.5" customHeight="1">
      <c r="A519" s="123"/>
      <c r="B519" s="258"/>
      <c r="R519" s="124"/>
      <c r="X519" s="125"/>
    </row>
    <row r="520" spans="1:24" ht="46.5" customHeight="1">
      <c r="A520" s="123"/>
      <c r="B520" s="258"/>
      <c r="R520" s="124"/>
      <c r="X520" s="125"/>
    </row>
    <row r="521" spans="1:24" ht="46.5" customHeight="1">
      <c r="A521" s="123"/>
      <c r="B521" s="258"/>
      <c r="R521" s="124"/>
      <c r="X521" s="125"/>
    </row>
    <row r="522" spans="1:24" ht="46.5" customHeight="1">
      <c r="A522" s="123"/>
      <c r="B522" s="258"/>
      <c r="R522" s="124"/>
      <c r="X522" s="125"/>
    </row>
    <row r="523" spans="1:24" ht="46.5" customHeight="1">
      <c r="A523" s="123"/>
      <c r="B523" s="258"/>
      <c r="R523" s="124"/>
      <c r="X523" s="125"/>
    </row>
    <row r="524" spans="1:24" ht="46.5" customHeight="1">
      <c r="A524" s="123"/>
      <c r="B524" s="258"/>
      <c r="R524" s="124"/>
      <c r="X524" s="125"/>
    </row>
    <row r="525" spans="1:24" ht="46.5" customHeight="1">
      <c r="A525" s="123"/>
      <c r="B525" s="257"/>
      <c r="R525" s="124"/>
      <c r="X525" s="125"/>
    </row>
    <row r="526" spans="1:24" ht="46.5" customHeight="1">
      <c r="A526" s="123"/>
      <c r="B526" s="257"/>
      <c r="R526" s="124"/>
      <c r="X526" s="125"/>
    </row>
    <row r="527" spans="1:24" ht="46.5" customHeight="1">
      <c r="A527" s="123"/>
      <c r="B527" s="257"/>
      <c r="R527" s="124"/>
      <c r="X527" s="125"/>
    </row>
    <row r="528" spans="1:24" ht="46.5" customHeight="1">
      <c r="A528" s="123"/>
      <c r="B528" s="257"/>
      <c r="R528" s="124"/>
      <c r="X528" s="125"/>
    </row>
    <row r="529" spans="1:24" ht="46.5" customHeight="1">
      <c r="A529" s="123"/>
      <c r="B529" s="257"/>
      <c r="R529" s="124"/>
      <c r="X529" s="125"/>
    </row>
    <row r="530" spans="1:24" ht="46.5" customHeight="1">
      <c r="A530" s="123"/>
      <c r="B530" s="257"/>
      <c r="R530" s="124"/>
      <c r="X530" s="125"/>
    </row>
    <row r="531" spans="1:24" ht="46.5" customHeight="1">
      <c r="A531" s="123"/>
      <c r="B531" s="258"/>
      <c r="R531" s="124"/>
      <c r="X531" s="125"/>
    </row>
    <row r="532" spans="1:24" ht="46.5" customHeight="1">
      <c r="A532" s="123"/>
      <c r="B532" s="258"/>
      <c r="R532" s="124"/>
      <c r="X532" s="125"/>
    </row>
    <row r="533" spans="1:24" ht="46.5" customHeight="1">
      <c r="A533" s="123"/>
      <c r="B533" s="258"/>
      <c r="R533" s="124"/>
      <c r="X533" s="125"/>
    </row>
    <row r="534" spans="1:24" ht="46.5" customHeight="1">
      <c r="A534" s="123"/>
      <c r="B534" s="258"/>
      <c r="R534" s="124"/>
      <c r="X534" s="125"/>
    </row>
    <row r="535" spans="1:24" ht="46.5" customHeight="1">
      <c r="A535" s="123"/>
      <c r="B535" s="258"/>
      <c r="R535" s="124"/>
      <c r="X535" s="125"/>
    </row>
    <row r="536" spans="1:24" ht="46.5" customHeight="1">
      <c r="A536" s="123"/>
      <c r="B536" s="258"/>
      <c r="R536" s="124"/>
      <c r="X536" s="125"/>
    </row>
    <row r="537" spans="1:24" ht="46.5" customHeight="1">
      <c r="A537" s="123"/>
      <c r="B537" s="257"/>
      <c r="R537" s="124"/>
      <c r="X537" s="125"/>
    </row>
    <row r="538" spans="1:24" ht="46.5" customHeight="1">
      <c r="A538" s="123"/>
      <c r="B538" s="257"/>
      <c r="R538" s="124"/>
      <c r="X538" s="125"/>
    </row>
    <row r="539" spans="1:24" ht="46.5" customHeight="1">
      <c r="A539" s="123"/>
      <c r="B539" s="257"/>
      <c r="R539" s="124"/>
      <c r="X539" s="125"/>
    </row>
    <row r="540" spans="1:24" ht="46.5" customHeight="1">
      <c r="A540" s="123"/>
      <c r="B540" s="257"/>
      <c r="R540" s="124"/>
      <c r="X540" s="125"/>
    </row>
    <row r="541" spans="1:24" ht="46.5" customHeight="1">
      <c r="A541" s="123"/>
      <c r="B541" s="257"/>
      <c r="R541" s="124"/>
      <c r="X541" s="125"/>
    </row>
    <row r="542" spans="1:24" ht="46.5" customHeight="1">
      <c r="A542" s="123"/>
      <c r="B542" s="257"/>
      <c r="R542" s="124"/>
      <c r="X542" s="125"/>
    </row>
    <row r="543" spans="1:24" ht="46.5" customHeight="1">
      <c r="A543" s="123"/>
      <c r="B543" s="258"/>
      <c r="R543" s="124"/>
      <c r="X543" s="125"/>
    </row>
    <row r="544" spans="1:24" ht="46.5" customHeight="1">
      <c r="A544" s="123"/>
      <c r="B544" s="258"/>
      <c r="R544" s="124"/>
      <c r="X544" s="125"/>
    </row>
    <row r="545" spans="1:24" ht="46.5" customHeight="1">
      <c r="A545" s="123"/>
      <c r="B545" s="258"/>
      <c r="R545" s="124"/>
      <c r="X545" s="125"/>
    </row>
    <row r="546" spans="1:24" ht="46.5" customHeight="1">
      <c r="A546" s="123"/>
      <c r="B546" s="258"/>
      <c r="R546" s="124"/>
      <c r="X546" s="125"/>
    </row>
    <row r="547" spans="1:24" ht="46.5" customHeight="1">
      <c r="A547" s="123"/>
      <c r="B547" s="258"/>
      <c r="R547" s="124"/>
      <c r="X547" s="125"/>
    </row>
    <row r="548" spans="1:24" ht="46.5" customHeight="1">
      <c r="A548" s="123"/>
      <c r="B548" s="258"/>
      <c r="R548" s="124"/>
      <c r="X548" s="125"/>
    </row>
    <row r="549" spans="1:24" ht="46.5" customHeight="1">
      <c r="A549" s="123"/>
      <c r="B549" s="257"/>
      <c r="R549" s="124"/>
      <c r="X549" s="125"/>
    </row>
    <row r="550" spans="1:24" ht="46.5" customHeight="1">
      <c r="A550" s="123"/>
      <c r="B550" s="257"/>
      <c r="R550" s="124"/>
      <c r="X550" s="125"/>
    </row>
    <row r="551" spans="1:24" ht="46.5" customHeight="1">
      <c r="A551" s="123"/>
      <c r="B551" s="257"/>
      <c r="R551" s="124"/>
      <c r="X551" s="125"/>
    </row>
    <row r="552" spans="1:24" ht="46.5" customHeight="1">
      <c r="A552" s="123"/>
      <c r="B552" s="257"/>
      <c r="R552" s="124"/>
      <c r="X552" s="125"/>
    </row>
    <row r="553" spans="1:24" ht="46.5" customHeight="1">
      <c r="A553" s="123"/>
      <c r="B553" s="257"/>
      <c r="R553" s="124"/>
      <c r="X553" s="125"/>
    </row>
    <row r="554" spans="1:24" ht="46.5" customHeight="1">
      <c r="A554" s="123"/>
      <c r="B554" s="257"/>
      <c r="R554" s="124"/>
      <c r="X554" s="125"/>
    </row>
    <row r="555" spans="1:24" ht="46.5" customHeight="1">
      <c r="A555" s="123"/>
      <c r="B555" s="258"/>
      <c r="R555" s="124"/>
      <c r="X555" s="125"/>
    </row>
    <row r="556" spans="1:24" ht="46.5" customHeight="1">
      <c r="A556" s="123"/>
      <c r="B556" s="258"/>
      <c r="R556" s="124"/>
      <c r="X556" s="125"/>
    </row>
    <row r="557" spans="1:24" ht="46.5" customHeight="1">
      <c r="A557" s="123"/>
      <c r="B557" s="258"/>
      <c r="R557" s="124"/>
      <c r="X557" s="125"/>
    </row>
    <row r="558" spans="1:24" ht="46.5" customHeight="1">
      <c r="A558" s="123"/>
      <c r="B558" s="258"/>
      <c r="R558" s="124"/>
      <c r="X558" s="125"/>
    </row>
    <row r="559" spans="1:24" ht="46.5" customHeight="1">
      <c r="A559" s="123"/>
      <c r="B559" s="258"/>
      <c r="R559" s="124"/>
      <c r="X559" s="125"/>
    </row>
    <row r="560" spans="1:24" ht="46.5" customHeight="1">
      <c r="A560" s="123"/>
      <c r="B560" s="258"/>
      <c r="R560" s="124"/>
      <c r="X560" s="125"/>
    </row>
    <row r="561" spans="1:24" ht="46.5" customHeight="1">
      <c r="A561" s="123"/>
      <c r="B561" s="257"/>
      <c r="R561" s="124"/>
      <c r="X561" s="125"/>
    </row>
    <row r="562" spans="1:24" ht="46.5" customHeight="1">
      <c r="A562" s="123"/>
      <c r="B562" s="257"/>
      <c r="R562" s="124"/>
      <c r="X562" s="125"/>
    </row>
    <row r="563" spans="1:24" ht="46.5" customHeight="1">
      <c r="A563" s="123"/>
      <c r="B563" s="257"/>
      <c r="R563" s="124"/>
      <c r="X563" s="125"/>
    </row>
    <row r="564" spans="1:24" ht="46.5" customHeight="1">
      <c r="A564" s="123"/>
      <c r="B564" s="257"/>
      <c r="R564" s="124"/>
      <c r="X564" s="125"/>
    </row>
    <row r="565" spans="1:24" ht="46.5" customHeight="1">
      <c r="A565" s="123"/>
      <c r="B565" s="257"/>
      <c r="R565" s="124"/>
      <c r="X565" s="125"/>
    </row>
    <row r="566" spans="1:24" ht="46.5" customHeight="1">
      <c r="A566" s="123"/>
      <c r="B566" s="257"/>
      <c r="R566" s="124"/>
      <c r="X566" s="125"/>
    </row>
    <row r="567" spans="1:24" ht="46.5" customHeight="1">
      <c r="A567" s="123"/>
      <c r="B567" s="258"/>
      <c r="R567" s="124"/>
      <c r="X567" s="125"/>
    </row>
    <row r="568" spans="1:24" ht="46.5" customHeight="1">
      <c r="A568" s="123"/>
      <c r="B568" s="258"/>
      <c r="R568" s="124"/>
      <c r="X568" s="125"/>
    </row>
    <row r="569" spans="1:24" ht="46.5" customHeight="1">
      <c r="A569" s="123"/>
      <c r="B569" s="258"/>
      <c r="R569" s="124"/>
      <c r="X569" s="125"/>
    </row>
    <row r="570" spans="1:24" ht="46.5" customHeight="1">
      <c r="A570" s="123"/>
      <c r="B570" s="258"/>
      <c r="R570" s="124"/>
      <c r="X570" s="125"/>
    </row>
    <row r="571" spans="1:24" ht="46.5" customHeight="1">
      <c r="A571" s="123"/>
      <c r="B571" s="258"/>
      <c r="R571" s="124"/>
      <c r="X571" s="125"/>
    </row>
    <row r="572" spans="1:24" ht="46.5" customHeight="1">
      <c r="A572" s="123"/>
      <c r="B572" s="258"/>
      <c r="R572" s="124"/>
      <c r="X572" s="125"/>
    </row>
    <row r="573" spans="1:24" ht="46.5" customHeight="1">
      <c r="A573" s="123"/>
      <c r="B573" s="257"/>
      <c r="R573" s="124"/>
      <c r="X573" s="125"/>
    </row>
    <row r="574" spans="1:24" ht="46.5" customHeight="1">
      <c r="A574" s="123"/>
      <c r="B574" s="257"/>
      <c r="R574" s="124"/>
      <c r="X574" s="125"/>
    </row>
    <row r="575" spans="1:24" ht="46.5" customHeight="1">
      <c r="A575" s="123"/>
      <c r="B575" s="257"/>
      <c r="R575" s="124"/>
      <c r="X575" s="125"/>
    </row>
    <row r="576" spans="1:24" ht="46.5" customHeight="1">
      <c r="A576" s="123"/>
      <c r="B576" s="257"/>
      <c r="R576" s="124"/>
      <c r="X576" s="125"/>
    </row>
    <row r="577" spans="1:24" ht="46.5" customHeight="1">
      <c r="A577" s="123"/>
      <c r="B577" s="257"/>
      <c r="R577" s="124"/>
      <c r="X577" s="125"/>
    </row>
    <row r="578" spans="1:24" ht="46.5" customHeight="1">
      <c r="A578" s="123"/>
      <c r="B578" s="257"/>
      <c r="R578" s="124"/>
      <c r="X578" s="125"/>
    </row>
    <row r="579" spans="1:24" ht="46.5" customHeight="1">
      <c r="A579" s="123"/>
      <c r="B579" s="258"/>
      <c r="R579" s="124"/>
      <c r="X579" s="125"/>
    </row>
    <row r="580" spans="1:24" ht="46.5" customHeight="1">
      <c r="A580" s="123"/>
      <c r="B580" s="258"/>
      <c r="R580" s="124"/>
      <c r="X580" s="125"/>
    </row>
    <row r="581" spans="1:24" ht="46.5" customHeight="1">
      <c r="A581" s="123"/>
      <c r="B581" s="258"/>
      <c r="R581" s="124"/>
      <c r="X581" s="125"/>
    </row>
    <row r="582" spans="1:24" ht="46.5" customHeight="1">
      <c r="A582" s="123"/>
      <c r="B582" s="258"/>
      <c r="R582" s="124"/>
      <c r="X582" s="125"/>
    </row>
    <row r="583" spans="1:24" ht="46.5" customHeight="1">
      <c r="A583" s="123"/>
      <c r="B583" s="258"/>
      <c r="R583" s="124"/>
      <c r="X583" s="125"/>
    </row>
    <row r="584" spans="1:24" ht="46.5" customHeight="1">
      <c r="A584" s="123"/>
      <c r="B584" s="258"/>
      <c r="R584" s="124"/>
      <c r="X584" s="125"/>
    </row>
    <row r="585" spans="1:24" ht="46.5" customHeight="1">
      <c r="A585" s="123"/>
      <c r="B585" s="257"/>
      <c r="R585" s="124"/>
      <c r="X585" s="125"/>
    </row>
    <row r="586" spans="1:24" ht="46.5" customHeight="1">
      <c r="A586" s="123"/>
      <c r="B586" s="257"/>
      <c r="R586" s="124"/>
      <c r="X586" s="125"/>
    </row>
    <row r="587" spans="1:24" ht="46.5" customHeight="1">
      <c r="A587" s="123"/>
      <c r="B587" s="257"/>
      <c r="R587" s="124"/>
      <c r="X587" s="125"/>
    </row>
    <row r="588" spans="1:24" ht="46.5" customHeight="1">
      <c r="A588" s="123"/>
      <c r="B588" s="257"/>
      <c r="R588" s="124"/>
      <c r="X588" s="125"/>
    </row>
    <row r="589" spans="1:24" ht="46.5" customHeight="1">
      <c r="A589" s="123"/>
      <c r="B589" s="257"/>
      <c r="R589" s="124"/>
      <c r="X589" s="125"/>
    </row>
    <row r="590" spans="1:24" ht="46.5" customHeight="1">
      <c r="A590" s="123"/>
      <c r="B590" s="257"/>
      <c r="R590" s="124"/>
      <c r="X590" s="125"/>
    </row>
    <row r="591" spans="1:24" ht="46.5" customHeight="1">
      <c r="A591" s="123"/>
      <c r="B591" s="258"/>
      <c r="R591" s="124"/>
      <c r="X591" s="125"/>
    </row>
    <row r="592" spans="1:24" ht="46.5" customHeight="1">
      <c r="A592" s="123"/>
      <c r="B592" s="258"/>
      <c r="R592" s="124"/>
      <c r="X592" s="125"/>
    </row>
    <row r="593" spans="1:24" ht="46.5" customHeight="1">
      <c r="A593" s="123"/>
      <c r="B593" s="258"/>
      <c r="R593" s="124"/>
      <c r="X593" s="125"/>
    </row>
    <row r="594" spans="1:24" ht="46.5" customHeight="1">
      <c r="A594" s="123"/>
      <c r="B594" s="258"/>
      <c r="R594" s="124"/>
      <c r="X594" s="125"/>
    </row>
    <row r="595" spans="1:24" ht="46.5" customHeight="1">
      <c r="A595" s="123"/>
      <c r="B595" s="258"/>
      <c r="R595" s="124"/>
      <c r="X595" s="125"/>
    </row>
    <row r="596" spans="1:24" ht="46.5" customHeight="1">
      <c r="A596" s="123"/>
      <c r="B596" s="258"/>
      <c r="R596" s="124"/>
      <c r="X596" s="125"/>
    </row>
    <row r="597" spans="1:24" ht="46.5" customHeight="1">
      <c r="A597" s="123"/>
      <c r="B597" s="257"/>
      <c r="R597" s="124"/>
      <c r="X597" s="125"/>
    </row>
    <row r="598" spans="1:24" ht="46.5" customHeight="1">
      <c r="A598" s="123"/>
      <c r="B598" s="257"/>
      <c r="R598" s="124"/>
      <c r="X598" s="125"/>
    </row>
    <row r="599" spans="1:24" ht="46.5" customHeight="1">
      <c r="A599" s="123"/>
      <c r="B599" s="257"/>
      <c r="R599" s="124"/>
      <c r="X599" s="125"/>
    </row>
    <row r="600" spans="1:24" ht="46.5" customHeight="1">
      <c r="A600" s="123"/>
      <c r="B600" s="257"/>
      <c r="R600" s="124"/>
      <c r="X600" s="125"/>
    </row>
    <row r="601" spans="1:24" ht="46.5" customHeight="1">
      <c r="A601" s="123"/>
      <c r="B601" s="257"/>
      <c r="R601" s="124"/>
      <c r="X601" s="125"/>
    </row>
    <row r="602" spans="1:24" ht="46.5" customHeight="1">
      <c r="A602" s="123"/>
      <c r="B602" s="257"/>
      <c r="R602" s="124"/>
      <c r="X602" s="125"/>
    </row>
  </sheetData>
  <mergeCells count="109">
    <mergeCell ref="B597:B602"/>
    <mergeCell ref="B561:B566"/>
    <mergeCell ref="B567:B572"/>
    <mergeCell ref="B573:B578"/>
    <mergeCell ref="B579:B584"/>
    <mergeCell ref="B585:B590"/>
    <mergeCell ref="B591:B596"/>
    <mergeCell ref="B525:B530"/>
    <mergeCell ref="B531:B536"/>
    <mergeCell ref="B537:B542"/>
    <mergeCell ref="B543:B548"/>
    <mergeCell ref="B549:B554"/>
    <mergeCell ref="B555:B560"/>
    <mergeCell ref="B489:B494"/>
    <mergeCell ref="B495:B500"/>
    <mergeCell ref="B501:B506"/>
    <mergeCell ref="B507:B512"/>
    <mergeCell ref="B513:B518"/>
    <mergeCell ref="B519:B524"/>
    <mergeCell ref="B453:B458"/>
    <mergeCell ref="B459:B464"/>
    <mergeCell ref="B465:B470"/>
    <mergeCell ref="B471:B476"/>
    <mergeCell ref="B477:B482"/>
    <mergeCell ref="B483:B488"/>
    <mergeCell ref="B417:B422"/>
    <mergeCell ref="B423:B428"/>
    <mergeCell ref="B429:B434"/>
    <mergeCell ref="B435:B440"/>
    <mergeCell ref="B441:B446"/>
    <mergeCell ref="B447:B452"/>
    <mergeCell ref="B381:B386"/>
    <mergeCell ref="B387:B392"/>
    <mergeCell ref="B393:B398"/>
    <mergeCell ref="B399:B404"/>
    <mergeCell ref="B405:B410"/>
    <mergeCell ref="B411:B416"/>
    <mergeCell ref="B345:B350"/>
    <mergeCell ref="B351:B356"/>
    <mergeCell ref="B357:B362"/>
    <mergeCell ref="B363:B368"/>
    <mergeCell ref="B369:B374"/>
    <mergeCell ref="B375:B380"/>
    <mergeCell ref="B309:B314"/>
    <mergeCell ref="B315:B320"/>
    <mergeCell ref="B321:B326"/>
    <mergeCell ref="B327:B332"/>
    <mergeCell ref="B333:B338"/>
    <mergeCell ref="B339:B344"/>
    <mergeCell ref="B273:B278"/>
    <mergeCell ref="B279:B284"/>
    <mergeCell ref="B285:B290"/>
    <mergeCell ref="B291:B296"/>
    <mergeCell ref="B297:B302"/>
    <mergeCell ref="B303:B308"/>
    <mergeCell ref="B237:B242"/>
    <mergeCell ref="B243:B248"/>
    <mergeCell ref="B249:B254"/>
    <mergeCell ref="B255:B260"/>
    <mergeCell ref="B261:B266"/>
    <mergeCell ref="B267:B272"/>
    <mergeCell ref="B201:B206"/>
    <mergeCell ref="B207:B212"/>
    <mergeCell ref="B213:B218"/>
    <mergeCell ref="B219:B224"/>
    <mergeCell ref="B225:B230"/>
    <mergeCell ref="B231:B236"/>
    <mergeCell ref="B165:B170"/>
    <mergeCell ref="B171:B176"/>
    <mergeCell ref="B177:B182"/>
    <mergeCell ref="B183:B188"/>
    <mergeCell ref="B189:B194"/>
    <mergeCell ref="B195:B200"/>
    <mergeCell ref="B129:B134"/>
    <mergeCell ref="B135:B140"/>
    <mergeCell ref="B141:B146"/>
    <mergeCell ref="B147:B152"/>
    <mergeCell ref="B153:B158"/>
    <mergeCell ref="B159:B164"/>
    <mergeCell ref="B93:B98"/>
    <mergeCell ref="B99:B104"/>
    <mergeCell ref="B105:B110"/>
    <mergeCell ref="B111:B116"/>
    <mergeCell ref="B117:B122"/>
    <mergeCell ref="B123:B128"/>
    <mergeCell ref="B57:B62"/>
    <mergeCell ref="B63:B68"/>
    <mergeCell ref="B69:B74"/>
    <mergeCell ref="B75:B80"/>
    <mergeCell ref="B81:B86"/>
    <mergeCell ref="B87:B92"/>
    <mergeCell ref="B21:B26"/>
    <mergeCell ref="B27:B32"/>
    <mergeCell ref="B33:B38"/>
    <mergeCell ref="B39:B44"/>
    <mergeCell ref="B45:B50"/>
    <mergeCell ref="B51:B56"/>
    <mergeCell ref="AD1:AH2"/>
    <mergeCell ref="AI1:AM2"/>
    <mergeCell ref="AN1:AR2"/>
    <mergeCell ref="B3:B8"/>
    <mergeCell ref="B9:B14"/>
    <mergeCell ref="B15:B20"/>
    <mergeCell ref="A1:B2"/>
    <mergeCell ref="C1:G2"/>
    <mergeCell ref="H1:L2"/>
    <mergeCell ref="M1:Q2"/>
    <mergeCell ref="S1:W2"/>
    <mergeCell ref="Y1:AC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060A4-0700-4580-B752-EF59EFB66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MAIN BERTH PLAN</vt:lpstr>
      <vt:lpstr>EXCEPTION VESSELS DETAILS</vt:lpstr>
      <vt:lpstr>BERTHING WAITING LIST </vt:lpstr>
      <vt:lpstr>OMITING VESSELS</vt:lpstr>
      <vt:lpstr>'BERTHING WAITING LIST '!Print_Area</vt:lpstr>
      <vt:lpstr>'MAIN BERTH PLAN'!Print_Area</vt:lpstr>
      <vt:lpstr>'OMITING VESSELS'!Print_Area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Talha shabbir</dc:creator>
  <cp:keywords/>
  <dc:description/>
  <cp:lastModifiedBy>Reham AlMakran</cp:lastModifiedBy>
  <cp:revision/>
  <dcterms:created xsi:type="dcterms:W3CDTF">2015-06-05T18:17:20Z</dcterms:created>
  <dcterms:modified xsi:type="dcterms:W3CDTF">2026-08-30T13:07:46Z</dcterms:modified>
  <cp:category/>
  <cp:contentStatus/>
</cp:coreProperties>
</file>