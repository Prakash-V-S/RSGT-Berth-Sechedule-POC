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3EA45B24-F7BA-405F-A61F-36E57B6CE0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sselVisitDetails_20260902_091" sheetId="1" r:id="rId1"/>
  </sheets>
  <calcPr calcId="191029"/>
</workbook>
</file>

<file path=xl/calcChain.xml><?xml version="1.0" encoding="utf-8"?>
<calcChain xmlns="http://schemas.openxmlformats.org/spreadsheetml/2006/main">
  <c r="AC17" i="1" l="1"/>
  <c r="AC18" i="1"/>
  <c r="AC16" i="1"/>
  <c r="AC9" i="1"/>
  <c r="AC11" i="1"/>
  <c r="AC12" i="1"/>
  <c r="AC13" i="1"/>
  <c r="AC14" i="1"/>
  <c r="AC15" i="1"/>
  <c r="AC8" i="1"/>
</calcChain>
</file>

<file path=xl/sharedStrings.xml><?xml version="1.0" encoding="utf-8"?>
<sst xmlns="http://schemas.openxmlformats.org/spreadsheetml/2006/main" count="285" uniqueCount="185">
  <si>
    <t>Displaying 10 item(s) at 2026-09-02</t>
  </si>
  <si>
    <t>Visit</t>
  </si>
  <si>
    <t>Vessel Name</t>
  </si>
  <si>
    <t>Line</t>
  </si>
  <si>
    <t>Vessel Class</t>
  </si>
  <si>
    <t>I/B Vyg</t>
  </si>
  <si>
    <t>O/B Vyg</t>
  </si>
  <si>
    <t>Phase</t>
  </si>
  <si>
    <t>Est. Time of Berth</t>
  </si>
  <si>
    <t>ETD</t>
  </si>
  <si>
    <t>ATA</t>
  </si>
  <si>
    <t>ATD</t>
  </si>
  <si>
    <t>Service</t>
  </si>
  <si>
    <t>Additional Moves</t>
  </si>
  <si>
    <t>TSSNTSGP2606W</t>
  </si>
  <si>
    <t>TS SINGAPORE</t>
  </si>
  <si>
    <t>TSL</t>
  </si>
  <si>
    <t>TSSN</t>
  </si>
  <si>
    <t>TSGP2606W</t>
  </si>
  <si>
    <t>Inbound</t>
  </si>
  <si>
    <t>26-Sep-02 0800</t>
  </si>
  <si>
    <t>26-Sep-04 1900</t>
  </si>
  <si>
    <t/>
  </si>
  <si>
    <t>ADHOC</t>
  </si>
  <si>
    <t>TROD25618</t>
  </si>
  <si>
    <t>TRANSMAR ODYSSEY</t>
  </si>
  <si>
    <t>AET</t>
  </si>
  <si>
    <t>TROD</t>
  </si>
  <si>
    <t>25618</t>
  </si>
  <si>
    <t>26-Sep-02 1800</t>
  </si>
  <si>
    <t>26-Sep-03 1900</t>
  </si>
  <si>
    <t>RES</t>
  </si>
  <si>
    <t>TSMNKRTM2634E</t>
  </si>
  <si>
    <t>KR TASMAN</t>
  </si>
  <si>
    <t>CUL</t>
  </si>
  <si>
    <t>TSMN</t>
  </si>
  <si>
    <t>KRTM2634E</t>
  </si>
  <si>
    <t>26-Sep-03 0100</t>
  </si>
  <si>
    <t>26-Sep-05 0500</t>
  </si>
  <si>
    <t>REX-2</t>
  </si>
  <si>
    <t>DANIIRS03W26</t>
  </si>
  <si>
    <t>DANIEL A</t>
  </si>
  <si>
    <t>ARL</t>
  </si>
  <si>
    <t>DANI</t>
  </si>
  <si>
    <t>IRS03W26</t>
  </si>
  <si>
    <t>26-Sep-03 0200</t>
  </si>
  <si>
    <t>26-Sep-04 0500</t>
  </si>
  <si>
    <t>TRI-NB</t>
  </si>
  <si>
    <t>DKUT003</t>
  </si>
  <si>
    <t>DEDE KORKUT</t>
  </si>
  <si>
    <t>ZSL</t>
  </si>
  <si>
    <t>DKUT</t>
  </si>
  <si>
    <t>003</t>
  </si>
  <si>
    <t>26-Sep-03 0600</t>
  </si>
  <si>
    <t>26-Sep-04 1100</t>
  </si>
  <si>
    <t>SIMOIS636E</t>
  </si>
  <si>
    <t>MSC SIMONA</t>
  </si>
  <si>
    <t>MSC</t>
  </si>
  <si>
    <t>SIMO</t>
  </si>
  <si>
    <t>IS634R</t>
  </si>
  <si>
    <t>26-Sep-03 1600</t>
  </si>
  <si>
    <t>26-Sep-05 1900</t>
  </si>
  <si>
    <t>TENVTNVN2632E</t>
  </si>
  <si>
    <t xml:space="preserve">TEN VENUS </t>
  </si>
  <si>
    <t>TENV</t>
  </si>
  <si>
    <t>TNVN2632E</t>
  </si>
  <si>
    <t>26-Sep-04 0100</t>
  </si>
  <si>
    <t>26-Sep-07 0800</t>
  </si>
  <si>
    <t>CCPE0MXOYE1MA</t>
  </si>
  <si>
    <t>CMA CGM PELLEAS</t>
  </si>
  <si>
    <t>CMA</t>
  </si>
  <si>
    <t>CCPE</t>
  </si>
  <si>
    <t>0MXOYE1MA</t>
  </si>
  <si>
    <t>26-Sep-04 0900</t>
  </si>
  <si>
    <t>26-Sep-05 1400</t>
  </si>
  <si>
    <t>MEDEX-E</t>
  </si>
  <si>
    <t>KHDZKDHZ2636W</t>
  </si>
  <si>
    <t>KAI DA HONG ZHOU</t>
  </si>
  <si>
    <t>KHDZ</t>
  </si>
  <si>
    <t>KDHZ2636W</t>
  </si>
  <si>
    <t>26-Sep-04 1300</t>
  </si>
  <si>
    <t>26-Sep-06 0300</t>
  </si>
  <si>
    <t>CMAPPHXSSSE19</t>
  </si>
  <si>
    <t>CMA CGM MAPUTO</t>
  </si>
  <si>
    <t>CMAP</t>
  </si>
  <si>
    <t>PHXSSSE19</t>
  </si>
  <si>
    <t>26-Sep-04 2100</t>
  </si>
  <si>
    <t>26-Sep-06 0700</t>
  </si>
  <si>
    <t>MED5</t>
  </si>
  <si>
    <t>Berthside</t>
  </si>
  <si>
    <t>Bollard Fore</t>
  </si>
  <si>
    <t>Bollard Aft</t>
  </si>
  <si>
    <t>Total Moves</t>
  </si>
  <si>
    <t>Starboardside</t>
  </si>
  <si>
    <t>Portside</t>
  </si>
  <si>
    <t>Vessel Loa M</t>
  </si>
  <si>
    <t>BEAM M</t>
  </si>
  <si>
    <t>Bollard Fore offset</t>
  </si>
  <si>
    <t>Bollard Aft offset</t>
  </si>
  <si>
    <t>1R19</t>
  </si>
  <si>
    <t>1R2</t>
  </si>
  <si>
    <t>4B15</t>
  </si>
  <si>
    <t>4B4</t>
  </si>
  <si>
    <t>6B47</t>
  </si>
  <si>
    <t>6B36</t>
  </si>
  <si>
    <t>4R12</t>
  </si>
  <si>
    <t>4R23</t>
  </si>
  <si>
    <t>5B33</t>
  </si>
  <si>
    <t>5B19</t>
  </si>
  <si>
    <t>3R65</t>
  </si>
  <si>
    <t>2R37</t>
  </si>
  <si>
    <t>4B3</t>
  </si>
  <si>
    <t>4R6</t>
  </si>
  <si>
    <t>4R29</t>
  </si>
  <si>
    <t>5B31</t>
  </si>
  <si>
    <t>5B21</t>
  </si>
  <si>
    <t>1R17</t>
  </si>
  <si>
    <t>1R5</t>
  </si>
  <si>
    <t>vessel berth</t>
  </si>
  <si>
    <t>R1</t>
  </si>
  <si>
    <t>B4</t>
  </si>
  <si>
    <t>B6</t>
  </si>
  <si>
    <t>R4</t>
  </si>
  <si>
    <t>B5</t>
  </si>
  <si>
    <t>R3</t>
  </si>
  <si>
    <t>Est Disch</t>
  </si>
  <si>
    <t>EST Loading</t>
  </si>
  <si>
    <t>APOLRX2030E19</t>
  </si>
  <si>
    <t>CMA CGM APOLLON</t>
  </si>
  <si>
    <t>APOL</t>
  </si>
  <si>
    <t>RX2030E19</t>
  </si>
  <si>
    <t>Working</t>
  </si>
  <si>
    <t>26-Sep-03 2000</t>
  </si>
  <si>
    <t>26-Aug-31 0350</t>
  </si>
  <si>
    <t>RES2EB</t>
  </si>
  <si>
    <t>CHMNCUHM2635W</t>
  </si>
  <si>
    <t>CUL HUMEN</t>
  </si>
  <si>
    <t>CHMN</t>
  </si>
  <si>
    <t>CUHM2635W</t>
  </si>
  <si>
    <t>26-Sep-01 1000</t>
  </si>
  <si>
    <t>26-Sep-03 0300</t>
  </si>
  <si>
    <t>26-Sep-01 1032</t>
  </si>
  <si>
    <t>LDRB2602S</t>
  </si>
  <si>
    <t>LDR BEDEL</t>
  </si>
  <si>
    <t>OVP</t>
  </si>
  <si>
    <t>LDRB</t>
  </si>
  <si>
    <t>2602N</t>
  </si>
  <si>
    <t>26-Sep-01 1600</t>
  </si>
  <si>
    <t>26-Sep-03 0400</t>
  </si>
  <si>
    <t>26-Sep-01 1715</t>
  </si>
  <si>
    <t>4R11</t>
  </si>
  <si>
    <t>5B30</t>
  </si>
  <si>
    <t>4R24</t>
  </si>
  <si>
    <t>5B22</t>
  </si>
  <si>
    <t>ATB</t>
  </si>
  <si>
    <t>ETA</t>
  </si>
  <si>
    <t>Previous Port</t>
  </si>
  <si>
    <t>Next Port</t>
  </si>
  <si>
    <t>Draft Forward</t>
  </si>
  <si>
    <t>Draft Aft</t>
  </si>
  <si>
    <t>30-08-2026 1900</t>
  </si>
  <si>
    <t>02-09-2026 1700</t>
  </si>
  <si>
    <t>2026-09-02 2300</t>
  </si>
  <si>
    <t>03-09-2026 0001</t>
  </si>
  <si>
    <t>26-08-2026 1900</t>
  </si>
  <si>
    <t>2026-09-03 1400</t>
  </si>
  <si>
    <t>2026-09-03 2300</t>
  </si>
  <si>
    <t>04-09-2026 0700</t>
  </si>
  <si>
    <t>04-09-2026 1100</t>
  </si>
  <si>
    <t>04-09-2026 1900</t>
  </si>
  <si>
    <t>28-08-2026 2300</t>
  </si>
  <si>
    <t>2026-08-31 0320</t>
  </si>
  <si>
    <t>2026-09-01 0300</t>
  </si>
  <si>
    <t>01-09-2026 1000</t>
  </si>
  <si>
    <t>01-09-2026 1100</t>
  </si>
  <si>
    <t>01-09-2026 1700</t>
  </si>
  <si>
    <t>JIB</t>
  </si>
  <si>
    <t>EGADA</t>
  </si>
  <si>
    <t>PKG</t>
  </si>
  <si>
    <t>SOK</t>
  </si>
  <si>
    <t>AQJ</t>
  </si>
  <si>
    <t>NSA</t>
  </si>
  <si>
    <t>AKI</t>
  </si>
  <si>
    <t>PIR</t>
  </si>
  <si>
    <t>SHK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</si>
</sst>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16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14" fontId="2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D18"/>
  <sheetViews>
    <sheetView tabSelected="1" zoomScaleNormal="100" zoomScaleSheetLayoutView="106" workbookViewId="0">
      <selection activeCell="D11" sqref="D11"/>
    </sheetView>
  </sheetViews>
  <sheetFormatPr defaultRowHeight="14.4" x14ac:dyDescent="0.3"/>
  <cols>
    <col min="1" max="1" width="31.21875" bestFit="1" customWidth="1"/>
    <col min="2" max="2" width="22.88671875" bestFit="1" customWidth="1"/>
    <col min="3" max="3" width="5.44140625" bestFit="1" customWidth="1"/>
    <col min="4" max="4" width="13.6640625" bestFit="1" customWidth="1"/>
    <col min="5" max="6" width="13.44140625" bestFit="1" customWidth="1"/>
    <col min="7" max="7" width="8.44140625" bestFit="1" customWidth="1"/>
    <col min="8" max="8" width="19" bestFit="1" customWidth="1"/>
    <col min="9" max="9" width="15.5546875" bestFit="1" customWidth="1"/>
    <col min="10" max="10" width="16.33203125" bestFit="1" customWidth="1"/>
    <col min="11" max="11" width="15.5546875" bestFit="1" customWidth="1"/>
    <col min="12" max="12" width="5.109375" bestFit="1" customWidth="1"/>
    <col min="13" max="13" width="16.33203125" bestFit="1" customWidth="1"/>
    <col min="14" max="14" width="10.109375" bestFit="1" customWidth="1"/>
    <col min="15" max="15" width="11.77734375" bestFit="1" customWidth="1"/>
    <col min="16" max="16" width="9.33203125" bestFit="1" customWidth="1"/>
    <col min="17" max="17" width="13" bestFit="1" customWidth="1"/>
    <col min="18" max="19" width="13.33203125" bestFit="1" customWidth="1"/>
    <col min="20" max="21" width="11.21875" bestFit="1" customWidth="1"/>
    <col min="22" max="22" width="14.5546875" bestFit="1" customWidth="1"/>
    <col min="23" max="23" width="9" bestFit="1" customWidth="1"/>
    <col min="24" max="24" width="10.21875" bestFit="1" customWidth="1"/>
    <col min="25" max="25" width="14.6640625" bestFit="1" customWidth="1"/>
    <col min="26" max="26" width="10.21875" bestFit="1" customWidth="1"/>
    <col min="27" max="27" width="13.77734375" bestFit="1" customWidth="1"/>
    <col min="28" max="28" width="18.21875" bestFit="1" customWidth="1"/>
    <col min="29" max="29" width="13.33203125" bestFit="1" customWidth="1"/>
    <col min="30" max="30" width="13.44140625" bestFit="1" customWidth="1"/>
  </cols>
  <sheetData>
    <row r="4" spans="1:30" x14ac:dyDescent="0.3">
      <c r="A4" t="s">
        <v>0</v>
      </c>
    </row>
    <row r="5" spans="1:30" ht="28.2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3" t="s">
        <v>9</v>
      </c>
      <c r="J5" s="5" t="s">
        <v>155</v>
      </c>
      <c r="K5" s="5" t="s">
        <v>10</v>
      </c>
      <c r="L5" s="5" t="s">
        <v>11</v>
      </c>
      <c r="M5" s="5" t="s">
        <v>154</v>
      </c>
      <c r="N5" s="5" t="s">
        <v>12</v>
      </c>
      <c r="O5" s="6" t="s">
        <v>95</v>
      </c>
      <c r="P5" s="5" t="s">
        <v>96</v>
      </c>
      <c r="Q5" s="5" t="s">
        <v>89</v>
      </c>
      <c r="R5" s="5" t="s">
        <v>90</v>
      </c>
      <c r="S5" s="6" t="s">
        <v>97</v>
      </c>
      <c r="T5" s="5" t="s">
        <v>91</v>
      </c>
      <c r="U5" s="6" t="s">
        <v>98</v>
      </c>
      <c r="V5" s="6" t="s">
        <v>158</v>
      </c>
      <c r="W5" s="6" t="s">
        <v>159</v>
      </c>
      <c r="X5" s="5" t="s">
        <v>125</v>
      </c>
      <c r="Y5" s="5" t="s">
        <v>156</v>
      </c>
      <c r="Z5" s="5" t="s">
        <v>157</v>
      </c>
      <c r="AA5" s="5" t="s">
        <v>126</v>
      </c>
      <c r="AB5" s="5" t="s">
        <v>13</v>
      </c>
      <c r="AC5" s="5" t="s">
        <v>92</v>
      </c>
      <c r="AD5" s="5" t="s">
        <v>118</v>
      </c>
    </row>
    <row r="6" spans="1:30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18</v>
      </c>
      <c r="G6" s="2" t="s">
        <v>19</v>
      </c>
      <c r="H6" s="2" t="s">
        <v>20</v>
      </c>
      <c r="I6" s="4" t="s">
        <v>21</v>
      </c>
      <c r="J6" s="7" t="s">
        <v>160</v>
      </c>
      <c r="K6" s="8" t="s">
        <v>22</v>
      </c>
      <c r="L6" s="8" t="s">
        <v>22</v>
      </c>
      <c r="M6" s="8"/>
      <c r="N6" s="8" t="s">
        <v>23</v>
      </c>
      <c r="O6" s="9">
        <v>260</v>
      </c>
      <c r="P6" s="9">
        <v>32</v>
      </c>
      <c r="Q6" s="9" t="s">
        <v>93</v>
      </c>
      <c r="R6" s="9" t="s">
        <v>99</v>
      </c>
      <c r="S6" s="10">
        <v>6</v>
      </c>
      <c r="T6" s="9" t="s">
        <v>100</v>
      </c>
      <c r="U6" s="10">
        <v>1</v>
      </c>
      <c r="V6" s="10"/>
      <c r="W6" s="10"/>
      <c r="X6" s="8" t="s">
        <v>22</v>
      </c>
      <c r="Y6" s="8"/>
      <c r="Z6" s="8" t="s">
        <v>176</v>
      </c>
      <c r="AA6" s="8" t="s">
        <v>22</v>
      </c>
      <c r="AB6" s="8" t="s">
        <v>22</v>
      </c>
      <c r="AC6" s="8"/>
      <c r="AD6" s="9" t="s">
        <v>119</v>
      </c>
    </row>
    <row r="7" spans="1:30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28</v>
      </c>
      <c r="G7" s="2" t="s">
        <v>19</v>
      </c>
      <c r="H7" s="2" t="s">
        <v>29</v>
      </c>
      <c r="I7" s="4" t="s">
        <v>30</v>
      </c>
      <c r="J7" s="7" t="s">
        <v>161</v>
      </c>
      <c r="K7" s="8" t="s">
        <v>22</v>
      </c>
      <c r="L7" s="8" t="s">
        <v>22</v>
      </c>
      <c r="M7" s="8"/>
      <c r="N7" s="8" t="s">
        <v>31</v>
      </c>
      <c r="O7" s="9">
        <v>161</v>
      </c>
      <c r="P7" s="9">
        <v>25</v>
      </c>
      <c r="Q7" s="9" t="s">
        <v>93</v>
      </c>
      <c r="R7" s="9" t="s">
        <v>101</v>
      </c>
      <c r="S7" s="10">
        <v>-5</v>
      </c>
      <c r="T7" s="9" t="s">
        <v>102</v>
      </c>
      <c r="U7" s="10">
        <v>-1</v>
      </c>
      <c r="V7" s="10"/>
      <c r="W7" s="10"/>
      <c r="X7" s="8">
        <v>520</v>
      </c>
      <c r="Y7" s="8"/>
      <c r="Z7" s="8" t="s">
        <v>177</v>
      </c>
      <c r="AA7" s="8">
        <v>400</v>
      </c>
      <c r="AB7" s="8" t="s">
        <v>22</v>
      </c>
      <c r="AC7" s="8">
        <v>920</v>
      </c>
      <c r="AD7" s="9" t="s">
        <v>120</v>
      </c>
    </row>
    <row r="8" spans="1:30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36</v>
      </c>
      <c r="G8" s="2" t="s">
        <v>19</v>
      </c>
      <c r="H8" s="2" t="s">
        <v>37</v>
      </c>
      <c r="I8" s="4" t="s">
        <v>38</v>
      </c>
      <c r="J8" s="8" t="s">
        <v>162</v>
      </c>
      <c r="K8" s="8" t="s">
        <v>22</v>
      </c>
      <c r="L8" s="8" t="s">
        <v>22</v>
      </c>
      <c r="M8" s="8"/>
      <c r="N8" s="8" t="s">
        <v>39</v>
      </c>
      <c r="O8" s="9">
        <v>192</v>
      </c>
      <c r="P8" s="9">
        <v>28</v>
      </c>
      <c r="Q8" s="9" t="s">
        <v>93</v>
      </c>
      <c r="R8" s="9" t="s">
        <v>103</v>
      </c>
      <c r="S8" s="10">
        <v>-9</v>
      </c>
      <c r="T8" s="9" t="s">
        <v>104</v>
      </c>
      <c r="U8" s="10">
        <v>4</v>
      </c>
      <c r="V8" s="10"/>
      <c r="W8" s="10"/>
      <c r="X8" s="8">
        <v>851</v>
      </c>
      <c r="Y8" s="8" t="s">
        <v>178</v>
      </c>
      <c r="Z8" s="8" t="s">
        <v>179</v>
      </c>
      <c r="AA8" s="8">
        <v>900</v>
      </c>
      <c r="AB8" s="8" t="s">
        <v>22</v>
      </c>
      <c r="AC8" s="8">
        <f>SUM(X8+AA8)</f>
        <v>1751</v>
      </c>
      <c r="AD8" s="9" t="s">
        <v>121</v>
      </c>
    </row>
    <row r="9" spans="1:30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44</v>
      </c>
      <c r="G9" s="2" t="s">
        <v>19</v>
      </c>
      <c r="H9" s="2" t="s">
        <v>45</v>
      </c>
      <c r="I9" s="4" t="s">
        <v>46</v>
      </c>
      <c r="J9" s="7" t="s">
        <v>163</v>
      </c>
      <c r="K9" s="8" t="s">
        <v>22</v>
      </c>
      <c r="L9" s="8" t="s">
        <v>22</v>
      </c>
      <c r="M9" s="8"/>
      <c r="N9" s="8" t="s">
        <v>47</v>
      </c>
      <c r="O9" s="9">
        <v>155</v>
      </c>
      <c r="P9" s="9">
        <v>24.5</v>
      </c>
      <c r="Q9" s="9" t="s">
        <v>94</v>
      </c>
      <c r="R9" s="9" t="s">
        <v>105</v>
      </c>
      <c r="S9" s="10">
        <v>4</v>
      </c>
      <c r="T9" s="9" t="s">
        <v>106</v>
      </c>
      <c r="U9" s="10">
        <v>-6</v>
      </c>
      <c r="V9" s="10"/>
      <c r="W9" s="10"/>
      <c r="X9" s="8">
        <v>500</v>
      </c>
      <c r="Y9" s="8" t="s">
        <v>180</v>
      </c>
      <c r="Z9" s="8" t="s">
        <v>181</v>
      </c>
      <c r="AA9" s="8">
        <v>657</v>
      </c>
      <c r="AB9" s="8" t="s">
        <v>22</v>
      </c>
      <c r="AC9" s="8">
        <f t="shared" ref="AC9:AC18" si="0">SUM(X9+AA9)</f>
        <v>1157</v>
      </c>
      <c r="AD9" s="9" t="s">
        <v>122</v>
      </c>
    </row>
    <row r="10" spans="1:30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52</v>
      </c>
      <c r="G10" s="2" t="s">
        <v>19</v>
      </c>
      <c r="H10" s="2" t="s">
        <v>53</v>
      </c>
      <c r="I10" s="4" t="s">
        <v>54</v>
      </c>
      <c r="J10" s="7" t="s">
        <v>164</v>
      </c>
      <c r="K10" s="8"/>
      <c r="L10" s="8" t="s">
        <v>22</v>
      </c>
      <c r="M10" s="8"/>
      <c r="N10" s="8" t="s">
        <v>23</v>
      </c>
      <c r="O10" s="9">
        <v>210</v>
      </c>
      <c r="P10" s="9">
        <v>31</v>
      </c>
      <c r="Q10" s="9" t="s">
        <v>93</v>
      </c>
      <c r="R10" s="9" t="s">
        <v>107</v>
      </c>
      <c r="S10" s="10">
        <v>0</v>
      </c>
      <c r="T10" s="9" t="s">
        <v>108</v>
      </c>
      <c r="U10" s="10">
        <v>0</v>
      </c>
      <c r="V10" s="10"/>
      <c r="W10" s="10"/>
      <c r="X10" s="8">
        <v>1038</v>
      </c>
      <c r="Y10" s="8"/>
      <c r="Z10" s="8" t="s">
        <v>176</v>
      </c>
      <c r="AA10" s="8" t="s">
        <v>22</v>
      </c>
      <c r="AB10" s="8" t="s">
        <v>22</v>
      </c>
      <c r="AC10" s="8">
        <v>1038</v>
      </c>
      <c r="AD10" s="9" t="s">
        <v>123</v>
      </c>
    </row>
    <row r="11" spans="1:30" x14ac:dyDescent="0.3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59</v>
      </c>
      <c r="G11" s="2" t="s">
        <v>19</v>
      </c>
      <c r="H11" s="2" t="s">
        <v>60</v>
      </c>
      <c r="I11" s="4" t="s">
        <v>61</v>
      </c>
      <c r="J11" s="8" t="s">
        <v>165</v>
      </c>
      <c r="K11" s="8"/>
      <c r="L11" s="8" t="s">
        <v>22</v>
      </c>
      <c r="M11" s="8"/>
      <c r="N11" s="8" t="s">
        <v>23</v>
      </c>
      <c r="O11" s="9">
        <v>366</v>
      </c>
      <c r="P11" s="9">
        <v>51</v>
      </c>
      <c r="Q11" s="9" t="s">
        <v>93</v>
      </c>
      <c r="R11" s="9" t="s">
        <v>109</v>
      </c>
      <c r="S11" s="10">
        <v>0</v>
      </c>
      <c r="T11" s="9" t="s">
        <v>110</v>
      </c>
      <c r="U11" s="10">
        <v>-2</v>
      </c>
      <c r="V11" s="10">
        <v>16.600000000000001</v>
      </c>
      <c r="W11" s="10">
        <v>16.600000000000001</v>
      </c>
      <c r="X11" s="8">
        <v>2136</v>
      </c>
      <c r="Y11" s="8" t="s">
        <v>182</v>
      </c>
      <c r="Z11" s="8" t="s">
        <v>176</v>
      </c>
      <c r="AA11" s="8">
        <v>2898</v>
      </c>
      <c r="AB11" s="8" t="s">
        <v>22</v>
      </c>
      <c r="AC11" s="8">
        <f t="shared" si="0"/>
        <v>5034</v>
      </c>
      <c r="AD11" s="9" t="s">
        <v>124</v>
      </c>
    </row>
    <row r="12" spans="1:30" x14ac:dyDescent="0.3">
      <c r="A12" s="2" t="s">
        <v>62</v>
      </c>
      <c r="B12" s="2" t="s">
        <v>63</v>
      </c>
      <c r="C12" s="2" t="s">
        <v>34</v>
      </c>
      <c r="D12" s="2" t="s">
        <v>64</v>
      </c>
      <c r="E12" s="2" t="s">
        <v>65</v>
      </c>
      <c r="F12" s="2" t="s">
        <v>65</v>
      </c>
      <c r="G12" s="2" t="s">
        <v>19</v>
      </c>
      <c r="H12" s="2" t="s">
        <v>66</v>
      </c>
      <c r="I12" s="4" t="s">
        <v>67</v>
      </c>
      <c r="J12" s="8" t="s">
        <v>166</v>
      </c>
      <c r="K12" s="8" t="s">
        <v>22</v>
      </c>
      <c r="L12" s="8" t="s">
        <v>22</v>
      </c>
      <c r="M12" s="8"/>
      <c r="N12" s="8" t="s">
        <v>39</v>
      </c>
      <c r="O12" s="9">
        <v>175</v>
      </c>
      <c r="P12" s="9">
        <v>27.5</v>
      </c>
      <c r="Q12" s="9" t="s">
        <v>93</v>
      </c>
      <c r="R12" s="9" t="s">
        <v>101</v>
      </c>
      <c r="S12" s="10">
        <v>3</v>
      </c>
      <c r="T12" s="9" t="s">
        <v>111</v>
      </c>
      <c r="U12" s="10">
        <v>7</v>
      </c>
      <c r="V12" s="10"/>
      <c r="W12" s="10"/>
      <c r="X12" s="8">
        <v>970</v>
      </c>
      <c r="Y12" s="8" t="s">
        <v>178</v>
      </c>
      <c r="Z12" s="8" t="s">
        <v>179</v>
      </c>
      <c r="AA12" s="8">
        <v>1000</v>
      </c>
      <c r="AB12" s="8" t="s">
        <v>22</v>
      </c>
      <c r="AC12" s="8">
        <f t="shared" si="0"/>
        <v>1970</v>
      </c>
      <c r="AD12" s="9" t="s">
        <v>120</v>
      </c>
    </row>
    <row r="13" spans="1:30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72</v>
      </c>
      <c r="G13" s="2" t="s">
        <v>19</v>
      </c>
      <c r="H13" s="2" t="s">
        <v>73</v>
      </c>
      <c r="I13" s="4" t="s">
        <v>74</v>
      </c>
      <c r="J13" s="7" t="s">
        <v>167</v>
      </c>
      <c r="K13" s="8" t="s">
        <v>22</v>
      </c>
      <c r="L13" s="8" t="s">
        <v>22</v>
      </c>
      <c r="M13" s="8"/>
      <c r="N13" s="8" t="s">
        <v>75</v>
      </c>
      <c r="O13" s="9">
        <v>350</v>
      </c>
      <c r="P13" s="9">
        <v>42</v>
      </c>
      <c r="Q13" s="9" t="s">
        <v>94</v>
      </c>
      <c r="R13" s="9" t="s">
        <v>112</v>
      </c>
      <c r="S13" s="10">
        <v>-4</v>
      </c>
      <c r="T13" s="9" t="s">
        <v>113</v>
      </c>
      <c r="U13" s="10">
        <v>2</v>
      </c>
      <c r="V13" s="10"/>
      <c r="W13" s="10"/>
      <c r="X13" s="8">
        <v>1129</v>
      </c>
      <c r="Y13" s="8"/>
      <c r="Z13" s="8" t="s">
        <v>183</v>
      </c>
      <c r="AA13" s="8">
        <v>1200</v>
      </c>
      <c r="AB13" s="8" t="s">
        <v>22</v>
      </c>
      <c r="AC13" s="8">
        <f t="shared" si="0"/>
        <v>2329</v>
      </c>
      <c r="AD13" s="9" t="s">
        <v>122</v>
      </c>
    </row>
    <row r="14" spans="1:30" x14ac:dyDescent="0.3">
      <c r="A14" s="2" t="s">
        <v>76</v>
      </c>
      <c r="B14" s="2" t="s">
        <v>77</v>
      </c>
      <c r="C14" s="2" t="s">
        <v>34</v>
      </c>
      <c r="D14" s="2" t="s">
        <v>78</v>
      </c>
      <c r="E14" s="2" t="s">
        <v>79</v>
      </c>
      <c r="F14" s="2" t="s">
        <v>79</v>
      </c>
      <c r="G14" s="2" t="s">
        <v>19</v>
      </c>
      <c r="H14" s="2" t="s">
        <v>80</v>
      </c>
      <c r="I14" s="4" t="s">
        <v>81</v>
      </c>
      <c r="J14" s="7" t="s">
        <v>168</v>
      </c>
      <c r="K14" s="8" t="s">
        <v>22</v>
      </c>
      <c r="L14" s="8" t="s">
        <v>22</v>
      </c>
      <c r="M14" s="8"/>
      <c r="N14" s="8" t="s">
        <v>23</v>
      </c>
      <c r="O14" s="9">
        <v>149</v>
      </c>
      <c r="P14" s="9">
        <v>24</v>
      </c>
      <c r="Q14" s="9" t="s">
        <v>93</v>
      </c>
      <c r="R14" s="9" t="s">
        <v>114</v>
      </c>
      <c r="S14" s="10">
        <v>-1</v>
      </c>
      <c r="T14" s="9" t="s">
        <v>115</v>
      </c>
      <c r="U14" s="10">
        <v>1</v>
      </c>
      <c r="V14" s="10"/>
      <c r="W14" s="10"/>
      <c r="X14" s="8">
        <v>589</v>
      </c>
      <c r="Y14" s="8"/>
      <c r="Z14" s="8" t="s">
        <v>176</v>
      </c>
      <c r="AA14" s="8">
        <v>620</v>
      </c>
      <c r="AB14" s="8" t="s">
        <v>22</v>
      </c>
      <c r="AC14" s="8">
        <f t="shared" si="0"/>
        <v>1209</v>
      </c>
      <c r="AD14" s="9" t="s">
        <v>123</v>
      </c>
    </row>
    <row r="15" spans="1:30" x14ac:dyDescent="0.3">
      <c r="A15" s="2" t="s">
        <v>82</v>
      </c>
      <c r="B15" s="2" t="s">
        <v>83</v>
      </c>
      <c r="C15" s="2" t="s">
        <v>70</v>
      </c>
      <c r="D15" s="2" t="s">
        <v>84</v>
      </c>
      <c r="E15" s="2" t="s">
        <v>85</v>
      </c>
      <c r="F15" s="2" t="s">
        <v>85</v>
      </c>
      <c r="G15" s="2" t="s">
        <v>19</v>
      </c>
      <c r="H15" s="2" t="s">
        <v>86</v>
      </c>
      <c r="I15" s="4" t="s">
        <v>87</v>
      </c>
      <c r="J15" s="7" t="s">
        <v>169</v>
      </c>
      <c r="K15" s="8" t="s">
        <v>22</v>
      </c>
      <c r="L15" s="8" t="s">
        <v>22</v>
      </c>
      <c r="M15" s="8"/>
      <c r="N15" s="8" t="s">
        <v>88</v>
      </c>
      <c r="O15" s="9">
        <v>175</v>
      </c>
      <c r="P15" s="9">
        <v>27</v>
      </c>
      <c r="Q15" s="9" t="s">
        <v>93</v>
      </c>
      <c r="R15" s="9" t="s">
        <v>116</v>
      </c>
      <c r="S15" s="10">
        <v>-7</v>
      </c>
      <c r="T15" s="9" t="s">
        <v>117</v>
      </c>
      <c r="U15" s="10">
        <v>-2</v>
      </c>
      <c r="V15" s="10"/>
      <c r="W15" s="10"/>
      <c r="X15" s="8">
        <v>394</v>
      </c>
      <c r="Y15" s="8"/>
      <c r="Z15" s="8" t="s">
        <v>184</v>
      </c>
      <c r="AA15" s="8">
        <v>1375</v>
      </c>
      <c r="AB15" s="8" t="s">
        <v>22</v>
      </c>
      <c r="AC15" s="8">
        <f t="shared" si="0"/>
        <v>1769</v>
      </c>
      <c r="AD15" s="9" t="s">
        <v>119</v>
      </c>
    </row>
    <row r="16" spans="1:30" x14ac:dyDescent="0.3">
      <c r="A16" s="2" t="s">
        <v>127</v>
      </c>
      <c r="B16" s="2" t="s">
        <v>128</v>
      </c>
      <c r="C16" s="2" t="s">
        <v>70</v>
      </c>
      <c r="D16" s="2" t="s">
        <v>129</v>
      </c>
      <c r="E16" s="2" t="s">
        <v>130</v>
      </c>
      <c r="F16" s="2" t="s">
        <v>130</v>
      </c>
      <c r="G16" s="2" t="s">
        <v>131</v>
      </c>
      <c r="H16" s="2" t="s">
        <v>29</v>
      </c>
      <c r="I16" s="4" t="s">
        <v>132</v>
      </c>
      <c r="J16" s="7" t="s">
        <v>170</v>
      </c>
      <c r="K16" s="8" t="s">
        <v>133</v>
      </c>
      <c r="L16" s="8" t="s">
        <v>22</v>
      </c>
      <c r="M16" s="8" t="s">
        <v>171</v>
      </c>
      <c r="N16" s="8" t="s">
        <v>134</v>
      </c>
      <c r="O16" s="9">
        <v>366</v>
      </c>
      <c r="P16" s="9"/>
      <c r="Q16" s="9" t="s">
        <v>93</v>
      </c>
      <c r="R16" s="9" t="s">
        <v>109</v>
      </c>
      <c r="S16" s="10">
        <v>0</v>
      </c>
      <c r="T16" s="9" t="s">
        <v>110</v>
      </c>
      <c r="U16" s="10">
        <v>-2</v>
      </c>
      <c r="V16" s="10">
        <v>14.2</v>
      </c>
      <c r="W16" s="10">
        <v>14.2</v>
      </c>
      <c r="X16" s="8">
        <v>2888</v>
      </c>
      <c r="Y16" s="8" t="s">
        <v>176</v>
      </c>
      <c r="Z16" s="8" t="s">
        <v>179</v>
      </c>
      <c r="AA16" s="8">
        <v>1586</v>
      </c>
      <c r="AB16" s="9"/>
      <c r="AC16" s="8">
        <f t="shared" si="0"/>
        <v>4474</v>
      </c>
      <c r="AD16" s="9" t="s">
        <v>124</v>
      </c>
    </row>
    <row r="17" spans="1:30" x14ac:dyDescent="0.3">
      <c r="A17" s="2" t="s">
        <v>135</v>
      </c>
      <c r="B17" s="2" t="s">
        <v>136</v>
      </c>
      <c r="C17" s="2" t="s">
        <v>34</v>
      </c>
      <c r="D17" s="2" t="s">
        <v>137</v>
      </c>
      <c r="E17" s="2" t="s">
        <v>138</v>
      </c>
      <c r="F17" s="2" t="s">
        <v>138</v>
      </c>
      <c r="G17" s="2" t="s">
        <v>131</v>
      </c>
      <c r="H17" s="2" t="s">
        <v>139</v>
      </c>
      <c r="I17" s="4" t="s">
        <v>140</v>
      </c>
      <c r="J17" s="8" t="s">
        <v>172</v>
      </c>
      <c r="K17" s="8" t="s">
        <v>141</v>
      </c>
      <c r="L17" s="8" t="s">
        <v>22</v>
      </c>
      <c r="M17" s="7" t="s">
        <v>173</v>
      </c>
      <c r="N17" s="8" t="s">
        <v>39</v>
      </c>
      <c r="O17" s="9">
        <v>184</v>
      </c>
      <c r="P17" s="9"/>
      <c r="Q17" s="9" t="s">
        <v>94</v>
      </c>
      <c r="R17" s="9" t="s">
        <v>150</v>
      </c>
      <c r="S17" s="10">
        <v>5</v>
      </c>
      <c r="T17" s="9" t="s">
        <v>152</v>
      </c>
      <c r="U17" s="10">
        <v>-7</v>
      </c>
      <c r="V17" s="10">
        <v>9.1</v>
      </c>
      <c r="W17" s="10">
        <v>9.5</v>
      </c>
      <c r="X17" s="8">
        <v>746</v>
      </c>
      <c r="Y17" s="8" t="s">
        <v>178</v>
      </c>
      <c r="Z17" s="8" t="s">
        <v>179</v>
      </c>
      <c r="AA17" s="8">
        <v>642</v>
      </c>
      <c r="AB17" s="9"/>
      <c r="AC17" s="8">
        <f t="shared" si="0"/>
        <v>1388</v>
      </c>
      <c r="AD17" s="9" t="s">
        <v>122</v>
      </c>
    </row>
    <row r="18" spans="1:30" x14ac:dyDescent="0.3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146</v>
      </c>
      <c r="F18" s="2" t="s">
        <v>146</v>
      </c>
      <c r="G18" s="2" t="s">
        <v>131</v>
      </c>
      <c r="H18" s="2" t="s">
        <v>147</v>
      </c>
      <c r="I18" s="4" t="s">
        <v>148</v>
      </c>
      <c r="J18" s="7" t="s">
        <v>174</v>
      </c>
      <c r="K18" s="8" t="s">
        <v>149</v>
      </c>
      <c r="L18" s="8" t="s">
        <v>22</v>
      </c>
      <c r="M18" s="7" t="s">
        <v>175</v>
      </c>
      <c r="N18" s="8" t="s">
        <v>23</v>
      </c>
      <c r="O18" s="9">
        <v>113</v>
      </c>
      <c r="P18" s="9"/>
      <c r="Q18" s="9" t="s">
        <v>93</v>
      </c>
      <c r="R18" s="9" t="s">
        <v>151</v>
      </c>
      <c r="S18" s="10">
        <v>-3</v>
      </c>
      <c r="T18" s="9" t="s">
        <v>153</v>
      </c>
      <c r="U18" s="10">
        <v>3</v>
      </c>
      <c r="V18" s="10">
        <v>6.6</v>
      </c>
      <c r="W18" s="10">
        <v>7.7</v>
      </c>
      <c r="X18" s="8">
        <v>175</v>
      </c>
      <c r="Y18" s="8"/>
      <c r="Z18" s="8" t="s">
        <v>176</v>
      </c>
      <c r="AA18" s="8">
        <v>63</v>
      </c>
      <c r="AB18" s="9"/>
      <c r="AC18" s="8">
        <f t="shared" si="0"/>
        <v>238</v>
      </c>
      <c r="AD18" s="9" t="s">
        <v>123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VesselVisitDetails_20260902_091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Naveen Raja</cp:lastModifiedBy>
  <dcterms:created xsi:type="dcterms:W3CDTF">2026-09-02T06:11:55Z</dcterms:created>
  <dcterms:modified xsi:type="dcterms:W3CDTF">2026-09-02T11:52:25Z</dcterms:modified>
</cp:coreProperties>
</file>