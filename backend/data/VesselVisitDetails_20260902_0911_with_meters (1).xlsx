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3" documentId="11_52EF75B49E38D5B85E00DA262B8F2AEFCFEC7BAB" xr6:coauthVersionLast="47" xr6:coauthVersionMax="47" xr10:uidLastSave="{51BC8793-A257-4225-ACB4-55E18095F19A}"/>
  <bookViews>
    <workbookView xWindow="0" yWindow="0" windowWidth="16384" windowHeight="8192" tabRatio="500" xr2:uid="{00000000-000D-0000-FFFF-FFFF00000000}"/>
  </bookViews>
  <sheets>
    <sheet name="VesselVisitDetails_20260902_091" sheetId="1" r:id="rId1"/>
    <sheet name="Bollard Meter marking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18" i="1" l="1"/>
  <c r="AE18" i="1"/>
  <c r="AG18" i="1" s="1"/>
  <c r="AC18" i="1"/>
  <c r="AF17" i="1"/>
  <c r="AE17" i="1"/>
  <c r="AG17" i="1" s="1"/>
  <c r="AC17" i="1"/>
  <c r="AF16" i="1"/>
  <c r="AE16" i="1"/>
  <c r="AG16" i="1" s="1"/>
  <c r="AC16" i="1"/>
  <c r="AF15" i="1"/>
  <c r="AE15" i="1"/>
  <c r="AG15" i="1" s="1"/>
  <c r="AC15" i="1"/>
  <c r="AF14" i="1"/>
  <c r="AE14" i="1"/>
  <c r="AG14" i="1" s="1"/>
  <c r="AC14" i="1"/>
  <c r="AF13" i="1"/>
  <c r="AE13" i="1"/>
  <c r="AG13" i="1" s="1"/>
  <c r="AC13" i="1"/>
  <c r="AF12" i="1"/>
  <c r="AE12" i="1"/>
  <c r="AG12" i="1" s="1"/>
  <c r="AC12" i="1"/>
  <c r="AF11" i="1"/>
  <c r="AE11" i="1"/>
  <c r="AG11" i="1" s="1"/>
  <c r="AC11" i="1"/>
  <c r="AF10" i="1"/>
  <c r="AE10" i="1"/>
  <c r="AG10" i="1" s="1"/>
  <c r="AF9" i="1"/>
  <c r="AE9" i="1"/>
  <c r="AG9" i="1" s="1"/>
  <c r="AC9" i="1"/>
  <c r="AF8" i="1"/>
  <c r="AE8" i="1"/>
  <c r="AG8" i="1" s="1"/>
  <c r="AC8" i="1"/>
  <c r="AF7" i="1"/>
  <c r="AE7" i="1"/>
  <c r="AG7" i="1" s="1"/>
  <c r="AF6" i="1"/>
  <c r="AE6" i="1"/>
  <c r="AG6" i="1" s="1"/>
</calcChain>
</file>

<file path=xl/sharedStrings.xml><?xml version="1.0" encoding="utf-8"?>
<sst xmlns="http://schemas.openxmlformats.org/spreadsheetml/2006/main" count="440" uniqueCount="350">
  <si>
    <t>Displaying 10 item(s) at 2026-09-02</t>
  </si>
  <si>
    <t>Visit</t>
  </si>
  <si>
    <t>Vessel Name</t>
  </si>
  <si>
    <t>Line</t>
  </si>
  <si>
    <t>Vessel Class</t>
  </si>
  <si>
    <t>I/B Vyg</t>
  </si>
  <si>
    <t>O/B Vyg</t>
  </si>
  <si>
    <t>Phase</t>
  </si>
  <si>
    <t>Est. Time of Berth</t>
  </si>
  <si>
    <t>ETD</t>
  </si>
  <si>
    <t>ETA</t>
  </si>
  <si>
    <t>ATA</t>
  </si>
  <si>
    <t>ATD</t>
  </si>
  <si>
    <t>ATB</t>
  </si>
  <si>
    <t>Service</t>
  </si>
  <si>
    <t>Vessel Loa M</t>
  </si>
  <si>
    <t>BEAM M</t>
  </si>
  <si>
    <t>Berthside</t>
  </si>
  <si>
    <t>Bollard Fore</t>
  </si>
  <si>
    <t>Bollard Fore offset</t>
  </si>
  <si>
    <t>Bollard Aft</t>
  </si>
  <si>
    <t>Bollard Aft offset</t>
  </si>
  <si>
    <t>Draft Forward</t>
  </si>
  <si>
    <t>Draft Aft</t>
  </si>
  <si>
    <t>Est Disch</t>
  </si>
  <si>
    <t>Previous Port</t>
  </si>
  <si>
    <t>Next Port</t>
  </si>
  <si>
    <t>EST Loading</t>
  </si>
  <si>
    <t>Additional Moves</t>
  </si>
  <si>
    <t>Total Moves</t>
  </si>
  <si>
    <t>vessel berth</t>
  </si>
  <si>
    <t>Bollard Fore Meter</t>
  </si>
  <si>
    <t>Bollard Aft Meter</t>
  </si>
  <si>
    <t>LOA Check (Fore-Aft, m)</t>
  </si>
  <si>
    <t>TSSNTSGP2606W</t>
  </si>
  <si>
    <t>TS SINGAPORE</t>
  </si>
  <si>
    <t>TSL</t>
  </si>
  <si>
    <t>TSSN</t>
  </si>
  <si>
    <t>TSGP2606W</t>
  </si>
  <si>
    <t>Inbound</t>
  </si>
  <si>
    <t>26-Sep-02 0800</t>
  </si>
  <si>
    <t>26-Sep-04 1900</t>
  </si>
  <si>
    <t>30-08-2026 1900</t>
  </si>
  <si>
    <t>ADHOC</t>
  </si>
  <si>
    <t>Starboardside</t>
  </si>
  <si>
    <t>1R19</t>
  </si>
  <si>
    <t>1R2</t>
  </si>
  <si>
    <t>JIB</t>
  </si>
  <si>
    <t>R1</t>
  </si>
  <si>
    <t>TROD25618</t>
  </si>
  <si>
    <t>TRANSMAR ODYSSEY</t>
  </si>
  <si>
    <t>AET</t>
  </si>
  <si>
    <t>TROD</t>
  </si>
  <si>
    <t>25618</t>
  </si>
  <si>
    <t>26-Sep-02 1800</t>
  </si>
  <si>
    <t>26-Sep-03 1900</t>
  </si>
  <si>
    <t>02-09-2026 1700</t>
  </si>
  <si>
    <t>RES</t>
  </si>
  <si>
    <t>4B15</t>
  </si>
  <si>
    <t>4B4</t>
  </si>
  <si>
    <t>EGADA</t>
  </si>
  <si>
    <t>B4</t>
  </si>
  <si>
    <t>TSMNKRTM2634E</t>
  </si>
  <si>
    <t>KR TASMAN</t>
  </si>
  <si>
    <t>CUL</t>
  </si>
  <si>
    <t>TSMN</t>
  </si>
  <si>
    <t>KRTM2634E</t>
  </si>
  <si>
    <t>26-Sep-03 0100</t>
  </si>
  <si>
    <t>26-Sep-05 0500</t>
  </si>
  <si>
    <t>2026-09-02 2300</t>
  </si>
  <si>
    <t>REX-2</t>
  </si>
  <si>
    <t>6B47</t>
  </si>
  <si>
    <t>6B36</t>
  </si>
  <si>
    <t>PKG</t>
  </si>
  <si>
    <t>SOK</t>
  </si>
  <si>
    <t>B6</t>
  </si>
  <si>
    <t>DANIIRS03W26</t>
  </si>
  <si>
    <t>DANIEL A</t>
  </si>
  <si>
    <t>ARL</t>
  </si>
  <si>
    <t>DANI</t>
  </si>
  <si>
    <t>IRS03W26</t>
  </si>
  <si>
    <t>26-Sep-03 0200</t>
  </si>
  <si>
    <t>26-Sep-04 0500</t>
  </si>
  <si>
    <t>03-09-2026 0001</t>
  </si>
  <si>
    <t>TRI-NB</t>
  </si>
  <si>
    <t>Portside</t>
  </si>
  <si>
    <t>4R12</t>
  </si>
  <si>
    <t>4R23</t>
  </si>
  <si>
    <t>AQJ</t>
  </si>
  <si>
    <t>NSA</t>
  </si>
  <si>
    <t>R4</t>
  </si>
  <si>
    <t>DKUT003</t>
  </si>
  <si>
    <t>DEDE KORKUT</t>
  </si>
  <si>
    <t>ZSL</t>
  </si>
  <si>
    <t>DKUT</t>
  </si>
  <si>
    <t>003</t>
  </si>
  <si>
    <t>26-Sep-03 0600</t>
  </si>
  <si>
    <t>26-Sep-04 1100</t>
  </si>
  <si>
    <t>26-08-2026 1900</t>
  </si>
  <si>
    <t>5B33</t>
  </si>
  <si>
    <t>5B19</t>
  </si>
  <si>
    <t>B5</t>
  </si>
  <si>
    <t>SIMOIS636E</t>
  </si>
  <si>
    <t>MSC SIMONA</t>
  </si>
  <si>
    <t>MSC</t>
  </si>
  <si>
    <t>SIMO</t>
  </si>
  <si>
    <t>IS634R</t>
  </si>
  <si>
    <t>26-Sep-03 1600</t>
  </si>
  <si>
    <t>26-Sep-05 1900</t>
  </si>
  <si>
    <t>2026-09-03 1400</t>
  </si>
  <si>
    <t>3R65</t>
  </si>
  <si>
    <t>2R37</t>
  </si>
  <si>
    <t>AKI</t>
  </si>
  <si>
    <t>R3</t>
  </si>
  <si>
    <t>TENVTNVN2632E</t>
  </si>
  <si>
    <t xml:space="preserve">TEN VENUS </t>
  </si>
  <si>
    <t>TENV</t>
  </si>
  <si>
    <t>TNVN2632E</t>
  </si>
  <si>
    <t>26-Sep-04 0100</t>
  </si>
  <si>
    <t>26-Sep-07 0800</t>
  </si>
  <si>
    <t>2026-09-03 2300</t>
  </si>
  <si>
    <t>4B3</t>
  </si>
  <si>
    <t>CCPE0MXOYE1MA</t>
  </si>
  <si>
    <t>CMA CGM PELLEAS</t>
  </si>
  <si>
    <t>CMA</t>
  </si>
  <si>
    <t>CCPE</t>
  </si>
  <si>
    <t>0MXOYE1MA</t>
  </si>
  <si>
    <t>26-Sep-04 0900</t>
  </si>
  <si>
    <t>26-Sep-05 1400</t>
  </si>
  <si>
    <t>04-09-2026 0700</t>
  </si>
  <si>
    <t>MEDEX-E</t>
  </si>
  <si>
    <t>4R6</t>
  </si>
  <si>
    <t>4R29</t>
  </si>
  <si>
    <t>PIR</t>
  </si>
  <si>
    <t>KHDZKDHZ2636W</t>
  </si>
  <si>
    <t>KAI DA HONG ZHOU</t>
  </si>
  <si>
    <t>KHDZ</t>
  </si>
  <si>
    <t>KDHZ2636W</t>
  </si>
  <si>
    <t>26-Sep-04 1300</t>
  </si>
  <si>
    <t>26-Sep-06 0300</t>
  </si>
  <si>
    <t>04-09-2026 1100</t>
  </si>
  <si>
    <t>5B31</t>
  </si>
  <si>
    <t>5B21</t>
  </si>
  <si>
    <t>CMAPPHXSSSE19</t>
  </si>
  <si>
    <t>CMA CGM MAPUTO</t>
  </si>
  <si>
    <t>CMAP</t>
  </si>
  <si>
    <t>PHXSSSE19</t>
  </si>
  <si>
    <t>26-Sep-04 2100</t>
  </si>
  <si>
    <t>26-Sep-06 0700</t>
  </si>
  <si>
    <t>04-09-2026 1900</t>
  </si>
  <si>
    <t>MED5</t>
  </si>
  <si>
    <t>1R17</t>
  </si>
  <si>
    <t>1R5</t>
  </si>
  <si>
    <t>SHK</t>
  </si>
  <si>
    <t>APOLRX2030E19</t>
  </si>
  <si>
    <t>CMA CGM APOLLON</t>
  </si>
  <si>
    <t>APOL</t>
  </si>
  <si>
    <t>RX2030E19</t>
  </si>
  <si>
    <t>Working</t>
  </si>
  <si>
    <t>26-Sep-03 2000</t>
  </si>
  <si>
    <t>28-08-2026 2300</t>
  </si>
  <si>
    <t>26-Aug-31 0350</t>
  </si>
  <si>
    <t>2026-08-31 0320</t>
  </si>
  <si>
    <t>RES2EB</t>
  </si>
  <si>
    <t>CHMNCUHM2635W</t>
  </si>
  <si>
    <t>CUL HUMEN</t>
  </si>
  <si>
    <t>CHMN</t>
  </si>
  <si>
    <t>CUHM2635W</t>
  </si>
  <si>
    <t>26-Sep-01 1000</t>
  </si>
  <si>
    <t>26-Sep-03 0300</t>
  </si>
  <si>
    <t>2026-09-01 0300</t>
  </si>
  <si>
    <t>26-Sep-01 1032</t>
  </si>
  <si>
    <t>01-09-2026 1000</t>
  </si>
  <si>
    <t>4R11</t>
  </si>
  <si>
    <t>4R24</t>
  </si>
  <si>
    <t>LDRB2602S</t>
  </si>
  <si>
    <t>LDR BEDEL</t>
  </si>
  <si>
    <t>OVP</t>
  </si>
  <si>
    <t>LDRB</t>
  </si>
  <si>
    <t>2602N</t>
  </si>
  <si>
    <t>26-Sep-01 1600</t>
  </si>
  <si>
    <t>26-Sep-03 0400</t>
  </si>
  <si>
    <t>01-09-2026 1100</t>
  </si>
  <si>
    <t>26-Sep-01 1715</t>
  </si>
  <si>
    <t>01-09-2026 1700</t>
  </si>
  <si>
    <t>5B30</t>
  </si>
  <si>
    <t>5B22</t>
  </si>
  <si>
    <t>Bollard number</t>
  </si>
  <si>
    <t>meter mark</t>
  </si>
  <si>
    <t>1R1</t>
  </si>
  <si>
    <t>1R3</t>
  </si>
  <si>
    <t>1R4</t>
  </si>
  <si>
    <t>1R6</t>
  </si>
  <si>
    <t>1R7</t>
  </si>
  <si>
    <t>1R8</t>
  </si>
  <si>
    <t>1R9</t>
  </si>
  <si>
    <t>1R10</t>
  </si>
  <si>
    <t>1R11</t>
  </si>
  <si>
    <t>1R12</t>
  </si>
  <si>
    <t>1R13</t>
  </si>
  <si>
    <t>1R14</t>
  </si>
  <si>
    <t>1R15</t>
  </si>
  <si>
    <t>1R16</t>
  </si>
  <si>
    <t>1R18</t>
  </si>
  <si>
    <t>1R20</t>
  </si>
  <si>
    <t>1R21</t>
  </si>
  <si>
    <t>2R22</t>
  </si>
  <si>
    <t>2R23</t>
  </si>
  <si>
    <t>2R24</t>
  </si>
  <si>
    <t>2R25</t>
  </si>
  <si>
    <t>2R26</t>
  </si>
  <si>
    <t>2R27</t>
  </si>
  <si>
    <t>2R28</t>
  </si>
  <si>
    <t>2R29</t>
  </si>
  <si>
    <t>2R30</t>
  </si>
  <si>
    <t>2R31</t>
  </si>
  <si>
    <t>2R32</t>
  </si>
  <si>
    <t>2R33</t>
  </si>
  <si>
    <t>2R34</t>
  </si>
  <si>
    <t>2R35</t>
  </si>
  <si>
    <t>2R36</t>
  </si>
  <si>
    <t>2R38</t>
  </si>
  <si>
    <t>2R39</t>
  </si>
  <si>
    <t>2R40</t>
  </si>
  <si>
    <t>2R41</t>
  </si>
  <si>
    <t>2R42</t>
  </si>
  <si>
    <t>2R43</t>
  </si>
  <si>
    <t>2R44</t>
  </si>
  <si>
    <t>2R45</t>
  </si>
  <si>
    <t>2R46</t>
  </si>
  <si>
    <t>2R47</t>
  </si>
  <si>
    <t>2R48</t>
  </si>
  <si>
    <t>2R49</t>
  </si>
  <si>
    <t>3R50</t>
  </si>
  <si>
    <t>3R51</t>
  </si>
  <si>
    <t>3R52</t>
  </si>
  <si>
    <t>3R53</t>
  </si>
  <si>
    <t>3R54</t>
  </si>
  <si>
    <t>3R55</t>
  </si>
  <si>
    <t>3R56</t>
  </si>
  <si>
    <t>3R57</t>
  </si>
  <si>
    <t>3R58</t>
  </si>
  <si>
    <t>3R59</t>
  </si>
  <si>
    <t>3R60</t>
  </si>
  <si>
    <t>3R61</t>
  </si>
  <si>
    <t>3R62</t>
  </si>
  <si>
    <t>3R63</t>
  </si>
  <si>
    <t>3R64</t>
  </si>
  <si>
    <t>3R66</t>
  </si>
  <si>
    <t>3R67</t>
  </si>
  <si>
    <t>3R68</t>
  </si>
  <si>
    <t>4R1</t>
  </si>
  <si>
    <t>4R2</t>
  </si>
  <si>
    <t>4R3</t>
  </si>
  <si>
    <t>4R4</t>
  </si>
  <si>
    <t>4R5</t>
  </si>
  <si>
    <t>4R7</t>
  </si>
  <si>
    <t>4R8</t>
  </si>
  <si>
    <t>4R9</t>
  </si>
  <si>
    <t>4R10</t>
  </si>
  <si>
    <t>4R13</t>
  </si>
  <si>
    <t>4R14</t>
  </si>
  <si>
    <t>4R15</t>
  </si>
  <si>
    <t>4R16</t>
  </si>
  <si>
    <t>4R17</t>
  </si>
  <si>
    <t>4R18</t>
  </si>
  <si>
    <t>4R19</t>
  </si>
  <si>
    <t>4R20</t>
  </si>
  <si>
    <t>4R21</t>
  </si>
  <si>
    <t>4R22</t>
  </si>
  <si>
    <t>4R25</t>
  </si>
  <si>
    <t>4R26</t>
  </si>
  <si>
    <t>4R27</t>
  </si>
  <si>
    <t>4R28</t>
  </si>
  <si>
    <t>4R30</t>
  </si>
  <si>
    <t>4R31</t>
  </si>
  <si>
    <t>4R32</t>
  </si>
  <si>
    <t>4R33</t>
  </si>
  <si>
    <t>4R34</t>
  </si>
  <si>
    <t>4B1</t>
  </si>
  <si>
    <t>4B2</t>
  </si>
  <si>
    <t>4B5</t>
  </si>
  <si>
    <t>4B6</t>
  </si>
  <si>
    <t>4B7</t>
  </si>
  <si>
    <t>4B8</t>
  </si>
  <si>
    <t>4B9</t>
  </si>
  <si>
    <t>4B10</t>
  </si>
  <si>
    <t>4B11</t>
  </si>
  <si>
    <t>4B12</t>
  </si>
  <si>
    <t>4B13</t>
  </si>
  <si>
    <t>4B14</t>
  </si>
  <si>
    <t>4B16</t>
  </si>
  <si>
    <t>4B17</t>
  </si>
  <si>
    <t>5B18</t>
  </si>
  <si>
    <t>5B20</t>
  </si>
  <si>
    <t>5B23</t>
  </si>
  <si>
    <t>5B24</t>
  </si>
  <si>
    <t>5B25</t>
  </si>
  <si>
    <t>5B26</t>
  </si>
  <si>
    <t>5B27</t>
  </si>
  <si>
    <t>5B28</t>
  </si>
  <si>
    <t>5B29</t>
  </si>
  <si>
    <t>5B32</t>
  </si>
  <si>
    <t>5B34</t>
  </si>
  <si>
    <t>6B35</t>
  </si>
  <si>
    <t>6B37</t>
  </si>
  <si>
    <t>6B38</t>
  </si>
  <si>
    <t>6B39</t>
  </si>
  <si>
    <t>6B40</t>
  </si>
  <si>
    <t>6B41</t>
  </si>
  <si>
    <t>6B42</t>
  </si>
  <si>
    <t>6B43</t>
  </si>
  <si>
    <t>6B44</t>
  </si>
  <si>
    <t>6B45</t>
  </si>
  <si>
    <t>6B46</t>
  </si>
  <si>
    <t>6B48</t>
  </si>
  <si>
    <t>7B1</t>
  </si>
  <si>
    <t>7B2</t>
  </si>
  <si>
    <t>7B3</t>
  </si>
  <si>
    <t>7B4</t>
  </si>
  <si>
    <t>7B5</t>
  </si>
  <si>
    <t>7B6</t>
  </si>
  <si>
    <t>7B7</t>
  </si>
  <si>
    <t>7B8</t>
  </si>
  <si>
    <t>7B9</t>
  </si>
  <si>
    <t>7B10</t>
  </si>
  <si>
    <t>7B11</t>
  </si>
  <si>
    <t>7B12</t>
  </si>
  <si>
    <t>7B13</t>
  </si>
  <si>
    <t>7B14</t>
  </si>
  <si>
    <t>7B15</t>
  </si>
  <si>
    <t>7B16</t>
  </si>
  <si>
    <t>7B17</t>
  </si>
  <si>
    <t>8B18</t>
  </si>
  <si>
    <t>8B19</t>
  </si>
  <si>
    <t>8B20</t>
  </si>
  <si>
    <t>8B21</t>
  </si>
  <si>
    <t>8B22</t>
  </si>
  <si>
    <t>8B23</t>
  </si>
  <si>
    <t>8B24</t>
  </si>
  <si>
    <t>8B25</t>
  </si>
  <si>
    <t>8B26</t>
  </si>
  <si>
    <t>8B27</t>
  </si>
  <si>
    <t>8B28</t>
  </si>
  <si>
    <t>8B29</t>
  </si>
  <si>
    <t>8B30</t>
  </si>
  <si>
    <t>8B31</t>
  </si>
  <si>
    <t>8B32</t>
  </si>
  <si>
    <t>8B33</t>
  </si>
  <si>
    <t>8B34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</si>
</sst>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800000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14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1612440</xdr:colOff>
      <xdr:row>2</xdr:row>
      <xdr:rowOff>180720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812760" cy="54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18"/>
  <sheetViews>
    <sheetView tabSelected="1" topLeftCell="T1" zoomScaleNormal="100" zoomScalePageLayoutView="106" workbookViewId="0">
      <selection activeCell="AH11" sqref="AH11"/>
    </sheetView>
  </sheetViews>
  <sheetFormatPr defaultColWidth="8.7109375" defaultRowHeight="14.25"/>
  <cols>
    <col min="1" max="1" width="31.28515625" customWidth="1"/>
    <col min="2" max="2" width="22.85546875" customWidth="1"/>
    <col min="3" max="3" width="5.42578125" customWidth="1"/>
    <col min="4" max="4" width="13.7109375" customWidth="1"/>
    <col min="5" max="6" width="13.42578125" customWidth="1"/>
    <col min="7" max="7" width="8.42578125" customWidth="1"/>
    <col min="8" max="8" width="19" customWidth="1"/>
    <col min="9" max="9" width="15.5703125" customWidth="1"/>
    <col min="10" max="10" width="16.28515625" customWidth="1"/>
    <col min="11" max="11" width="15.5703125" customWidth="1"/>
    <col min="12" max="12" width="5.140625" customWidth="1"/>
    <col min="13" max="13" width="16.28515625" customWidth="1"/>
    <col min="14" max="14" width="10.140625" customWidth="1"/>
    <col min="15" max="15" width="11.7109375" customWidth="1"/>
    <col min="16" max="16" width="9.28515625" customWidth="1"/>
    <col min="17" max="17" width="13" customWidth="1"/>
    <col min="18" max="19" width="13.28515625" customWidth="1"/>
    <col min="20" max="21" width="11.28515625" customWidth="1"/>
    <col min="22" max="22" width="14.5703125" customWidth="1"/>
    <col min="23" max="23" width="9" customWidth="1"/>
    <col min="24" max="24" width="10.140625" customWidth="1"/>
    <col min="25" max="25" width="14.7109375" customWidth="1"/>
    <col min="26" max="26" width="10.140625" customWidth="1"/>
    <col min="27" max="27" width="13.7109375" customWidth="1"/>
    <col min="28" max="28" width="18.28515625" customWidth="1"/>
    <col min="29" max="29" width="13.28515625" customWidth="1"/>
    <col min="30" max="30" width="13.42578125" customWidth="1"/>
    <col min="31" max="32" width="14" customWidth="1"/>
    <col min="33" max="33" width="16" customWidth="1"/>
  </cols>
  <sheetData>
    <row r="4" spans="1:33">
      <c r="A4" t="s">
        <v>0</v>
      </c>
    </row>
    <row r="5" spans="1:33" ht="27.75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2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3" t="s">
        <v>15</v>
      </c>
      <c r="P5" s="1" t="s">
        <v>16</v>
      </c>
      <c r="Q5" s="1" t="s">
        <v>17</v>
      </c>
      <c r="R5" s="1" t="s">
        <v>18</v>
      </c>
      <c r="S5" s="3" t="s">
        <v>19</v>
      </c>
      <c r="T5" s="1" t="s">
        <v>20</v>
      </c>
      <c r="U5" s="3" t="s">
        <v>21</v>
      </c>
      <c r="V5" s="3" t="s">
        <v>22</v>
      </c>
      <c r="W5" s="3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4" t="s">
        <v>31</v>
      </c>
      <c r="AF5" s="4" t="s">
        <v>32</v>
      </c>
      <c r="AG5" s="4" t="s">
        <v>33</v>
      </c>
    </row>
    <row r="6" spans="1:33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38</v>
      </c>
      <c r="G6" s="5" t="s">
        <v>39</v>
      </c>
      <c r="H6" s="5" t="s">
        <v>40</v>
      </c>
      <c r="I6" s="6" t="s">
        <v>41</v>
      </c>
      <c r="J6" s="7" t="s">
        <v>42</v>
      </c>
      <c r="K6" s="5"/>
      <c r="L6" s="5"/>
      <c r="M6" s="5"/>
      <c r="N6" s="5" t="s">
        <v>43</v>
      </c>
      <c r="O6" s="8">
        <v>260</v>
      </c>
      <c r="P6" s="8">
        <v>32</v>
      </c>
      <c r="Q6" s="8" t="s">
        <v>44</v>
      </c>
      <c r="R6" s="8" t="s">
        <v>45</v>
      </c>
      <c r="S6" s="9">
        <v>6</v>
      </c>
      <c r="T6" s="8" t="s">
        <v>46</v>
      </c>
      <c r="U6" s="9">
        <v>1</v>
      </c>
      <c r="V6" s="9"/>
      <c r="W6" s="9"/>
      <c r="X6" s="5"/>
      <c r="Y6" s="5"/>
      <c r="Z6" s="5" t="s">
        <v>47</v>
      </c>
      <c r="AA6" s="5"/>
      <c r="AB6" s="5"/>
      <c r="AC6" s="5"/>
      <c r="AD6" s="8" t="s">
        <v>48</v>
      </c>
      <c r="AE6" s="10">
        <f>IFERROR(INDEX('Bollard Meter markings'!$B$2:$B$185,MATCH(R6,'Bollard Meter markings'!$A$2:$A$185,0))+S6,"")</f>
        <v>291</v>
      </c>
      <c r="AF6" s="10">
        <f>IFERROR(INDEX('Bollard Meter markings'!$B$2:$B$185,MATCH(T6,'Bollard Meter markings'!$A$2:$A$185,0))+U6,"")</f>
        <v>31</v>
      </c>
      <c r="AG6" s="10">
        <f>IFERROR(ABS(AE6-AF6)-O6,"")</f>
        <v>0</v>
      </c>
    </row>
    <row r="7" spans="1:33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53</v>
      </c>
      <c r="G7" s="5" t="s">
        <v>39</v>
      </c>
      <c r="H7" s="5" t="s">
        <v>54</v>
      </c>
      <c r="I7" s="6" t="s">
        <v>55</v>
      </c>
      <c r="J7" s="7" t="s">
        <v>56</v>
      </c>
      <c r="K7" s="5"/>
      <c r="L7" s="5"/>
      <c r="M7" s="5"/>
      <c r="N7" s="5" t="s">
        <v>57</v>
      </c>
      <c r="O7" s="8">
        <v>161</v>
      </c>
      <c r="P7" s="8">
        <v>25</v>
      </c>
      <c r="Q7" s="8" t="s">
        <v>44</v>
      </c>
      <c r="R7" s="8" t="s">
        <v>58</v>
      </c>
      <c r="S7" s="9">
        <v>-5</v>
      </c>
      <c r="T7" s="8" t="s">
        <v>59</v>
      </c>
      <c r="U7" s="9">
        <v>-1</v>
      </c>
      <c r="V7" s="9"/>
      <c r="W7" s="9"/>
      <c r="X7" s="5">
        <v>520</v>
      </c>
      <c r="Y7" s="5"/>
      <c r="Z7" s="5" t="s">
        <v>60</v>
      </c>
      <c r="AA7" s="5">
        <v>400</v>
      </c>
      <c r="AB7" s="5"/>
      <c r="AC7" s="5">
        <v>920</v>
      </c>
      <c r="AD7" s="8" t="s">
        <v>61</v>
      </c>
      <c r="AE7" s="10">
        <f>IFERROR(INDEX('Bollard Meter markings'!$B$2:$B$185,MATCH(R7,'Bollard Meter markings'!$A$2:$A$185,0))+S7,"")</f>
        <v>1583</v>
      </c>
      <c r="AF7" s="10">
        <f>IFERROR(INDEX('Bollard Meter markings'!$B$2:$B$185,MATCH(T7,'Bollard Meter markings'!$A$2:$A$185,0))+U7,"")</f>
        <v>1422</v>
      </c>
      <c r="AG7" s="10">
        <f>IFERROR(ABS(AE7-AF7)-O7,"")</f>
        <v>0</v>
      </c>
    </row>
    <row r="8" spans="1:33">
      <c r="A8" s="5" t="s">
        <v>62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66</v>
      </c>
      <c r="G8" s="5" t="s">
        <v>39</v>
      </c>
      <c r="H8" s="5" t="s">
        <v>67</v>
      </c>
      <c r="I8" s="6" t="s">
        <v>68</v>
      </c>
      <c r="J8" s="5" t="s">
        <v>69</v>
      </c>
      <c r="K8" s="5"/>
      <c r="L8" s="5"/>
      <c r="M8" s="5"/>
      <c r="N8" s="5" t="s">
        <v>70</v>
      </c>
      <c r="O8" s="8">
        <v>192</v>
      </c>
      <c r="P8" s="8">
        <v>28</v>
      </c>
      <c r="Q8" s="8" t="s">
        <v>44</v>
      </c>
      <c r="R8" s="8" t="s">
        <v>71</v>
      </c>
      <c r="S8" s="9">
        <v>-9</v>
      </c>
      <c r="T8" s="8" t="s">
        <v>72</v>
      </c>
      <c r="U8" s="9">
        <v>4</v>
      </c>
      <c r="V8" s="9"/>
      <c r="W8" s="9"/>
      <c r="X8" s="5">
        <v>851</v>
      </c>
      <c r="Y8" s="5" t="s">
        <v>73</v>
      </c>
      <c r="Z8" s="5" t="s">
        <v>74</v>
      </c>
      <c r="AA8" s="5">
        <v>900</v>
      </c>
      <c r="AB8" s="5"/>
      <c r="AC8" s="5">
        <f>SUM(X8+AA8)</f>
        <v>1751</v>
      </c>
      <c r="AD8" s="8" t="s">
        <v>75</v>
      </c>
      <c r="AE8" s="10">
        <f>IFERROR(INDEX('Bollard Meter markings'!$B$2:$B$185,MATCH(R8,'Bollard Meter markings'!$A$2:$A$185,0))+S8,"")</f>
        <v>2099</v>
      </c>
      <c r="AF8" s="10">
        <f>IFERROR(INDEX('Bollard Meter markings'!$B$2:$B$185,MATCH(T8,'Bollard Meter markings'!$A$2:$A$185,0))+U8,"")</f>
        <v>1907</v>
      </c>
      <c r="AG8" s="10">
        <f>IFERROR(ABS(AE8-AF8)-O8,"")</f>
        <v>0</v>
      </c>
    </row>
    <row r="9" spans="1:33">
      <c r="A9" s="5" t="s">
        <v>76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80</v>
      </c>
      <c r="G9" s="5" t="s">
        <v>39</v>
      </c>
      <c r="H9" s="5" t="s">
        <v>81</v>
      </c>
      <c r="I9" s="6" t="s">
        <v>82</v>
      </c>
      <c r="J9" s="7" t="s">
        <v>83</v>
      </c>
      <c r="K9" s="5"/>
      <c r="L9" s="5"/>
      <c r="M9" s="5"/>
      <c r="N9" s="5" t="s">
        <v>84</v>
      </c>
      <c r="O9" s="8">
        <v>155</v>
      </c>
      <c r="P9" s="8">
        <v>24.5</v>
      </c>
      <c r="Q9" s="8" t="s">
        <v>85</v>
      </c>
      <c r="R9" s="8" t="s">
        <v>86</v>
      </c>
      <c r="S9" s="9">
        <v>4</v>
      </c>
      <c r="T9" s="8" t="s">
        <v>87</v>
      </c>
      <c r="U9" s="9">
        <v>-6</v>
      </c>
      <c r="V9" s="9"/>
      <c r="W9" s="9"/>
      <c r="X9" s="5">
        <v>500</v>
      </c>
      <c r="Y9" s="5" t="s">
        <v>88</v>
      </c>
      <c r="Z9" s="5" t="s">
        <v>89</v>
      </c>
      <c r="AA9" s="5">
        <v>657</v>
      </c>
      <c r="AB9" s="5"/>
      <c r="AC9" s="5">
        <f>SUM(X9+AA9)</f>
        <v>1157</v>
      </c>
      <c r="AD9" s="8" t="s">
        <v>90</v>
      </c>
      <c r="AE9" s="10">
        <f>IFERROR(INDEX('Bollard Meter markings'!$B$2:$B$185,MATCH(R9,'Bollard Meter markings'!$A$2:$A$185,0))+S9,"")</f>
        <v>1044</v>
      </c>
      <c r="AF9" s="10">
        <f>IFERROR(INDEX('Bollard Meter markings'!$B$2:$B$185,MATCH(T9,'Bollard Meter markings'!$A$2:$A$185,0))+U9,"")</f>
        <v>1199</v>
      </c>
      <c r="AG9" s="10">
        <f>IFERROR(ABS(AE9-AF9)-O9,"")</f>
        <v>0</v>
      </c>
    </row>
    <row r="10" spans="1:33">
      <c r="A10" s="5" t="s">
        <v>91</v>
      </c>
      <c r="B10" s="5" t="s">
        <v>92</v>
      </c>
      <c r="C10" s="5" t="s">
        <v>93</v>
      </c>
      <c r="D10" s="5" t="s">
        <v>94</v>
      </c>
      <c r="E10" s="5" t="s">
        <v>95</v>
      </c>
      <c r="F10" s="5" t="s">
        <v>95</v>
      </c>
      <c r="G10" s="5" t="s">
        <v>39</v>
      </c>
      <c r="H10" s="5" t="s">
        <v>96</v>
      </c>
      <c r="I10" s="6" t="s">
        <v>97</v>
      </c>
      <c r="J10" s="7" t="s">
        <v>98</v>
      </c>
      <c r="K10" s="5"/>
      <c r="L10" s="5"/>
      <c r="M10" s="5"/>
      <c r="N10" s="5" t="s">
        <v>43</v>
      </c>
      <c r="O10" s="8">
        <v>210</v>
      </c>
      <c r="P10" s="8">
        <v>31</v>
      </c>
      <c r="Q10" s="8" t="s">
        <v>44</v>
      </c>
      <c r="R10" s="8" t="s">
        <v>99</v>
      </c>
      <c r="S10" s="9">
        <v>0</v>
      </c>
      <c r="T10" s="8" t="s">
        <v>100</v>
      </c>
      <c r="U10" s="9">
        <v>0</v>
      </c>
      <c r="V10" s="9"/>
      <c r="W10" s="9"/>
      <c r="X10" s="5">
        <v>1038</v>
      </c>
      <c r="Y10" s="5"/>
      <c r="Z10" s="5" t="s">
        <v>47</v>
      </c>
      <c r="AA10" s="5"/>
      <c r="AB10" s="5"/>
      <c r="AC10" s="5">
        <v>1038</v>
      </c>
      <c r="AD10" s="8" t="s">
        <v>101</v>
      </c>
      <c r="AE10" s="10">
        <f>IFERROR(INDEX('Bollard Meter markings'!$B$2:$B$185,MATCH(R10,'Bollard Meter markings'!$A$2:$A$185,0))+S10,"")</f>
        <v>1858</v>
      </c>
      <c r="AF10" s="10">
        <f>IFERROR(INDEX('Bollard Meter markings'!$B$2:$B$185,MATCH(T10,'Bollard Meter markings'!$A$2:$A$185,0))+U10,"")</f>
        <v>1648</v>
      </c>
      <c r="AG10" s="10">
        <f>IFERROR(ABS(AE10-AF10)-O10,"")</f>
        <v>0</v>
      </c>
    </row>
    <row r="11" spans="1:33">
      <c r="A11" s="5" t="s">
        <v>102</v>
      </c>
      <c r="B11" s="5" t="s">
        <v>103</v>
      </c>
      <c r="C11" s="5" t="s">
        <v>104</v>
      </c>
      <c r="D11" s="5" t="s">
        <v>105</v>
      </c>
      <c r="E11" s="5" t="s">
        <v>106</v>
      </c>
      <c r="F11" s="5" t="s">
        <v>106</v>
      </c>
      <c r="G11" s="5" t="s">
        <v>39</v>
      </c>
      <c r="H11" s="5" t="s">
        <v>107</v>
      </c>
      <c r="I11" s="6" t="s">
        <v>108</v>
      </c>
      <c r="J11" s="5" t="s">
        <v>109</v>
      </c>
      <c r="K11" s="5"/>
      <c r="L11" s="5"/>
      <c r="M11" s="5"/>
      <c r="N11" s="5" t="s">
        <v>43</v>
      </c>
      <c r="O11" s="8">
        <v>366</v>
      </c>
      <c r="P11" s="8">
        <v>51</v>
      </c>
      <c r="Q11" s="8" t="s">
        <v>44</v>
      </c>
      <c r="R11" s="8" t="s">
        <v>110</v>
      </c>
      <c r="S11" s="9">
        <v>0</v>
      </c>
      <c r="T11" s="8" t="s">
        <v>111</v>
      </c>
      <c r="U11" s="9">
        <v>-2</v>
      </c>
      <c r="V11" s="9">
        <v>16.600000000000001</v>
      </c>
      <c r="W11" s="9">
        <v>16.600000000000001</v>
      </c>
      <c r="X11" s="5">
        <v>2136</v>
      </c>
      <c r="Y11" s="5" t="s">
        <v>112</v>
      </c>
      <c r="Z11" s="5" t="s">
        <v>47</v>
      </c>
      <c r="AA11" s="5">
        <v>2898</v>
      </c>
      <c r="AB11" s="5"/>
      <c r="AC11" s="5">
        <f>SUM(X11+AA11)</f>
        <v>5034</v>
      </c>
      <c r="AD11" s="8" t="s">
        <v>113</v>
      </c>
      <c r="AE11" s="10">
        <f>IFERROR(INDEX('Bollard Meter markings'!$B$2:$B$185,MATCH(R11,'Bollard Meter markings'!$A$2:$A$185,0))+S11,"")</f>
        <v>850</v>
      </c>
      <c r="AF11" s="10">
        <f>IFERROR(INDEX('Bollard Meter markings'!$B$2:$B$185,MATCH(T11,'Bollard Meter markings'!$A$2:$A$185,0))+U11,"")</f>
        <v>484</v>
      </c>
      <c r="AG11" s="10">
        <f>IFERROR(ABS(AE11-AF11)-O11,"")</f>
        <v>0</v>
      </c>
    </row>
    <row r="12" spans="1:33">
      <c r="A12" s="5" t="s">
        <v>114</v>
      </c>
      <c r="B12" s="5" t="s">
        <v>115</v>
      </c>
      <c r="C12" s="5" t="s">
        <v>64</v>
      </c>
      <c r="D12" s="5" t="s">
        <v>116</v>
      </c>
      <c r="E12" s="5" t="s">
        <v>117</v>
      </c>
      <c r="F12" s="5" t="s">
        <v>117</v>
      </c>
      <c r="G12" s="5" t="s">
        <v>39</v>
      </c>
      <c r="H12" s="5" t="s">
        <v>118</v>
      </c>
      <c r="I12" s="6" t="s">
        <v>119</v>
      </c>
      <c r="J12" s="5" t="s">
        <v>120</v>
      </c>
      <c r="K12" s="5"/>
      <c r="L12" s="5"/>
      <c r="M12" s="5"/>
      <c r="N12" s="5" t="s">
        <v>70</v>
      </c>
      <c r="O12" s="8">
        <v>175</v>
      </c>
      <c r="P12" s="8">
        <v>27.5</v>
      </c>
      <c r="Q12" s="8" t="s">
        <v>44</v>
      </c>
      <c r="R12" s="8" t="s">
        <v>58</v>
      </c>
      <c r="S12" s="9">
        <v>3</v>
      </c>
      <c r="T12" s="8" t="s">
        <v>121</v>
      </c>
      <c r="U12" s="9">
        <v>7</v>
      </c>
      <c r="V12" s="9"/>
      <c r="W12" s="9"/>
      <c r="X12" s="5">
        <v>970</v>
      </c>
      <c r="Y12" s="5" t="s">
        <v>73</v>
      </c>
      <c r="Z12" s="5" t="s">
        <v>74</v>
      </c>
      <c r="AA12" s="5">
        <v>1000</v>
      </c>
      <c r="AB12" s="5"/>
      <c r="AC12" s="5">
        <f>SUM(X12+AA12)</f>
        <v>1970</v>
      </c>
      <c r="AD12" s="8" t="s">
        <v>61</v>
      </c>
      <c r="AE12" s="10">
        <f>IFERROR(INDEX('Bollard Meter markings'!$B$2:$B$185,MATCH(R12,'Bollard Meter markings'!$A$2:$A$185,0))+S12,"")</f>
        <v>1591</v>
      </c>
      <c r="AF12" s="10">
        <f>IFERROR(INDEX('Bollard Meter markings'!$B$2:$B$185,MATCH(T12,'Bollard Meter markings'!$A$2:$A$185,0))+U12,"")</f>
        <v>1415</v>
      </c>
      <c r="AG12" s="10">
        <f>IFERROR(ABS(AE12-AF12)-O12,"")</f>
        <v>1</v>
      </c>
    </row>
    <row r="13" spans="1:33">
      <c r="A13" s="5" t="s">
        <v>122</v>
      </c>
      <c r="B13" s="5" t="s">
        <v>123</v>
      </c>
      <c r="C13" s="5" t="s">
        <v>124</v>
      </c>
      <c r="D13" s="5" t="s">
        <v>125</v>
      </c>
      <c r="E13" s="5" t="s">
        <v>126</v>
      </c>
      <c r="F13" s="5" t="s">
        <v>126</v>
      </c>
      <c r="G13" s="5" t="s">
        <v>39</v>
      </c>
      <c r="H13" s="5" t="s">
        <v>127</v>
      </c>
      <c r="I13" s="6" t="s">
        <v>128</v>
      </c>
      <c r="J13" s="7" t="s">
        <v>129</v>
      </c>
      <c r="K13" s="5"/>
      <c r="L13" s="5"/>
      <c r="M13" s="5"/>
      <c r="N13" s="5" t="s">
        <v>130</v>
      </c>
      <c r="O13" s="8">
        <v>350</v>
      </c>
      <c r="P13" s="8">
        <v>42</v>
      </c>
      <c r="Q13" s="8" t="s">
        <v>85</v>
      </c>
      <c r="R13" s="8" t="s">
        <v>131</v>
      </c>
      <c r="S13" s="9">
        <v>-4</v>
      </c>
      <c r="T13" s="8" t="s">
        <v>132</v>
      </c>
      <c r="U13" s="9">
        <v>2</v>
      </c>
      <c r="V13" s="9"/>
      <c r="W13" s="9"/>
      <c r="X13" s="5">
        <v>1129</v>
      </c>
      <c r="Y13" s="5"/>
      <c r="Z13" s="5" t="s">
        <v>133</v>
      </c>
      <c r="AA13" s="5">
        <v>1200</v>
      </c>
      <c r="AB13" s="5"/>
      <c r="AC13" s="5">
        <f>SUM(X13+AA13)</f>
        <v>2329</v>
      </c>
      <c r="AD13" s="8" t="s">
        <v>90</v>
      </c>
      <c r="AE13" s="10">
        <f>IFERROR(INDEX('Bollard Meter markings'!$B$2:$B$185,MATCH(R13,'Bollard Meter markings'!$A$2:$A$185,0))+S13,"")</f>
        <v>946</v>
      </c>
      <c r="AF13" s="10">
        <f>IFERROR(INDEX('Bollard Meter markings'!$B$2:$B$185,MATCH(T13,'Bollard Meter markings'!$A$2:$A$185,0))+U13,"")</f>
        <v>1297</v>
      </c>
      <c r="AG13" s="10">
        <f>IFERROR(ABS(AE13-AF13)-O13,"")</f>
        <v>1</v>
      </c>
    </row>
    <row r="14" spans="1:33">
      <c r="A14" s="5" t="s">
        <v>134</v>
      </c>
      <c r="B14" s="5" t="s">
        <v>135</v>
      </c>
      <c r="C14" s="5" t="s">
        <v>64</v>
      </c>
      <c r="D14" s="5" t="s">
        <v>136</v>
      </c>
      <c r="E14" s="5" t="s">
        <v>137</v>
      </c>
      <c r="F14" s="5" t="s">
        <v>137</v>
      </c>
      <c r="G14" s="5" t="s">
        <v>39</v>
      </c>
      <c r="H14" s="5" t="s">
        <v>138</v>
      </c>
      <c r="I14" s="6" t="s">
        <v>139</v>
      </c>
      <c r="J14" s="7" t="s">
        <v>140</v>
      </c>
      <c r="K14" s="5"/>
      <c r="L14" s="5"/>
      <c r="M14" s="5"/>
      <c r="N14" s="5" t="s">
        <v>43</v>
      </c>
      <c r="O14" s="8">
        <v>149</v>
      </c>
      <c r="P14" s="8">
        <v>24</v>
      </c>
      <c r="Q14" s="8" t="s">
        <v>44</v>
      </c>
      <c r="R14" s="8" t="s">
        <v>141</v>
      </c>
      <c r="S14" s="9">
        <v>-1</v>
      </c>
      <c r="T14" s="8" t="s">
        <v>142</v>
      </c>
      <c r="U14" s="9">
        <v>1</v>
      </c>
      <c r="V14" s="9"/>
      <c r="W14" s="9"/>
      <c r="X14" s="5">
        <v>589</v>
      </c>
      <c r="Y14" s="5"/>
      <c r="Z14" s="5" t="s">
        <v>47</v>
      </c>
      <c r="AA14" s="5">
        <v>620</v>
      </c>
      <c r="AB14" s="5"/>
      <c r="AC14" s="5">
        <f>SUM(X14+AA14)</f>
        <v>1209</v>
      </c>
      <c r="AD14" s="8" t="s">
        <v>101</v>
      </c>
      <c r="AE14" s="10">
        <f>IFERROR(INDEX('Bollard Meter markings'!$B$2:$B$185,MATCH(R14,'Bollard Meter markings'!$A$2:$A$185,0))+S14,"")</f>
        <v>1827</v>
      </c>
      <c r="AF14" s="10">
        <f>IFERROR(INDEX('Bollard Meter markings'!$B$2:$B$185,MATCH(T14,'Bollard Meter markings'!$A$2:$A$185,0))+U14,"")</f>
        <v>1679</v>
      </c>
      <c r="AG14" s="10">
        <f>IFERROR(ABS(AE14-AF14)-O14,"")</f>
        <v>-1</v>
      </c>
    </row>
    <row r="15" spans="1:33">
      <c r="A15" s="5" t="s">
        <v>143</v>
      </c>
      <c r="B15" s="5" t="s">
        <v>144</v>
      </c>
      <c r="C15" s="5" t="s">
        <v>124</v>
      </c>
      <c r="D15" s="5" t="s">
        <v>145</v>
      </c>
      <c r="E15" s="5" t="s">
        <v>146</v>
      </c>
      <c r="F15" s="5" t="s">
        <v>146</v>
      </c>
      <c r="G15" s="5" t="s">
        <v>39</v>
      </c>
      <c r="H15" s="5" t="s">
        <v>147</v>
      </c>
      <c r="I15" s="6" t="s">
        <v>148</v>
      </c>
      <c r="J15" s="7" t="s">
        <v>149</v>
      </c>
      <c r="K15" s="5"/>
      <c r="L15" s="5"/>
      <c r="M15" s="5"/>
      <c r="N15" s="5" t="s">
        <v>150</v>
      </c>
      <c r="O15" s="8">
        <v>175</v>
      </c>
      <c r="P15" s="8">
        <v>27</v>
      </c>
      <c r="Q15" s="8" t="s">
        <v>44</v>
      </c>
      <c r="R15" s="8" t="s">
        <v>151</v>
      </c>
      <c r="S15" s="9">
        <v>-7</v>
      </c>
      <c r="T15" s="8" t="s">
        <v>152</v>
      </c>
      <c r="U15" s="9">
        <v>-2</v>
      </c>
      <c r="V15" s="9"/>
      <c r="W15" s="9"/>
      <c r="X15" s="5">
        <v>394</v>
      </c>
      <c r="Y15" s="5"/>
      <c r="Z15" s="5" t="s">
        <v>153</v>
      </c>
      <c r="AA15" s="5">
        <v>1375</v>
      </c>
      <c r="AB15" s="5"/>
      <c r="AC15" s="5">
        <f>SUM(X15+AA15)</f>
        <v>1769</v>
      </c>
      <c r="AD15" s="8" t="s">
        <v>48</v>
      </c>
      <c r="AE15" s="10">
        <f>IFERROR(INDEX('Bollard Meter markings'!$B$2:$B$185,MATCH(R15,'Bollard Meter markings'!$A$2:$A$185,0))+S15,"")</f>
        <v>248</v>
      </c>
      <c r="AF15" s="10">
        <f>IFERROR(INDEX('Bollard Meter markings'!$B$2:$B$185,MATCH(T15,'Bollard Meter markings'!$A$2:$A$185,0))+U15,"")</f>
        <v>73</v>
      </c>
      <c r="AG15" s="10">
        <f>IFERROR(ABS(AE15-AF15)-O15,"")</f>
        <v>0</v>
      </c>
    </row>
    <row r="16" spans="1:33">
      <c r="A16" s="5" t="s">
        <v>154</v>
      </c>
      <c r="B16" s="5" t="s">
        <v>155</v>
      </c>
      <c r="C16" s="5" t="s">
        <v>124</v>
      </c>
      <c r="D16" s="5" t="s">
        <v>156</v>
      </c>
      <c r="E16" s="5" t="s">
        <v>157</v>
      </c>
      <c r="F16" s="5" t="s">
        <v>157</v>
      </c>
      <c r="G16" s="5" t="s">
        <v>158</v>
      </c>
      <c r="H16" s="5" t="s">
        <v>54</v>
      </c>
      <c r="I16" s="6" t="s">
        <v>159</v>
      </c>
      <c r="J16" s="7" t="s">
        <v>160</v>
      </c>
      <c r="K16" s="5" t="s">
        <v>161</v>
      </c>
      <c r="L16" s="5"/>
      <c r="M16" s="5" t="s">
        <v>162</v>
      </c>
      <c r="N16" s="5" t="s">
        <v>163</v>
      </c>
      <c r="O16" s="8">
        <v>366</v>
      </c>
      <c r="P16" s="8"/>
      <c r="Q16" s="8" t="s">
        <v>44</v>
      </c>
      <c r="R16" s="8" t="s">
        <v>110</v>
      </c>
      <c r="S16" s="9">
        <v>0</v>
      </c>
      <c r="T16" s="8" t="s">
        <v>111</v>
      </c>
      <c r="U16" s="9">
        <v>-2</v>
      </c>
      <c r="V16" s="9">
        <v>14.2</v>
      </c>
      <c r="W16" s="9">
        <v>14.2</v>
      </c>
      <c r="X16" s="5">
        <v>2888</v>
      </c>
      <c r="Y16" s="5" t="s">
        <v>47</v>
      </c>
      <c r="Z16" s="5" t="s">
        <v>74</v>
      </c>
      <c r="AA16" s="5">
        <v>1586</v>
      </c>
      <c r="AB16" s="8"/>
      <c r="AC16" s="5">
        <f>SUM(X16+AA16)</f>
        <v>4474</v>
      </c>
      <c r="AD16" s="8" t="s">
        <v>113</v>
      </c>
      <c r="AE16" s="10">
        <f>IFERROR(INDEX('Bollard Meter markings'!$B$2:$B$185,MATCH(R16,'Bollard Meter markings'!$A$2:$A$185,0))+S16,"")</f>
        <v>850</v>
      </c>
      <c r="AF16" s="10">
        <f>IFERROR(INDEX('Bollard Meter markings'!$B$2:$B$185,MATCH(T16,'Bollard Meter markings'!$A$2:$A$185,0))+U16,"")</f>
        <v>484</v>
      </c>
      <c r="AG16" s="10">
        <f>IFERROR(ABS(AE16-AF16)-O16,"")</f>
        <v>0</v>
      </c>
    </row>
    <row r="17" spans="1:33">
      <c r="A17" s="5" t="s">
        <v>164</v>
      </c>
      <c r="B17" s="5" t="s">
        <v>165</v>
      </c>
      <c r="C17" s="5" t="s">
        <v>64</v>
      </c>
      <c r="D17" s="5" t="s">
        <v>166</v>
      </c>
      <c r="E17" s="5" t="s">
        <v>167</v>
      </c>
      <c r="F17" s="5" t="s">
        <v>167</v>
      </c>
      <c r="G17" s="5" t="s">
        <v>158</v>
      </c>
      <c r="H17" s="5" t="s">
        <v>168</v>
      </c>
      <c r="I17" s="6" t="s">
        <v>169</v>
      </c>
      <c r="J17" s="5" t="s">
        <v>170</v>
      </c>
      <c r="K17" s="5" t="s">
        <v>171</v>
      </c>
      <c r="L17" s="5"/>
      <c r="M17" s="7" t="s">
        <v>172</v>
      </c>
      <c r="N17" s="5" t="s">
        <v>70</v>
      </c>
      <c r="O17" s="8">
        <v>184</v>
      </c>
      <c r="P17" s="8"/>
      <c r="Q17" s="8" t="s">
        <v>85</v>
      </c>
      <c r="R17" s="8" t="s">
        <v>173</v>
      </c>
      <c r="S17" s="9">
        <v>5</v>
      </c>
      <c r="T17" s="8" t="s">
        <v>174</v>
      </c>
      <c r="U17" s="9">
        <v>-7</v>
      </c>
      <c r="V17" s="9">
        <v>9.1</v>
      </c>
      <c r="W17" s="9">
        <v>9.5</v>
      </c>
      <c r="X17" s="5">
        <v>746</v>
      </c>
      <c r="Y17" s="5" t="s">
        <v>73</v>
      </c>
      <c r="Z17" s="5" t="s">
        <v>74</v>
      </c>
      <c r="AA17" s="5">
        <v>642</v>
      </c>
      <c r="AB17" s="8"/>
      <c r="AC17" s="5">
        <f>SUM(X17+AA17)</f>
        <v>1388</v>
      </c>
      <c r="AD17" s="8" t="s">
        <v>90</v>
      </c>
      <c r="AE17" s="10">
        <f>IFERROR(INDEX('Bollard Meter markings'!$B$2:$B$185,MATCH(R17,'Bollard Meter markings'!$A$2:$A$185,0))+S17,"")</f>
        <v>1030</v>
      </c>
      <c r="AF17" s="10">
        <f>IFERROR(INDEX('Bollard Meter markings'!$B$2:$B$185,MATCH(T17,'Bollard Meter markings'!$A$2:$A$185,0))+U17,"")</f>
        <v>1213</v>
      </c>
      <c r="AG17" s="10">
        <f>IFERROR(ABS(AE17-AF17)-O17,"")</f>
        <v>-1</v>
      </c>
    </row>
    <row r="18" spans="1:33">
      <c r="A18" s="5" t="s">
        <v>175</v>
      </c>
      <c r="B18" s="5" t="s">
        <v>176</v>
      </c>
      <c r="C18" s="5" t="s">
        <v>177</v>
      </c>
      <c r="D18" s="5" t="s">
        <v>178</v>
      </c>
      <c r="E18" s="5" t="s">
        <v>179</v>
      </c>
      <c r="F18" s="5" t="s">
        <v>179</v>
      </c>
      <c r="G18" s="5" t="s">
        <v>158</v>
      </c>
      <c r="H18" s="5" t="s">
        <v>180</v>
      </c>
      <c r="I18" s="6" t="s">
        <v>181</v>
      </c>
      <c r="J18" s="7" t="s">
        <v>182</v>
      </c>
      <c r="K18" s="5" t="s">
        <v>183</v>
      </c>
      <c r="L18" s="5"/>
      <c r="M18" s="7" t="s">
        <v>184</v>
      </c>
      <c r="N18" s="5" t="s">
        <v>43</v>
      </c>
      <c r="O18" s="8">
        <v>113</v>
      </c>
      <c r="P18" s="8"/>
      <c r="Q18" s="8" t="s">
        <v>44</v>
      </c>
      <c r="R18" s="8" t="s">
        <v>185</v>
      </c>
      <c r="S18" s="9">
        <v>-3</v>
      </c>
      <c r="T18" s="8" t="s">
        <v>186</v>
      </c>
      <c r="U18" s="9">
        <v>3</v>
      </c>
      <c r="V18" s="9">
        <v>6.6</v>
      </c>
      <c r="W18" s="9">
        <v>7.7</v>
      </c>
      <c r="X18" s="5">
        <v>175</v>
      </c>
      <c r="Y18" s="5"/>
      <c r="Z18" s="5" t="s">
        <v>47</v>
      </c>
      <c r="AA18" s="5">
        <v>63</v>
      </c>
      <c r="AB18" s="8"/>
      <c r="AC18" s="5">
        <f>SUM(X18+AA18)</f>
        <v>238</v>
      </c>
      <c r="AD18" s="8" t="s">
        <v>101</v>
      </c>
      <c r="AE18" s="10">
        <f>IFERROR(INDEX('Bollard Meter markings'!$B$2:$B$185,MATCH(R18,'Bollard Meter markings'!$A$2:$A$185,0))+S18,"")</f>
        <v>1810</v>
      </c>
      <c r="AF18" s="10">
        <f>IFERROR(INDEX('Bollard Meter markings'!$B$2:$B$185,MATCH(T18,'Bollard Meter markings'!$A$2:$A$185,0))+U18,"")</f>
        <v>1696</v>
      </c>
      <c r="AG18" s="10">
        <f>IFERROR(ABS(AE18-AF18)-O18,"")</f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6" customWidth="1"/>
    <col min="2" max="2" width="12" customWidth="1"/>
  </cols>
  <sheetData>
    <row r="1" spans="1:2">
      <c r="A1" s="11" t="s">
        <v>187</v>
      </c>
      <c r="B1" s="11" t="s">
        <v>188</v>
      </c>
    </row>
    <row r="2" spans="1:2">
      <c r="A2" s="11" t="s">
        <v>189</v>
      </c>
      <c r="B2" s="11">
        <v>15</v>
      </c>
    </row>
    <row r="3" spans="1:2">
      <c r="A3" s="11" t="s">
        <v>46</v>
      </c>
      <c r="B3" s="11">
        <v>30</v>
      </c>
    </row>
    <row r="4" spans="1:2">
      <c r="A4" s="11" t="s">
        <v>190</v>
      </c>
      <c r="B4" s="11">
        <v>45</v>
      </c>
    </row>
    <row r="5" spans="1:2">
      <c r="A5" s="11" t="s">
        <v>191</v>
      </c>
      <c r="B5" s="11">
        <v>60</v>
      </c>
    </row>
    <row r="6" spans="1:2">
      <c r="A6" s="11" t="s">
        <v>152</v>
      </c>
      <c r="B6" s="11">
        <v>75</v>
      </c>
    </row>
    <row r="7" spans="1:2">
      <c r="A7" s="11" t="s">
        <v>192</v>
      </c>
      <c r="B7" s="11">
        <v>90</v>
      </c>
    </row>
    <row r="8" spans="1:2">
      <c r="A8" s="11" t="s">
        <v>193</v>
      </c>
      <c r="B8" s="11">
        <v>105</v>
      </c>
    </row>
    <row r="9" spans="1:2">
      <c r="A9" s="11" t="s">
        <v>194</v>
      </c>
      <c r="B9" s="11">
        <v>120</v>
      </c>
    </row>
    <row r="10" spans="1:2">
      <c r="A10" s="11" t="s">
        <v>195</v>
      </c>
      <c r="B10" s="11">
        <v>135</v>
      </c>
    </row>
    <row r="11" spans="1:2">
      <c r="A11" s="11" t="s">
        <v>196</v>
      </c>
      <c r="B11" s="11">
        <v>150</v>
      </c>
    </row>
    <row r="12" spans="1:2">
      <c r="A12" s="11" t="s">
        <v>197</v>
      </c>
      <c r="B12" s="11">
        <v>165</v>
      </c>
    </row>
    <row r="13" spans="1:2">
      <c r="A13" s="11" t="s">
        <v>198</v>
      </c>
      <c r="B13" s="11">
        <v>180</v>
      </c>
    </row>
    <row r="14" spans="1:2">
      <c r="A14" s="11" t="s">
        <v>199</v>
      </c>
      <c r="B14" s="11">
        <v>195</v>
      </c>
    </row>
    <row r="15" spans="1:2">
      <c r="A15" s="11" t="s">
        <v>200</v>
      </c>
      <c r="B15" s="11">
        <v>210</v>
      </c>
    </row>
    <row r="16" spans="1:2">
      <c r="A16" s="11" t="s">
        <v>201</v>
      </c>
      <c r="B16" s="11">
        <v>225</v>
      </c>
    </row>
    <row r="17" spans="1:2">
      <c r="A17" s="11" t="s">
        <v>202</v>
      </c>
      <c r="B17" s="11">
        <v>240</v>
      </c>
    </row>
    <row r="18" spans="1:2">
      <c r="A18" s="11" t="s">
        <v>151</v>
      </c>
      <c r="B18" s="11">
        <v>255</v>
      </c>
    </row>
    <row r="19" spans="1:2">
      <c r="A19" s="11" t="s">
        <v>203</v>
      </c>
      <c r="B19" s="11">
        <v>270</v>
      </c>
    </row>
    <row r="20" spans="1:2">
      <c r="A20" s="11" t="s">
        <v>45</v>
      </c>
      <c r="B20" s="11">
        <v>285</v>
      </c>
    </row>
    <row r="21" spans="1:2">
      <c r="A21" s="11" t="s">
        <v>204</v>
      </c>
      <c r="B21" s="11">
        <v>300</v>
      </c>
    </row>
    <row r="22" spans="1:2">
      <c r="A22" s="11" t="s">
        <v>205</v>
      </c>
      <c r="B22" s="11">
        <v>315</v>
      </c>
    </row>
    <row r="23" spans="1:2">
      <c r="A23" s="11" t="s">
        <v>206</v>
      </c>
      <c r="B23" s="11">
        <v>330</v>
      </c>
    </row>
    <row r="24" spans="1:2">
      <c r="A24" s="11" t="s">
        <v>207</v>
      </c>
      <c r="B24" s="11">
        <v>345</v>
      </c>
    </row>
    <row r="25" spans="1:2">
      <c r="A25" s="11" t="s">
        <v>208</v>
      </c>
      <c r="B25" s="11">
        <v>360</v>
      </c>
    </row>
    <row r="26" spans="1:2">
      <c r="A26" s="11" t="s">
        <v>209</v>
      </c>
      <c r="B26" s="11">
        <v>375</v>
      </c>
    </row>
    <row r="27" spans="1:2">
      <c r="A27" s="11" t="s">
        <v>210</v>
      </c>
      <c r="B27" s="11">
        <v>390</v>
      </c>
    </row>
    <row r="28" spans="1:2">
      <c r="A28" s="11" t="s">
        <v>211</v>
      </c>
      <c r="B28" s="11">
        <v>405</v>
      </c>
    </row>
    <row r="29" spans="1:2">
      <c r="A29" s="11" t="s">
        <v>212</v>
      </c>
      <c r="B29" s="11">
        <v>420</v>
      </c>
    </row>
    <row r="30" spans="1:2">
      <c r="A30" s="11" t="s">
        <v>213</v>
      </c>
      <c r="B30" s="11">
        <v>426</v>
      </c>
    </row>
    <row r="31" spans="1:2">
      <c r="A31" s="11" t="s">
        <v>214</v>
      </c>
      <c r="B31" s="11">
        <v>434</v>
      </c>
    </row>
    <row r="32" spans="1:2">
      <c r="A32" s="11" t="s">
        <v>215</v>
      </c>
      <c r="B32" s="11">
        <v>442</v>
      </c>
    </row>
    <row r="33" spans="1:2">
      <c r="A33" s="11" t="s">
        <v>216</v>
      </c>
      <c r="B33" s="11">
        <v>450</v>
      </c>
    </row>
    <row r="34" spans="1:2">
      <c r="A34" s="11" t="s">
        <v>217</v>
      </c>
      <c r="B34" s="11">
        <v>456</v>
      </c>
    </row>
    <row r="35" spans="1:2">
      <c r="A35" s="11" t="s">
        <v>218</v>
      </c>
      <c r="B35" s="11">
        <v>464</v>
      </c>
    </row>
    <row r="36" spans="1:2">
      <c r="A36" s="11" t="s">
        <v>219</v>
      </c>
      <c r="B36" s="11">
        <v>472</v>
      </c>
    </row>
    <row r="37" spans="1:2">
      <c r="A37" s="11" t="s">
        <v>220</v>
      </c>
      <c r="B37" s="11">
        <v>480</v>
      </c>
    </row>
    <row r="38" spans="1:2">
      <c r="A38" s="11" t="s">
        <v>111</v>
      </c>
      <c r="B38" s="11">
        <v>486</v>
      </c>
    </row>
    <row r="39" spans="1:2">
      <c r="A39" s="11" t="s">
        <v>221</v>
      </c>
      <c r="B39" s="11">
        <v>494</v>
      </c>
    </row>
    <row r="40" spans="1:2">
      <c r="A40" s="11" t="s">
        <v>222</v>
      </c>
      <c r="B40" s="11">
        <v>500</v>
      </c>
    </row>
    <row r="41" spans="1:2">
      <c r="A41" s="11" t="s">
        <v>223</v>
      </c>
      <c r="B41" s="11">
        <v>509</v>
      </c>
    </row>
    <row r="42" spans="1:2">
      <c r="A42" s="11" t="s">
        <v>224</v>
      </c>
      <c r="B42" s="11">
        <v>517</v>
      </c>
    </row>
    <row r="43" spans="1:2">
      <c r="A43" s="11" t="s">
        <v>225</v>
      </c>
      <c r="B43" s="11">
        <v>525</v>
      </c>
    </row>
    <row r="44" spans="1:2">
      <c r="A44" s="11" t="s">
        <v>226</v>
      </c>
      <c r="B44" s="11">
        <v>540</v>
      </c>
    </row>
    <row r="45" spans="1:2">
      <c r="A45" s="11" t="s">
        <v>227</v>
      </c>
      <c r="B45" s="11">
        <v>555</v>
      </c>
    </row>
    <row r="46" spans="1:2">
      <c r="A46" s="11" t="s">
        <v>228</v>
      </c>
      <c r="B46" s="11">
        <v>570</v>
      </c>
    </row>
    <row r="47" spans="1:2">
      <c r="A47" s="11" t="s">
        <v>229</v>
      </c>
      <c r="B47" s="11">
        <v>585</v>
      </c>
    </row>
    <row r="48" spans="1:2">
      <c r="A48" s="11" t="s">
        <v>230</v>
      </c>
      <c r="B48" s="11">
        <v>600</v>
      </c>
    </row>
    <row r="49" spans="1:2">
      <c r="A49" s="11" t="s">
        <v>231</v>
      </c>
      <c r="B49" s="11">
        <v>615</v>
      </c>
    </row>
    <row r="50" spans="1:2">
      <c r="A50" s="11" t="s">
        <v>232</v>
      </c>
      <c r="B50" s="11">
        <v>630</v>
      </c>
    </row>
    <row r="51" spans="1:2">
      <c r="A51" s="11" t="s">
        <v>233</v>
      </c>
      <c r="B51" s="11">
        <v>645</v>
      </c>
    </row>
    <row r="52" spans="1:2">
      <c r="A52" s="11" t="s">
        <v>234</v>
      </c>
      <c r="B52" s="11">
        <v>660</v>
      </c>
    </row>
    <row r="53" spans="1:2">
      <c r="A53" s="11" t="s">
        <v>235</v>
      </c>
      <c r="B53" s="11">
        <v>675</v>
      </c>
    </row>
    <row r="54" spans="1:2">
      <c r="A54" s="11" t="s">
        <v>236</v>
      </c>
      <c r="B54" s="11">
        <v>690</v>
      </c>
    </row>
    <row r="55" spans="1:2">
      <c r="A55" s="11" t="s">
        <v>237</v>
      </c>
      <c r="B55" s="11">
        <v>705</v>
      </c>
    </row>
    <row r="56" spans="1:2">
      <c r="A56" s="11" t="s">
        <v>238</v>
      </c>
      <c r="B56" s="11">
        <v>720</v>
      </c>
    </row>
    <row r="57" spans="1:2">
      <c r="A57" s="11" t="s">
        <v>239</v>
      </c>
      <c r="B57" s="11">
        <v>735</v>
      </c>
    </row>
    <row r="58" spans="1:2">
      <c r="A58" s="11" t="s">
        <v>240</v>
      </c>
      <c r="B58" s="11">
        <v>750</v>
      </c>
    </row>
    <row r="59" spans="1:2">
      <c r="A59" s="11" t="s">
        <v>241</v>
      </c>
      <c r="B59" s="11">
        <v>765</v>
      </c>
    </row>
    <row r="60" spans="1:2">
      <c r="A60" s="11" t="s">
        <v>242</v>
      </c>
      <c r="B60" s="11">
        <v>780</v>
      </c>
    </row>
    <row r="61" spans="1:2">
      <c r="A61" s="11" t="s">
        <v>243</v>
      </c>
      <c r="B61" s="11">
        <v>795</v>
      </c>
    </row>
    <row r="62" spans="1:2">
      <c r="A62" s="11" t="s">
        <v>244</v>
      </c>
      <c r="B62" s="11">
        <v>810</v>
      </c>
    </row>
    <row r="63" spans="1:2">
      <c r="A63" s="11" t="s">
        <v>245</v>
      </c>
      <c r="B63" s="11">
        <v>825</v>
      </c>
    </row>
    <row r="64" spans="1:2">
      <c r="A64" s="11" t="s">
        <v>246</v>
      </c>
      <c r="B64" s="11">
        <v>835</v>
      </c>
    </row>
    <row r="65" spans="1:2">
      <c r="A65" s="11" t="s">
        <v>247</v>
      </c>
      <c r="B65" s="11">
        <v>845</v>
      </c>
    </row>
    <row r="66" spans="1:2">
      <c r="A66" s="11" t="s">
        <v>110</v>
      </c>
      <c r="B66" s="11">
        <v>850</v>
      </c>
    </row>
    <row r="67" spans="1:2">
      <c r="A67" s="11" t="s">
        <v>248</v>
      </c>
      <c r="B67" s="11">
        <v>855</v>
      </c>
    </row>
    <row r="68" spans="1:2">
      <c r="A68" s="11" t="s">
        <v>249</v>
      </c>
      <c r="B68" s="11">
        <v>860</v>
      </c>
    </row>
    <row r="69" spans="1:2">
      <c r="A69" s="11" t="s">
        <v>250</v>
      </c>
      <c r="B69" s="11">
        <v>865</v>
      </c>
    </row>
    <row r="70" spans="1:2">
      <c r="A70" s="11" t="s">
        <v>251</v>
      </c>
      <c r="B70" s="11">
        <v>875</v>
      </c>
    </row>
    <row r="71" spans="1:2">
      <c r="A71" s="11" t="s">
        <v>252</v>
      </c>
      <c r="B71" s="11">
        <v>890</v>
      </c>
    </row>
    <row r="72" spans="1:2">
      <c r="A72" s="11" t="s">
        <v>253</v>
      </c>
      <c r="B72" s="11">
        <v>905</v>
      </c>
    </row>
    <row r="73" spans="1:2">
      <c r="A73" s="11" t="s">
        <v>254</v>
      </c>
      <c r="B73" s="11">
        <v>920</v>
      </c>
    </row>
    <row r="74" spans="1:2">
      <c r="A74" s="11" t="s">
        <v>255</v>
      </c>
      <c r="B74" s="11">
        <v>935</v>
      </c>
    </row>
    <row r="75" spans="1:2">
      <c r="A75" s="11" t="s">
        <v>131</v>
      </c>
      <c r="B75" s="11">
        <v>950</v>
      </c>
    </row>
    <row r="76" spans="1:2">
      <c r="A76" s="11" t="s">
        <v>256</v>
      </c>
      <c r="B76" s="11">
        <v>965</v>
      </c>
    </row>
    <row r="77" spans="1:2">
      <c r="A77" s="11" t="s">
        <v>257</v>
      </c>
      <c r="B77" s="11">
        <v>980</v>
      </c>
    </row>
    <row r="78" spans="1:2">
      <c r="A78" s="11" t="s">
        <v>258</v>
      </c>
      <c r="B78" s="11">
        <v>995</v>
      </c>
    </row>
    <row r="79" spans="1:2">
      <c r="A79" s="11" t="s">
        <v>259</v>
      </c>
      <c r="B79" s="11">
        <v>1010</v>
      </c>
    </row>
    <row r="80" spans="1:2">
      <c r="A80" s="11" t="s">
        <v>173</v>
      </c>
      <c r="B80" s="11">
        <v>1025</v>
      </c>
    </row>
    <row r="81" spans="1:2">
      <c r="A81" s="11" t="s">
        <v>86</v>
      </c>
      <c r="B81" s="11">
        <v>1040</v>
      </c>
    </row>
    <row r="82" spans="1:2">
      <c r="A82" s="11" t="s">
        <v>260</v>
      </c>
      <c r="B82" s="11">
        <v>1055</v>
      </c>
    </row>
    <row r="83" spans="1:2">
      <c r="A83" s="11" t="s">
        <v>261</v>
      </c>
      <c r="B83" s="11">
        <v>1070</v>
      </c>
    </row>
    <row r="84" spans="1:2">
      <c r="A84" s="11" t="s">
        <v>262</v>
      </c>
      <c r="B84" s="11">
        <v>1085</v>
      </c>
    </row>
    <row r="85" spans="1:2">
      <c r="A85" s="11" t="s">
        <v>263</v>
      </c>
      <c r="B85" s="11">
        <v>1100</v>
      </c>
    </row>
    <row r="86" spans="1:2">
      <c r="A86" s="11" t="s">
        <v>264</v>
      </c>
      <c r="B86" s="11">
        <v>1115</v>
      </c>
    </row>
    <row r="87" spans="1:2">
      <c r="A87" s="11" t="s">
        <v>265</v>
      </c>
      <c r="B87" s="11">
        <v>1130</v>
      </c>
    </row>
    <row r="88" spans="1:2">
      <c r="A88" s="11" t="s">
        <v>266</v>
      </c>
      <c r="B88" s="11">
        <v>1145</v>
      </c>
    </row>
    <row r="89" spans="1:2">
      <c r="A89" s="11" t="s">
        <v>267</v>
      </c>
      <c r="B89" s="11">
        <v>1160</v>
      </c>
    </row>
    <row r="90" spans="1:2">
      <c r="A90" s="11" t="s">
        <v>268</v>
      </c>
      <c r="B90" s="11">
        <v>1175</v>
      </c>
    </row>
    <row r="91" spans="1:2">
      <c r="A91" s="11" t="s">
        <v>269</v>
      </c>
      <c r="B91" s="11">
        <v>1190</v>
      </c>
    </row>
    <row r="92" spans="1:2">
      <c r="A92" s="11" t="s">
        <v>87</v>
      </c>
      <c r="B92" s="11">
        <v>1205</v>
      </c>
    </row>
    <row r="93" spans="1:2">
      <c r="A93" s="11" t="s">
        <v>174</v>
      </c>
      <c r="B93" s="11">
        <v>1220</v>
      </c>
    </row>
    <row r="94" spans="1:2">
      <c r="A94" s="11" t="s">
        <v>270</v>
      </c>
      <c r="B94" s="11">
        <v>1235</v>
      </c>
    </row>
    <row r="95" spans="1:2">
      <c r="A95" s="11" t="s">
        <v>271</v>
      </c>
      <c r="B95" s="11">
        <v>1250</v>
      </c>
    </row>
    <row r="96" spans="1:2">
      <c r="A96" s="11" t="s">
        <v>272</v>
      </c>
      <c r="B96" s="11">
        <v>1265</v>
      </c>
    </row>
    <row r="97" spans="1:2">
      <c r="A97" s="11" t="s">
        <v>273</v>
      </c>
      <c r="B97" s="11">
        <v>1280</v>
      </c>
    </row>
    <row r="98" spans="1:2">
      <c r="A98" s="11" t="s">
        <v>132</v>
      </c>
      <c r="B98" s="11">
        <v>1295</v>
      </c>
    </row>
    <row r="99" spans="1:2">
      <c r="A99" s="11" t="s">
        <v>274</v>
      </c>
      <c r="B99" s="11">
        <v>1310</v>
      </c>
    </row>
    <row r="100" spans="1:2">
      <c r="A100" s="11" t="s">
        <v>275</v>
      </c>
      <c r="B100" s="11">
        <v>1325</v>
      </c>
    </row>
    <row r="101" spans="1:2">
      <c r="A101" s="11" t="s">
        <v>276</v>
      </c>
      <c r="B101" s="11">
        <v>1340</v>
      </c>
    </row>
    <row r="102" spans="1:2">
      <c r="A102" s="11" t="s">
        <v>277</v>
      </c>
      <c r="B102" s="11">
        <v>1355</v>
      </c>
    </row>
    <row r="103" spans="1:2">
      <c r="A103" s="11" t="s">
        <v>278</v>
      </c>
      <c r="B103" s="11">
        <v>1368</v>
      </c>
    </row>
    <row r="104" spans="1:2">
      <c r="A104" s="11" t="s">
        <v>279</v>
      </c>
      <c r="B104" s="11">
        <v>1378</v>
      </c>
    </row>
    <row r="105" spans="1:2">
      <c r="A105" s="11" t="s">
        <v>280</v>
      </c>
      <c r="B105" s="11">
        <v>1393</v>
      </c>
    </row>
    <row r="106" spans="1:2">
      <c r="A106" s="11" t="s">
        <v>121</v>
      </c>
      <c r="B106" s="11">
        <v>1408</v>
      </c>
    </row>
    <row r="107" spans="1:2">
      <c r="A107" s="11" t="s">
        <v>59</v>
      </c>
      <c r="B107" s="11">
        <v>1423</v>
      </c>
    </row>
    <row r="108" spans="1:2">
      <c r="A108" s="11" t="s">
        <v>281</v>
      </c>
      <c r="B108" s="11">
        <v>1438</v>
      </c>
    </row>
    <row r="109" spans="1:2">
      <c r="A109" s="11" t="s">
        <v>282</v>
      </c>
      <c r="B109" s="11">
        <v>1453</v>
      </c>
    </row>
    <row r="110" spans="1:2">
      <c r="A110" s="11" t="s">
        <v>283</v>
      </c>
      <c r="B110" s="11">
        <v>1468</v>
      </c>
    </row>
    <row r="111" spans="1:2">
      <c r="A111" s="11" t="s">
        <v>284</v>
      </c>
      <c r="B111" s="11">
        <v>1483</v>
      </c>
    </row>
    <row r="112" spans="1:2">
      <c r="A112" s="11" t="s">
        <v>285</v>
      </c>
      <c r="B112" s="11">
        <v>1498</v>
      </c>
    </row>
    <row r="113" spans="1:2">
      <c r="A113" s="11" t="s">
        <v>286</v>
      </c>
      <c r="B113" s="11">
        <v>1513</v>
      </c>
    </row>
    <row r="114" spans="1:2">
      <c r="A114" s="11" t="s">
        <v>287</v>
      </c>
      <c r="B114" s="11">
        <v>1528</v>
      </c>
    </row>
    <row r="115" spans="1:2">
      <c r="A115" s="11" t="s">
        <v>288</v>
      </c>
      <c r="B115" s="11">
        <v>1543</v>
      </c>
    </row>
    <row r="116" spans="1:2">
      <c r="A116" s="11" t="s">
        <v>289</v>
      </c>
      <c r="B116" s="11">
        <v>1558</v>
      </c>
    </row>
    <row r="117" spans="1:2">
      <c r="A117" s="11" t="s">
        <v>290</v>
      </c>
      <c r="B117" s="11">
        <v>1573</v>
      </c>
    </row>
    <row r="118" spans="1:2">
      <c r="A118" s="11" t="s">
        <v>58</v>
      </c>
      <c r="B118" s="11">
        <v>1588</v>
      </c>
    </row>
    <row r="119" spans="1:2">
      <c r="A119" s="11" t="s">
        <v>291</v>
      </c>
      <c r="B119" s="11">
        <v>1603</v>
      </c>
    </row>
    <row r="120" spans="1:2">
      <c r="A120" s="11" t="s">
        <v>292</v>
      </c>
      <c r="B120" s="11">
        <v>1618</v>
      </c>
    </row>
    <row r="121" spans="1:2">
      <c r="A121" s="11" t="s">
        <v>293</v>
      </c>
      <c r="B121" s="11">
        <v>1633</v>
      </c>
    </row>
    <row r="122" spans="1:2">
      <c r="A122" s="11" t="s">
        <v>100</v>
      </c>
      <c r="B122" s="11">
        <v>1648</v>
      </c>
    </row>
    <row r="123" spans="1:2">
      <c r="A123" s="11" t="s">
        <v>294</v>
      </c>
      <c r="B123" s="11">
        <v>1663</v>
      </c>
    </row>
    <row r="124" spans="1:2">
      <c r="A124" s="11" t="s">
        <v>142</v>
      </c>
      <c r="B124" s="11">
        <v>1678</v>
      </c>
    </row>
    <row r="125" spans="1:2">
      <c r="A125" s="11" t="s">
        <v>186</v>
      </c>
      <c r="B125" s="11">
        <v>1693</v>
      </c>
    </row>
    <row r="126" spans="1:2">
      <c r="A126" s="11" t="s">
        <v>295</v>
      </c>
      <c r="B126" s="11">
        <v>1708</v>
      </c>
    </row>
    <row r="127" spans="1:2">
      <c r="A127" s="11" t="s">
        <v>296</v>
      </c>
      <c r="B127" s="11">
        <v>1723</v>
      </c>
    </row>
    <row r="128" spans="1:2">
      <c r="A128" s="11" t="s">
        <v>297</v>
      </c>
      <c r="B128" s="11">
        <v>1738</v>
      </c>
    </row>
    <row r="129" spans="1:2">
      <c r="A129" s="11" t="s">
        <v>298</v>
      </c>
      <c r="B129" s="11">
        <v>1753</v>
      </c>
    </row>
    <row r="130" spans="1:2">
      <c r="A130" s="11" t="s">
        <v>299</v>
      </c>
      <c r="B130" s="11">
        <v>1768</v>
      </c>
    </row>
    <row r="131" spans="1:2">
      <c r="A131" s="11" t="s">
        <v>300</v>
      </c>
      <c r="B131" s="11">
        <v>1783</v>
      </c>
    </row>
    <row r="132" spans="1:2">
      <c r="A132" s="11" t="s">
        <v>301</v>
      </c>
      <c r="B132" s="11">
        <v>1798</v>
      </c>
    </row>
    <row r="133" spans="1:2">
      <c r="A133" s="11" t="s">
        <v>185</v>
      </c>
      <c r="B133" s="11">
        <v>1813</v>
      </c>
    </row>
    <row r="134" spans="1:2">
      <c r="A134" s="11" t="s">
        <v>141</v>
      </c>
      <c r="B134" s="11">
        <v>1828</v>
      </c>
    </row>
    <row r="135" spans="1:2">
      <c r="A135" s="11" t="s">
        <v>302</v>
      </c>
      <c r="B135" s="11">
        <v>1843</v>
      </c>
    </row>
    <row r="136" spans="1:2">
      <c r="A136" s="11" t="s">
        <v>99</v>
      </c>
      <c r="B136" s="11">
        <v>1858</v>
      </c>
    </row>
    <row r="137" spans="1:2">
      <c r="A137" s="11" t="s">
        <v>303</v>
      </c>
      <c r="B137" s="11">
        <v>1873</v>
      </c>
    </row>
    <row r="138" spans="1:2">
      <c r="A138" s="11" t="s">
        <v>304</v>
      </c>
      <c r="B138" s="11">
        <v>1888</v>
      </c>
    </row>
    <row r="139" spans="1:2">
      <c r="A139" s="11" t="s">
        <v>72</v>
      </c>
      <c r="B139" s="11">
        <v>1903</v>
      </c>
    </row>
    <row r="140" spans="1:2">
      <c r="A140" s="11" t="s">
        <v>305</v>
      </c>
      <c r="B140" s="11">
        <v>1918</v>
      </c>
    </row>
    <row r="141" spans="1:2">
      <c r="A141" s="11" t="s">
        <v>306</v>
      </c>
      <c r="B141" s="11">
        <v>1933</v>
      </c>
    </row>
    <row r="142" spans="1:2">
      <c r="A142" s="11" t="s">
        <v>307</v>
      </c>
      <c r="B142" s="11">
        <v>1948</v>
      </c>
    </row>
    <row r="143" spans="1:2">
      <c r="A143" s="11" t="s">
        <v>308</v>
      </c>
      <c r="B143" s="11">
        <v>1968</v>
      </c>
    </row>
    <row r="144" spans="1:2">
      <c r="A144" s="11" t="s">
        <v>309</v>
      </c>
      <c r="B144" s="11">
        <v>1988</v>
      </c>
    </row>
    <row r="145" spans="1:2">
      <c r="A145" s="11" t="s">
        <v>310</v>
      </c>
      <c r="B145" s="11">
        <v>2008</v>
      </c>
    </row>
    <row r="146" spans="1:2">
      <c r="A146" s="11" t="s">
        <v>311</v>
      </c>
      <c r="B146" s="11">
        <v>2028</v>
      </c>
    </row>
    <row r="147" spans="1:2">
      <c r="A147" s="11" t="s">
        <v>312</v>
      </c>
      <c r="B147" s="11">
        <v>2048</v>
      </c>
    </row>
    <row r="148" spans="1:2">
      <c r="A148" s="11" t="s">
        <v>313</v>
      </c>
      <c r="B148" s="11">
        <v>2068</v>
      </c>
    </row>
    <row r="149" spans="1:2">
      <c r="A149" s="11" t="s">
        <v>314</v>
      </c>
      <c r="B149" s="11">
        <v>2088</v>
      </c>
    </row>
    <row r="150" spans="1:2">
      <c r="A150" s="11" t="s">
        <v>71</v>
      </c>
      <c r="B150" s="11">
        <v>2108</v>
      </c>
    </row>
    <row r="151" spans="1:2">
      <c r="A151" s="11" t="s">
        <v>315</v>
      </c>
      <c r="B151" s="11">
        <v>2128</v>
      </c>
    </row>
    <row r="152" spans="1:2">
      <c r="A152" s="11" t="s">
        <v>316</v>
      </c>
      <c r="B152" s="11">
        <v>2138</v>
      </c>
    </row>
    <row r="153" spans="1:2">
      <c r="A153" s="11" t="s">
        <v>317</v>
      </c>
      <c r="B153" s="11">
        <v>2153</v>
      </c>
    </row>
    <row r="154" spans="1:2">
      <c r="A154" s="11" t="s">
        <v>318</v>
      </c>
      <c r="B154" s="11">
        <v>2168</v>
      </c>
    </row>
    <row r="155" spans="1:2">
      <c r="A155" s="11" t="s">
        <v>319</v>
      </c>
      <c r="B155" s="11">
        <v>2183</v>
      </c>
    </row>
    <row r="156" spans="1:2">
      <c r="A156" s="11" t="s">
        <v>320</v>
      </c>
      <c r="B156" s="11">
        <v>2198</v>
      </c>
    </row>
    <row r="157" spans="1:2">
      <c r="A157" s="11" t="s">
        <v>321</v>
      </c>
      <c r="B157" s="11">
        <v>2213</v>
      </c>
    </row>
    <row r="158" spans="1:2">
      <c r="A158" s="11" t="s">
        <v>322</v>
      </c>
      <c r="B158" s="11">
        <v>2228</v>
      </c>
    </row>
    <row r="159" spans="1:2">
      <c r="A159" s="11" t="s">
        <v>323</v>
      </c>
      <c r="B159" s="11">
        <v>2243</v>
      </c>
    </row>
    <row r="160" spans="1:2">
      <c r="A160" s="11" t="s">
        <v>324</v>
      </c>
      <c r="B160" s="11">
        <v>2258</v>
      </c>
    </row>
    <row r="161" spans="1:2">
      <c r="A161" s="11" t="s">
        <v>325</v>
      </c>
      <c r="B161" s="11">
        <v>2273</v>
      </c>
    </row>
    <row r="162" spans="1:2">
      <c r="A162" s="11" t="s">
        <v>326</v>
      </c>
      <c r="B162" s="11">
        <v>2288</v>
      </c>
    </row>
    <row r="163" spans="1:2">
      <c r="A163" s="11" t="s">
        <v>327</v>
      </c>
      <c r="B163" s="11">
        <v>2303</v>
      </c>
    </row>
    <row r="164" spans="1:2">
      <c r="A164" s="11" t="s">
        <v>328</v>
      </c>
      <c r="B164" s="11">
        <v>2318</v>
      </c>
    </row>
    <row r="165" spans="1:2">
      <c r="A165" s="11" t="s">
        <v>329</v>
      </c>
      <c r="B165" s="11">
        <v>2333</v>
      </c>
    </row>
    <row r="166" spans="1:2">
      <c r="A166" s="11" t="s">
        <v>330</v>
      </c>
      <c r="B166" s="11">
        <v>2348</v>
      </c>
    </row>
    <row r="167" spans="1:2">
      <c r="A167" s="11" t="s">
        <v>331</v>
      </c>
      <c r="B167" s="11">
        <v>2363</v>
      </c>
    </row>
    <row r="168" spans="1:2">
      <c r="A168" s="11" t="s">
        <v>332</v>
      </c>
      <c r="B168" s="11">
        <v>2378</v>
      </c>
    </row>
    <row r="169" spans="1:2">
      <c r="A169" s="11" t="s">
        <v>333</v>
      </c>
      <c r="B169" s="11">
        <v>2393</v>
      </c>
    </row>
    <row r="170" spans="1:2">
      <c r="A170" s="11" t="s">
        <v>334</v>
      </c>
      <c r="B170" s="11">
        <v>2408</v>
      </c>
    </row>
    <row r="171" spans="1:2">
      <c r="A171" s="11" t="s">
        <v>335</v>
      </c>
      <c r="B171" s="11">
        <v>2423</v>
      </c>
    </row>
    <row r="172" spans="1:2">
      <c r="A172" s="11" t="s">
        <v>336</v>
      </c>
      <c r="B172" s="11">
        <v>2438</v>
      </c>
    </row>
    <row r="173" spans="1:2">
      <c r="A173" s="11" t="s">
        <v>337</v>
      </c>
      <c r="B173" s="11">
        <v>2453</v>
      </c>
    </row>
    <row r="174" spans="1:2">
      <c r="A174" s="11" t="s">
        <v>338</v>
      </c>
      <c r="B174" s="11">
        <v>2468</v>
      </c>
    </row>
    <row r="175" spans="1:2">
      <c r="A175" s="11" t="s">
        <v>339</v>
      </c>
      <c r="B175" s="11">
        <v>2483</v>
      </c>
    </row>
    <row r="176" spans="1:2">
      <c r="A176" s="11" t="s">
        <v>340</v>
      </c>
      <c r="B176" s="11">
        <v>2498</v>
      </c>
    </row>
    <row r="177" spans="1:2">
      <c r="A177" s="11" t="s">
        <v>341</v>
      </c>
      <c r="B177" s="11">
        <v>2513</v>
      </c>
    </row>
    <row r="178" spans="1:2">
      <c r="A178" s="11" t="s">
        <v>342</v>
      </c>
      <c r="B178" s="11">
        <v>2528</v>
      </c>
    </row>
    <row r="179" spans="1:2">
      <c r="A179" s="11" t="s">
        <v>343</v>
      </c>
      <c r="B179" s="11">
        <v>2543</v>
      </c>
    </row>
    <row r="180" spans="1:2">
      <c r="A180" s="11" t="s">
        <v>344</v>
      </c>
      <c r="B180" s="11">
        <v>2558</v>
      </c>
    </row>
    <row r="181" spans="1:2">
      <c r="A181" s="11" t="s">
        <v>345</v>
      </c>
      <c r="B181" s="11">
        <v>2573</v>
      </c>
    </row>
    <row r="182" spans="1:2">
      <c r="A182" s="11" t="s">
        <v>346</v>
      </c>
      <c r="B182" s="11">
        <v>2588</v>
      </c>
    </row>
    <row r="183" spans="1:2">
      <c r="A183" s="11" t="s">
        <v>347</v>
      </c>
      <c r="B183" s="11">
        <v>2603</v>
      </c>
    </row>
    <row r="184" spans="1:2">
      <c r="A184" s="11" t="s">
        <v>348</v>
      </c>
      <c r="B184" s="11">
        <v>2618</v>
      </c>
    </row>
    <row r="185" spans="1:2">
      <c r="A185" s="11" t="s">
        <v>349</v>
      </c>
      <c r="B185" s="11">
        <v>2638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Prakash V S</cp:lastModifiedBy>
  <cp:revision>0</cp:revision>
  <dcterms:created xsi:type="dcterms:W3CDTF">2026-09-02T06:11:55Z</dcterms:created>
  <dcterms:modified xsi:type="dcterms:W3CDTF">2026-09-02T13:27:17Z</dcterms:modified>
  <cp:category/>
  <cp:contentStatus/>
</cp:coreProperties>
</file>