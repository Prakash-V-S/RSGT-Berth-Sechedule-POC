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3040" windowHeight="10440" tabRatio="640"/>
  </bookViews>
  <sheets>
    <sheet name="MAIN BERTH PLAN" sheetId="114" r:id="rId1"/>
    <sheet name="EXCEPTION VESSELS DETAILS" sheetId="57" r:id="rId2"/>
    <sheet name="BERTHING WAITING LIST " sheetId="108" r:id="rId3"/>
    <sheet name="OMITING VESSELS" sheetId="113" r:id="rId4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Table1">#REF!</definedName>
    <definedName name="\a" localSheetId="0">'MAIN BERTH PLAN'!#REF!</definedName>
    <definedName name="\a">#REF!</definedName>
    <definedName name="\aa" localSheetId="0">'MAIN BERTH PLAN'!#REF!</definedName>
    <definedName name="\aa">#REF!</definedName>
    <definedName name="\p" localSheetId="0">'MAIN BERTH PLAN'!#REF!</definedName>
    <definedName name="\p">#REF!</definedName>
    <definedName name="\q" localSheetId="0">'MAIN BERTH PLAN'!#REF!</definedName>
    <definedName name="\q">#REF!</definedName>
    <definedName name="\R" localSheetId="0">'MAIN BERTH PLAN'!#REF!</definedName>
    <definedName name="\R">#REF!</definedName>
    <definedName name="\u" localSheetId="0">'MAIN BERTH PLAN'!#REF!</definedName>
    <definedName name="\u">#REF!</definedName>
    <definedName name="\w" localSheetId="0">'MAIN BERTH PLAN'!#REF!</definedName>
    <definedName name="\w">#REF!</definedName>
    <definedName name="\x" localSheetId="0">'MAIN BERTH PLAN'!#REF!</definedName>
    <definedName name="\x">#REF!</definedName>
    <definedName name="\z" localSheetId="0">'MAIN BERTH PLAN'!#REF!</definedName>
    <definedName name="\z">#REF!</definedName>
    <definedName name="_1_1월_Query" localSheetId="0">'MAIN BERTH PLAN'!#REF!</definedName>
    <definedName name="_1_1월_Query">#REF!</definedName>
    <definedName name="_10_6월_Query" localSheetId="0">'MAIN BERTH PLAN'!#REF!</definedName>
    <definedName name="_10_6월_Query">#REF!</definedName>
    <definedName name="_100" localSheetId="0">'MAIN BERTH PLAN'!#REF!</definedName>
    <definedName name="_100">#REF!</definedName>
    <definedName name="_101" localSheetId="0">'MAIN BERTH PLAN'!#REF!</definedName>
    <definedName name="_101">#REF!</definedName>
    <definedName name="_102" localSheetId="0" hidden="1">'MAIN BERTH PLAN'!#REF!</definedName>
    <definedName name="_102" hidden="1">#REF!</definedName>
    <definedName name="_103" localSheetId="0">'MAIN BERTH PLAN'!#REF!</definedName>
    <definedName name="_103">#REF!</definedName>
    <definedName name="_104" localSheetId="0">'MAIN BERTH PLAN'!#REF!</definedName>
    <definedName name="_104">#REF!</definedName>
    <definedName name="_105" localSheetId="0">'MAIN BERTH PLAN'!#REF!</definedName>
    <definedName name="_105">#REF!</definedName>
    <definedName name="_106" localSheetId="0">'MAIN BERTH PLAN'!#REF!</definedName>
    <definedName name="_106">#REF!</definedName>
    <definedName name="_11_7월_Query" localSheetId="0">'MAIN BERTH PLAN'!#REF!</definedName>
    <definedName name="_11_7월_Query">#REF!</definedName>
    <definedName name="_12_8월_Query" localSheetId="0">'MAIN BERTH PLAN'!#REF!</definedName>
    <definedName name="_12_8월_Query">#REF!</definedName>
    <definedName name="_13_9월_Query" localSheetId="0">'MAIN BERTH PLAN'!#REF!</definedName>
    <definedName name="_13_9월_Query">#REF!</definedName>
    <definedName name="_14uÞOUðuueßAÞAIee_YA" localSheetId="0">[1]수입!#REF!</definedName>
    <definedName name="_14uÞOUðuueßAÞAIee_YA">[1]수입!#REF!</definedName>
    <definedName name="_2_2002_4분기_지중해" localSheetId="0">'MAIN BERTH PLAN'!#REF!</definedName>
    <definedName name="_2_2002_4분기_지중해">#REF!</definedName>
    <definedName name="_3_2월_Query" localSheetId="0">'MAIN BERTH PLAN'!#REF!</definedName>
    <definedName name="_3_2월_Query">#REF!</definedName>
    <definedName name="_4_3분기_월별_Query" localSheetId="0">'MAIN BERTH PLAN'!#REF!</definedName>
    <definedName name="_4_3분기_월별_Query">#REF!</definedName>
    <definedName name="_5_3분기까지_4분기취합_Query" localSheetId="0">'MAIN BERTH PLAN'!#REF!</definedName>
    <definedName name="_5_3분기까지_4분기취합_Query">#REF!</definedName>
    <definedName name="_6_3분기합_Query" localSheetId="0">'MAIN BERTH PLAN'!#REF!</definedName>
    <definedName name="_6_3분기합_Query">#REF!</definedName>
    <definedName name="_7_3월_Query" localSheetId="0">'MAIN BERTH PLAN'!#REF!</definedName>
    <definedName name="_7_3월_Query">#REF!</definedName>
    <definedName name="_8_4월_Query" localSheetId="0">'MAIN BERTH PLAN'!#REF!</definedName>
    <definedName name="_8_4월_Query">#REF!</definedName>
    <definedName name="_9_5월_Query" localSheetId="0">'MAIN BERTH PLAN'!#REF!</definedName>
    <definedName name="_9_5월_Query">#REF!</definedName>
    <definedName name="_AEX1" localSheetId="0">'MAIN BERTH PLAN'!#REF!</definedName>
    <definedName name="_AEX1">#REF!</definedName>
    <definedName name="_AEX2" localSheetId="0">'MAIN BERTH PLAN'!#REF!</definedName>
    <definedName name="_AEX2">#REF!</definedName>
    <definedName name="_AMX1" localSheetId="0">'MAIN BERTH PLAN'!#REF!</definedName>
    <definedName name="_AMX1">#REF!</definedName>
    <definedName name="_AMX3" localSheetId="0">'MAIN BERTH PLAN'!#REF!</definedName>
    <definedName name="_AMX3">#REF!</definedName>
    <definedName name="_BEX2" localSheetId="0">'MAIN BERTH PLAN'!#REF!</definedName>
    <definedName name="_BEX2">#REF!</definedName>
    <definedName name="_Fill" localSheetId="0" hidden="1">'MAIN BERTH PLAN'!#REF!</definedName>
    <definedName name="_Fill" hidden="1">#REF!</definedName>
    <definedName name="_xlnm._FilterDatabase" localSheetId="0" hidden="1">'MAIN BERTH PLAN'!#REF!</definedName>
    <definedName name="_grt1" localSheetId="0">'MAIN BERTH PLAN'!#REF!</definedName>
    <definedName name="_grt1">#REF!</definedName>
    <definedName name="_grt2" localSheetId="0">'MAIN BERTH PLAN'!#REF!</definedName>
    <definedName name="_grt2">#REF!</definedName>
    <definedName name="_grt3" localSheetId="0">'MAIN BERTH PLAN'!#REF!</definedName>
    <definedName name="_grt3">#REF!</definedName>
    <definedName name="_grt7" localSheetId="0">'MAIN BERTH PLAN'!#REF!</definedName>
    <definedName name="_grt7">#REF!</definedName>
    <definedName name="_Key1" localSheetId="0" hidden="1">[2]업무계획1!#REF!</definedName>
    <definedName name="_Key1" hidden="1">[2]업무계획1!#REF!</definedName>
    <definedName name="_Key2" localSheetId="0" hidden="1">'MAIN BERTH PLAN'!#REF!</definedName>
    <definedName name="_Key2" hidden="1">#REF!</definedName>
    <definedName name="_key7" localSheetId="0" hidden="1">[2]업무계획1!#REF!</definedName>
    <definedName name="_key7" hidden="1">[2]업무계획1!#REF!</definedName>
    <definedName name="_krs2">'[3]아주(03실적)'!$A$3:$O$33</definedName>
    <definedName name="_loa1" localSheetId="0">'MAIN BERTH PLAN'!#REF!</definedName>
    <definedName name="_loa1">#REF!</definedName>
    <definedName name="_loa11" localSheetId="0">'MAIN BERTH PLAN'!#REF!</definedName>
    <definedName name="_loa11">#REF!</definedName>
    <definedName name="_loa2" localSheetId="0">'MAIN BERTH PLAN'!#REF!</definedName>
    <definedName name="_loa2">#REF!</definedName>
    <definedName name="_loa3" localSheetId="0">'MAIN BERTH PLAN'!#REF!</definedName>
    <definedName name="_loa3">#REF!</definedName>
    <definedName name="_loa7" localSheetId="0">'MAIN BERTH PLAN'!#REF!</definedName>
    <definedName name="_loa7">#REF!</definedName>
    <definedName name="_loa9" localSheetId="0">'MAIN BERTH PLAN'!#REF!</definedName>
    <definedName name="_loa9">#REF!</definedName>
    <definedName name="_Mth99">[4]Revenue!$D$6</definedName>
    <definedName name="_nb1999" localSheetId="0">'[5]NB-MKT'!#REF!</definedName>
    <definedName name="_nb1999">'[5]NB-MKT'!#REF!</definedName>
    <definedName name="_nb2099" localSheetId="0">'[5]NB-MKT'!#REF!</definedName>
    <definedName name="_nb2099">'[5]NB-MKT'!#REF!</definedName>
    <definedName name="_nrt2" localSheetId="0">'MAIN BERTH PLAN'!#REF!</definedName>
    <definedName name="_nrt2">#REF!</definedName>
    <definedName name="_nrt3" localSheetId="0">'MAIN BERTH PLAN'!#REF!</definedName>
    <definedName name="_nrt3">#REF!</definedName>
    <definedName name="_nrt7" localSheetId="0">'MAIN BERTH PLAN'!#REF!</definedName>
    <definedName name="_nrt7">#REF!</definedName>
    <definedName name="_nrt9" localSheetId="0">'MAIN BERTH PLAN'!#REF!</definedName>
    <definedName name="_nrt9">#REF!</definedName>
    <definedName name="_Order1" hidden="1">255</definedName>
    <definedName name="_Order2" hidden="1">0</definedName>
    <definedName name="_P1" localSheetId="0">'MAIN BERTH PLAN'!#REF!</definedName>
    <definedName name="_P1">#REF!</definedName>
    <definedName name="_P11" localSheetId="0">'MAIN BERTH PLAN'!#REF!</definedName>
    <definedName name="_P11">#REF!</definedName>
    <definedName name="_P2" localSheetId="0">'MAIN BERTH PLAN'!#REF!</definedName>
    <definedName name="_P2">#REF!</definedName>
    <definedName name="_P3" localSheetId="0">'MAIN BERTH PLAN'!#REF!</definedName>
    <definedName name="_P3">#REF!</definedName>
    <definedName name="_P7" localSheetId="0">'MAIN BERTH PLAN'!#REF!</definedName>
    <definedName name="_P7">#REF!</definedName>
    <definedName name="_p8" localSheetId="0">'MAIN BERTH PLAN'!#REF!</definedName>
    <definedName name="_p8">#REF!</definedName>
    <definedName name="_PM1" localSheetId="0">'MAIN BERTH PLAN'!#REF!</definedName>
    <definedName name="_PM1">#REF!</definedName>
    <definedName name="_pm3" localSheetId="0">'MAIN BERTH PLAN'!#REF!</definedName>
    <definedName name="_pm3">#REF!</definedName>
    <definedName name="_pnw5" localSheetId="0">'MAIN BERTH PLAN'!#REF!</definedName>
    <definedName name="_pnw5">#REF!</definedName>
    <definedName name="_pnw7" localSheetId="0">'MAIN BERTH PLAN'!#REF!</definedName>
    <definedName name="_pnw7">#REF!</definedName>
    <definedName name="_PS1" localSheetId="0">'MAIN BERTH PLAN'!#REF!</definedName>
    <definedName name="_PS1">#REF!</definedName>
    <definedName name="_ps6" localSheetId="0">'MAIN BERTH PLAN'!#REF!</definedName>
    <definedName name="_ps6">#REF!</definedName>
    <definedName name="_Sen1" localSheetId="0">'MAIN BERTH PLAN'!#REF!</definedName>
    <definedName name="_Sen1">#REF!</definedName>
    <definedName name="_Sen2" localSheetId="0">'MAIN BERTH PLAN'!#REF!</definedName>
    <definedName name="_Sen2">#REF!</definedName>
    <definedName name="_Sen3" localSheetId="0">'MAIN BERTH PLAN'!#REF!</definedName>
    <definedName name="_Sen3">#REF!</definedName>
    <definedName name="_sen6" localSheetId="0">'MAIN BERTH PLAN'!#REF!</definedName>
    <definedName name="_sen6">#REF!</definedName>
    <definedName name="_Sort" localSheetId="0" hidden="1">'MAIN BERTH PLAN'!#REF!</definedName>
    <definedName name="_Sort" hidden="1">#REF!</definedName>
    <definedName name="_TP1" localSheetId="0">'MAIN BERTH PLAN'!#REF!</definedName>
    <definedName name="_TP1">#REF!</definedName>
    <definedName name="_yr1997" localSheetId="0">'MAIN BERTH PLAN'!#REF!</definedName>
    <definedName name="_yr1997">#REF!</definedName>
    <definedName name="_yr1998" localSheetId="0">'MAIN BERTH PLAN'!#REF!</definedName>
    <definedName name="_yr1998">#REF!</definedName>
    <definedName name="_yr1999" localSheetId="0">'MAIN BERTH PLAN'!#REF!</definedName>
    <definedName name="_yr1999">#REF!</definedName>
    <definedName name="a" localSheetId="0">'MAIN BERTH PLAN'!#REF!</definedName>
    <definedName name="a">#REF!</definedName>
    <definedName name="A300_600" localSheetId="0">'MAIN BERTH PLAN'!#REF!</definedName>
    <definedName name="A300_600">#REF!</definedName>
    <definedName name="AA" localSheetId="0">'MAIN BERTH PLAN'!#REF!</definedName>
    <definedName name="AA">#REF!</definedName>
    <definedName name="AAA" localSheetId="0">'[6]지방,해외배부'!#REF!</definedName>
    <definedName name="AAA">'[6]지방,해외배부'!#REF!</definedName>
    <definedName name="AAAA" localSheetId="0" hidden="1">{"adj95mult",#N/A,FALSE,"COMPCO";"adj95est",#N/A,FALSE,"COMPCO"}</definedName>
    <definedName name="AAAA" hidden="1">{"adj95mult",#N/A,FALSE,"COMPCO";"adj95est",#N/A,FALSE,"COMPCO"}</definedName>
    <definedName name="AAAAAAAAAAAAAAAAA" localSheetId="0">'MAIN BERTH PLAN'!#REF!</definedName>
    <definedName name="AAAAAAAAAAAAAAAAA">#REF!</definedName>
    <definedName name="AAX" localSheetId="0">'MAIN BERTH PLAN'!#REF!</definedName>
    <definedName name="AAX">#REF!</definedName>
    <definedName name="AB" localSheetId="0">'MAIN BERTH PLAN'!#REF!</definedName>
    <definedName name="AB">#REF!</definedName>
    <definedName name="abc" localSheetId="0">'MAIN BERTH PLAN'!#REF!</definedName>
    <definedName name="abc">#REF!</definedName>
    <definedName name="ABS" localSheetId="0">'MAIN BERTH PLAN'!#REF!</definedName>
    <definedName name="ABS">#REF!</definedName>
    <definedName name="Account" localSheetId="0">'MAIN BERTH PLAN'!#REF!</definedName>
    <definedName name="Account">#REF!</definedName>
    <definedName name="Actual96">'[7]PivotTable $'!$D$7:$D$800</definedName>
    <definedName name="ADM">[8]비용항목!$C$92</definedName>
    <definedName name="ADR" localSheetId="0">'MAIN BERTH PLAN'!#REF!</definedName>
    <definedName name="ADR">#REF!</definedName>
    <definedName name="ADX" localSheetId="0">'MAIN BERTH PLAN'!#REF!</definedName>
    <definedName name="ADX">#REF!</definedName>
    <definedName name="AE" localSheetId="0">'MAIN BERTH PLAN'!#REF!</definedName>
    <definedName name="AE">#REF!</definedName>
    <definedName name="AE_1" localSheetId="0">'MAIN BERTH PLAN'!#REF!</definedName>
    <definedName name="AE_1">#REF!</definedName>
    <definedName name="AE_2" localSheetId="0">'MAIN BERTH PLAN'!#REF!</definedName>
    <definedName name="AE_2">#REF!</definedName>
    <definedName name="AE_3" localSheetId="0">'MAIN BERTH PLAN'!#REF!</definedName>
    <definedName name="AE_3">#REF!</definedName>
    <definedName name="AE_4" localSheetId="0">'MAIN BERTH PLAN'!#REF!</definedName>
    <definedName name="AE_4">#REF!</definedName>
    <definedName name="AE_5" localSheetId="0">'MAIN BERTH PLAN'!#REF!</definedName>
    <definedName name="AE_5">#REF!</definedName>
    <definedName name="AE_6" localSheetId="0">'MAIN BERTH PLAN'!#REF!</definedName>
    <definedName name="AE_6">#REF!</definedName>
    <definedName name="AE_7" localSheetId="0">'MAIN BERTH PLAN'!#REF!</definedName>
    <definedName name="AE_7">#REF!</definedName>
    <definedName name="AE_8" localSheetId="0">'MAIN BERTH PLAN'!#REF!</definedName>
    <definedName name="AE_8">#REF!</definedName>
    <definedName name="AE2000_1">'[9]Scenario 1 - with HMM'!$B$3:$D$20</definedName>
    <definedName name="ae2000_2" localSheetId="0">'MAIN BERTH PLAN'!#REF!</definedName>
    <definedName name="ae2000_2">#REF!</definedName>
    <definedName name="ae2000_3" localSheetId="0">'MAIN BERTH PLAN'!#REF!</definedName>
    <definedName name="ae2000_3">#REF!</definedName>
    <definedName name="ae2000_3a" localSheetId="0">'MAIN BERTH PLAN'!#REF!</definedName>
    <definedName name="ae2000_3a">#REF!</definedName>
    <definedName name="ae2000q4_3a" localSheetId="0">'MAIN BERTH PLAN'!#REF!</definedName>
    <definedName name="ae2000q4_3a">#REF!</definedName>
    <definedName name="ae2001_1">'[9]Scenario 1 - with HMM'!$H$3:$J$20</definedName>
    <definedName name="ae2001_3a" localSheetId="0">'MAIN BERTH PLAN'!#REF!</definedName>
    <definedName name="ae2001_3a">#REF!</definedName>
    <definedName name="ae20013q_3a" localSheetId="0">'MAIN BERTH PLAN'!#REF!</definedName>
    <definedName name="ae20013q_3a">#REF!</definedName>
    <definedName name="ae2001Q1_3a" localSheetId="0">'MAIN BERTH PLAN'!#REF!</definedName>
    <definedName name="ae2001Q1_3a">#REF!</definedName>
    <definedName name="ae2001q2_3a" localSheetId="0">'MAIN BERTH PLAN'!#REF!</definedName>
    <definedName name="ae2001q2_3a">#REF!</definedName>
    <definedName name="ae2001q4_3a" localSheetId="0">'MAIN BERTH PLAN'!#REF!</definedName>
    <definedName name="ae2001q4_3a">#REF!</definedName>
    <definedName name="AEC" localSheetId="0">'MAIN BERTH PLAN'!#REF!</definedName>
    <definedName name="AEC">#REF!</definedName>
    <definedName name="AES_1" localSheetId="0">'MAIN BERTH PLAN'!#REF!</definedName>
    <definedName name="AES_1">#REF!</definedName>
    <definedName name="AES_2" localSheetId="0">'MAIN BERTH PLAN'!#REF!</definedName>
    <definedName name="AES_2">#REF!</definedName>
    <definedName name="AEX" localSheetId="0">'MAIN BERTH PLAN'!#REF!</definedName>
    <definedName name="AEX">#REF!</definedName>
    <definedName name="AEX_CKY" localSheetId="0">'MAIN BERTH PLAN'!#REF!</definedName>
    <definedName name="AEX_CKY">#REF!</definedName>
    <definedName name="AEX_GA" localSheetId="0">'MAIN BERTH PLAN'!#REF!</definedName>
    <definedName name="AEX_GA">#REF!</definedName>
    <definedName name="AEXEB_1">'[10]AEX(E)'!$A$8:$IV$8</definedName>
    <definedName name="AEXEB_10">'[10]AEX(E)'!$A$56:$IV$56</definedName>
    <definedName name="AEXEB_11">'[10]AEX(E)'!$A$62:$IV$62</definedName>
    <definedName name="AEXEB_12">'[10]AEX(E)'!$A$67:$IV$67</definedName>
    <definedName name="AEXEB_2">'[10]AEX(E)'!$A$13:$IV$13</definedName>
    <definedName name="AEXEB_3">'[10]AEX(E)'!$A$19:$IV$19</definedName>
    <definedName name="AEXEB_4">'[10]AEX(E)'!$A$24:$IV$24</definedName>
    <definedName name="AEXEB_5">'[10]AEX(E)'!$A$29:$IV$29</definedName>
    <definedName name="AEXEB_6">'[10]AEX(E)'!$A$35:$IV$35</definedName>
    <definedName name="AEXEB_7">'[10]AEX(E)'!$A$40:$IV$40</definedName>
    <definedName name="AEXEB_8">'[10]AEX(E)'!$A$46:$IV$46</definedName>
    <definedName name="AEXEB_9">'[10]AEX(E)'!$A$51:$IV$51</definedName>
    <definedName name="AEXWB_1">'[10]AEX(W)'!$A$8:$IV$8</definedName>
    <definedName name="AEXWB_10">'[10]AEX(W)'!$A$56:$IV$56</definedName>
    <definedName name="AEXWB_11">'[10]AEX(W)'!$A$62:$IV$62</definedName>
    <definedName name="AEXWB_12">'[10]AEX(W)'!$A$67:$IV$67</definedName>
    <definedName name="AEXWB_2">'[10]AEX(W)'!$A$13:$IV$13</definedName>
    <definedName name="AEXWB_3">'[10]AEX(W)'!$A$19:$IV$19</definedName>
    <definedName name="AEXWB_4">'[10]AEX(W)'!$A$24:$IV$24</definedName>
    <definedName name="AEXWB_5">'[10]AEX(W)'!$A$29:$IV$29</definedName>
    <definedName name="AEXWB_6">'[10]AEX(W)'!$A$35:$IV$35</definedName>
    <definedName name="AEXWB_7">'[10]AEX(W)'!$A$40:$IV$40</definedName>
    <definedName name="AEXWB_8">'[10]AEX(W)'!$A$46:$IV$46</definedName>
    <definedName name="AEXWB_9">'[10]AEX(W)'!$A$51:$IV$51</definedName>
    <definedName name="AL_File">[11]Makro1!$B$1</definedName>
    <definedName name="Allocations" localSheetId="0">'MAIN BERTH PLAN'!#REF!</definedName>
    <definedName name="Allocations">#REF!</definedName>
    <definedName name="AMA" localSheetId="0">'MAIN BERTH PLAN'!#REF!</definedName>
    <definedName name="AMA">#REF!</definedName>
    <definedName name="AMAX" localSheetId="0">'MAIN BERTH PLAN'!#REF!</definedName>
    <definedName name="AMAX">#REF!</definedName>
    <definedName name="AME" localSheetId="0">'MAIN BERTH PLAN'!#REF!</definedName>
    <definedName name="AME">#REF!</definedName>
    <definedName name="AMM_PMTyr" localSheetId="0">'MAIN BERTH PLAN'!#REF!</definedName>
    <definedName name="AMM_PMTyr">#REF!</definedName>
    <definedName name="Amortization">[12]OpSum!$A$48:$IV$48</definedName>
    <definedName name="AMP" localSheetId="0">'MAIN BERTH PLAN'!#REF!</definedName>
    <definedName name="AMP">#REF!</definedName>
    <definedName name="AMS" localSheetId="0">'MAIN BERTH PLAN'!#REF!</definedName>
    <definedName name="AMS">#REF!</definedName>
    <definedName name="AMSEB_1">'[10]AMS(E)'!$A$8:$IV$8</definedName>
    <definedName name="AMSEB_10">'[10]AMS(E)'!$A$56:$IV$56</definedName>
    <definedName name="AMSEB_11">'[10]AMS(E)'!$A$62:$IV$62</definedName>
    <definedName name="AMSEB_12">'[10]AMS(E)'!$A$67:$IV$67</definedName>
    <definedName name="AMSEB_2">'[10]AMS(E)'!$A$13:$IV$13</definedName>
    <definedName name="AMSEB_3">'[10]AMS(E)'!$A$19:$IV$19</definedName>
    <definedName name="AMSEB_4">'[10]AMS(E)'!$A$24:$IV$24</definedName>
    <definedName name="AMSEB_5">'[10]AMS(E)'!$A$29:$IV$29</definedName>
    <definedName name="AMSEB_6">'[10]AMS(E)'!$A$35:$IV$35</definedName>
    <definedName name="AMSEB_7">'[10]AMS(E)'!$A$40:$IV$40</definedName>
    <definedName name="AMSEB_8">'[10]AMS(E)'!$A$46:$IV$46</definedName>
    <definedName name="AMSEB_9">'[10]AMS(E)'!$A$51:$IV$51</definedName>
    <definedName name="AMSWB_1">'[10]AMS(W)'!$A$8:$IV$8</definedName>
    <definedName name="AMSWB_10">'[10]AMS(W)'!$A$56:$IV$56</definedName>
    <definedName name="AMSWB_11">'[10]AMS(W)'!$A$62:$IV$62</definedName>
    <definedName name="AMSWB_12">'[10]AMS(W)'!$A$67:$IV$67</definedName>
    <definedName name="AMSWB_2">'[10]AMS(W)'!$A$13:$IV$13</definedName>
    <definedName name="AMSWB_3">'[10]AMS(W)'!$A$19:$IV$19</definedName>
    <definedName name="AMSWB_4">'[10]AMS(W)'!$A$24:$IV$24</definedName>
    <definedName name="AMSWB_5">'[10]AMS(W)'!$A$29:$IV$29</definedName>
    <definedName name="AMSWB_6">'[10]AMS(W)'!$A$35:$IV$35</definedName>
    <definedName name="AMSWB_7">'[10]AMS(W)'!$A$40:$IV$40</definedName>
    <definedName name="AMSWB_8">'[10]AMS(W)'!$A$46:$IV$46</definedName>
    <definedName name="AMSWB_9">'[10]AMS(W)'!$A$51:$IV$51</definedName>
    <definedName name="AMX" localSheetId="0">'MAIN BERTH PLAN'!#REF!</definedName>
    <definedName name="AMX">#REF!</definedName>
    <definedName name="and" localSheetId="0">'MAIN BERTH PLAN'!#REF!</definedName>
    <definedName name="and">#REF!</definedName>
    <definedName name="Annual_Growth_Rate" localSheetId="0">'MAIN BERTH PLAN'!#REF!</definedName>
    <definedName name="Annual_Growth_Rate">#REF!</definedName>
    <definedName name="AOB" localSheetId="0" hidden="1">{"adj95mult",#N/A,FALSE,"COMPCO";"adj95est",#N/A,FALSE,"COMPCO"}</definedName>
    <definedName name="AOB" hidden="1">{"adj95mult",#N/A,FALSE,"COMPCO";"adj95est",#N/A,FALSE,"COMPCO"}</definedName>
    <definedName name="ap" localSheetId="0">'MAIN BERTH PLAN'!#REF!</definedName>
    <definedName name="ap">#REF!</definedName>
    <definedName name="apd" localSheetId="0">'MAIN BERTH PLAN'!#REF!</definedName>
    <definedName name="apd">#REF!</definedName>
    <definedName name="Apr" localSheetId="0">'MAIN BERTH PLAN'!#REF!</definedName>
    <definedName name="Apr">#REF!</definedName>
    <definedName name="APX" localSheetId="0">'MAIN BERTH PLAN'!#REF!</definedName>
    <definedName name="APX">#REF!</definedName>
    <definedName name="APXEB_1">'[10]APX(E)'!$A$8:$IV$8</definedName>
    <definedName name="APXEB_10">'[10]APX(E)'!$A$56:$IV$56</definedName>
    <definedName name="APXEB_11">'[10]APX(E)'!$A$62:$IV$62</definedName>
    <definedName name="APXEB_12">'[10]APX(E)'!$A$67:$IV$67</definedName>
    <definedName name="APXEB_2">'[10]APX(E)'!$A$13:$IV$13</definedName>
    <definedName name="APXEB_3">'[10]APX(E)'!$A$19:$IV$19</definedName>
    <definedName name="APXEB_4">'[10]APX(E)'!$A$24:$IV$24</definedName>
    <definedName name="APXEB_5">'[10]APX(E)'!$A$29:$IV$29</definedName>
    <definedName name="APXEB_6">'[10]APX(E)'!$A$35:$IV$35</definedName>
    <definedName name="APXEB_7">'[10]APX(E)'!$A$40:$IV$40</definedName>
    <definedName name="APXEB_8">'[10]APX(E)'!$A$46:$IV$46</definedName>
    <definedName name="APXEB_9">'[10]APX(E)'!$A$51:$IV$51</definedName>
    <definedName name="APXWB_1">'[10]APX(W)'!$A$8:$IV$8</definedName>
    <definedName name="APXWB_10">'[10]APX(W)'!$A$56:$IV$56</definedName>
    <definedName name="APXWB_11">'[10]APX(W)'!$A$62:$IV$62</definedName>
    <definedName name="APXWB_12">'[10]APX(W)'!$A$67:$IV$67</definedName>
    <definedName name="APXWB_2">'[10]APX(W)'!$A$13:$IV$13</definedName>
    <definedName name="APXWB_3">'[10]APX(W)'!$A$19:$IV$19</definedName>
    <definedName name="APXWB_4">'[10]APX(W)'!$A$24:$IV$24</definedName>
    <definedName name="APXWB_5">'[10]APX(W)'!$A$29:$IV$29</definedName>
    <definedName name="APXWB_6">'[10]APX(W)'!$A$35:$IV$35</definedName>
    <definedName name="APXWB_7">'[10]APX(W)'!$A$40:$IV$40</definedName>
    <definedName name="APXWB_8">'[10]APX(W)'!$A$46:$IV$46</definedName>
    <definedName name="APXWB_9">'[10]APX(W)'!$A$51:$IV$51</definedName>
    <definedName name="AS" localSheetId="0">'MAIN BERTH PLAN'!#REF!</definedName>
    <definedName name="AS">#REF!</definedName>
    <definedName name="ASGASHIPDATA" localSheetId="0">'MAIN BERTH PLAN'!#REF!</definedName>
    <definedName name="ASGASHIPDATA">#REF!</definedName>
    <definedName name="ASIA">'[13]BUNKER 소모량'!$D$6:$E$59</definedName>
    <definedName name="Assetclass">'[14]Asset Plan 476F'!$E$114:$E$132</definedName>
    <definedName name="ATSEB_1">'[10]ATS(E)'!$A$8:$IV$8</definedName>
    <definedName name="ATSEB_10">'[10]ATS(E)'!$A$56:$IV$56</definedName>
    <definedName name="ATSEB_11">'[10]ATS(E)'!$A$62:$IV$62</definedName>
    <definedName name="ATSEB_12">'[10]ATS(E)'!$A$67:$IV$67</definedName>
    <definedName name="ATSEB_2">'[10]ATS(E)'!$A$13:$IV$13</definedName>
    <definedName name="ATSEB_3">'[10]ATS(E)'!$A$19:$IV$19</definedName>
    <definedName name="ATSEB_4">'[10]ATS(E)'!$A$24:$IV$24</definedName>
    <definedName name="ATSEB_5">'[10]ATS(E)'!$A$29:$IV$29</definedName>
    <definedName name="ATSEB_6">'[10]ATS(E)'!$A$35:$IV$35</definedName>
    <definedName name="ATSEB_7">'[10]ATS(E)'!$A$40:$IV$40</definedName>
    <definedName name="ATSEB_8">'[10]ATS(E)'!$A$46:$IV$46</definedName>
    <definedName name="ATSEB_9">'[10]ATS(E)'!$A$51:$IV$51</definedName>
    <definedName name="ATSWB_1">'[10]ATS(W)'!$A$8:$IV$8</definedName>
    <definedName name="ATSWB_10">'[10]ATS(W)'!$A$56:$IV$56</definedName>
    <definedName name="ATSWB_11">'[10]ATS(W)'!$A$62:$IV$62</definedName>
    <definedName name="ATSWB_12">'[10]ATS(W)'!$A$67:$IV$67</definedName>
    <definedName name="ATSWB_2">'[10]ATS(W)'!$A$13:$IV$13</definedName>
    <definedName name="ATSWB_3">'[10]ATS(W)'!$A$19:$IV$19</definedName>
    <definedName name="ATSWB_4">'[10]ATS(W)'!$A$24:$IV$24</definedName>
    <definedName name="ATSWB_5">'[10]ATS(W)'!$A$29:$IV$29</definedName>
    <definedName name="ATSWB_6">'[10]ATS(W)'!$A$35:$IV$35</definedName>
    <definedName name="ATSWB_7">'[10]ATS(W)'!$A$40:$IV$40</definedName>
    <definedName name="ATSWB_8">'[10]ATS(W)'!$A$46:$IV$46</definedName>
    <definedName name="ATSWB_9">'[10]ATS(W)'!$A$51:$IV$51</definedName>
    <definedName name="Aug" localSheetId="0">'MAIN BERTH PLAN'!#REF!</definedName>
    <definedName name="Aug">#REF!</definedName>
    <definedName name="AUSTRALIA" localSheetId="0">'MAIN BERTH PLAN'!#REF!</definedName>
    <definedName name="AUSTRALIA">#REF!</definedName>
    <definedName name="Av_hours_per_day" localSheetId="0">'MAIN BERTH PLAN'!#REF!</definedName>
    <definedName name="Av_hours_per_day">#REF!</definedName>
    <definedName name="Av_QC_Dep" localSheetId="0">'MAIN BERTH PLAN'!#REF!</definedName>
    <definedName name="Av_QC_Dep">#REF!</definedName>
    <definedName name="Av_Vessel_Length" localSheetId="0">'MAIN BERTH PLAN'!#REF!</definedName>
    <definedName name="Av_Vessel_Length">#REF!</definedName>
    <definedName name="avgexchangerate">[15]Assumptions!$A$29:$IV$29</definedName>
    <definedName name="B" localSheetId="0">'[16]지방,해외배부'!#REF!</definedName>
    <definedName name="B">'[16]지방,해외배부'!#REF!</definedName>
    <definedName name="B_A단가">[8]비용항목!$C$17</definedName>
    <definedName name="B_B단가">[8]비용항목!$C$18</definedName>
    <definedName name="b_Z___?MP1765" localSheetId="0">'MAIN BERTH PLAN'!#REF!</definedName>
    <definedName name="b_Z___?MP1765">#REF!</definedName>
    <definedName name="Bank_Proceeds" localSheetId="0">'MAIN BERTH PLAN'!#REF!</definedName>
    <definedName name="Bank_Proceeds">#REF!</definedName>
    <definedName name="Bank_SellYr" localSheetId="0">'MAIN BERTH PLAN'!#REF!</definedName>
    <definedName name="Bank_SellYr">#REF!</definedName>
    <definedName name="bBack" hidden="1">TRUE</definedName>
    <definedName name="bBackHomePage" hidden="1">TRUE</definedName>
    <definedName name="bbb">[17]DATA!$AK$6:$AN$102</definedName>
    <definedName name="bcrclcl100rt" localSheetId="0">'[18]9-1차이내역'!#REF!</definedName>
    <definedName name="bcrclcl100rt">'[18]9-1차이내역'!#REF!</definedName>
    <definedName name="bcrclcl100rtrkrk" localSheetId="0">'[18]9-1차이내역'!#REF!</definedName>
    <definedName name="bcrclcl100rtrkrk">'[18]9-1차이내역'!#REF!</definedName>
    <definedName name="Berth_Utilisation" localSheetId="0">'MAIN BERTH PLAN'!#REF!</definedName>
    <definedName name="Berth_Utilisation">#REF!</definedName>
    <definedName name="BEX" localSheetId="0">'MAIN BERTH PLAN'!#REF!</definedName>
    <definedName name="BEX">#REF!</definedName>
    <definedName name="bPreview" hidden="1">TRUE</definedName>
    <definedName name="bPrint" hidden="1">TRUE</definedName>
    <definedName name="bs20011분기환율" localSheetId="0">'MAIN BERTH PLAN'!#REF!</definedName>
    <definedName name="bs20011분기환율">#REF!</definedName>
    <definedName name="BSA" localSheetId="0">'MAIN BERTH PLAN'!#REF!</definedName>
    <definedName name="BSA">#REF!</definedName>
    <definedName name="BS환율" localSheetId="0">'MAIN BERTH PLAN'!#REF!</definedName>
    <definedName name="BS환율">#REF!</definedName>
    <definedName name="Buildingbaseprice" localSheetId="0">[19]Capex!#REF!</definedName>
    <definedName name="Buildingbaseprice">[19]Capex!#REF!</definedName>
    <definedName name="Bulk_Scrap" localSheetId="0">'MAIN BERTH PLAN'!#REF!</definedName>
    <definedName name="Bulk_Scrap">#REF!</definedName>
    <definedName name="BUNKER">'[20]BUNKER 소모량'!$D$6:$E$59</definedName>
    <definedName name="BUNKER_ALLOC" localSheetId="0">'MAIN BERTH PLAN'!#REF!</definedName>
    <definedName name="BUNKER_ALLOC">#REF!</definedName>
    <definedName name="BUNKER_ALLOC_PAX" localSheetId="0">'MAIN BERTH PLAN'!#REF!</definedName>
    <definedName name="BUNKER_ALLOC_PAX">#REF!</definedName>
    <definedName name="BUNKER_ALLOC_VW" localSheetId="0">'MAIN BERTH PLAN'!#REF!</definedName>
    <definedName name="BUNKER_ALLOC_VW">#REF!</definedName>
    <definedName name="BUNKER_PRICE" localSheetId="0">'MAIN BERTH PLAN'!#REF!</definedName>
    <definedName name="BUNKER_PRICE">#REF!</definedName>
    <definedName name="BUNKER2001Q1">[21]DATA!$X$6:$X$68</definedName>
    <definedName name="bZoom" hidden="1">FALSE</definedName>
    <definedName name="calls1" localSheetId="0">'MAIN BERTH PLAN'!#REF!</definedName>
    <definedName name="calls1">#REF!</definedName>
    <definedName name="capa">'[22]F.TYPE PNW'!$A$4:$F$30</definedName>
    <definedName name="Capacities" localSheetId="0">'MAIN BERTH PLAN'!#REF!</definedName>
    <definedName name="Capacities">#REF!</definedName>
    <definedName name="Capacity" localSheetId="0">'MAIN BERTH PLAN'!#REF!</definedName>
    <definedName name="Capacity">#REF!</definedName>
    <definedName name="Capex">[12]OpSum!$A$52:$IV$52</definedName>
    <definedName name="capex_inflation" localSheetId="0">'MAIN BERTH PLAN'!#REF!</definedName>
    <definedName name="capex_inflation">#REF!</definedName>
    <definedName name="Case" localSheetId="0">'MAIN BERTH PLAN'!#REF!</definedName>
    <definedName name="Case">#REF!</definedName>
    <definedName name="Categories1">[23]B_CHART!$CI$9:$DJ$9</definedName>
    <definedName name="Categories6">[24]B_CHART!$CI$193:$DJ$193</definedName>
    <definedName name="CEM" localSheetId="0">'MAIN BERTH PLAN'!#REF!</definedName>
    <definedName name="CEM">#REF!</definedName>
    <definedName name="CEU" localSheetId="0">'MAIN BERTH PLAN'!#REF!</definedName>
    <definedName name="CEU">#REF!</definedName>
    <definedName name="CEU_2" localSheetId="0">'MAIN BERTH PLAN'!#REF!</definedName>
    <definedName name="CEU_2">#REF!</definedName>
    <definedName name="CEX" localSheetId="0">'MAIN BERTH PLAN'!#REF!</definedName>
    <definedName name="CEX">#REF!</definedName>
    <definedName name="CEX_HJ" localSheetId="0">'MAIN BERTH PLAN'!#REF!</definedName>
    <definedName name="CEX_HJ">#REF!</definedName>
    <definedName name="CEXEB_1">'[10]CEX(E)'!$A$8:$IV$8</definedName>
    <definedName name="CEXEB_10">'[10]CEX(E)'!$A$56:$IV$56</definedName>
    <definedName name="CEXEB_11">'[10]CEX(E)'!$A$62:$IV$62</definedName>
    <definedName name="CEXEB_12">'[10]CEX(E)'!$A$67:$IV$67</definedName>
    <definedName name="CEXEB_2">'[10]CEX(E)'!$A$13:$IV$13</definedName>
    <definedName name="CEXEB_3">'[10]CEX(E)'!$A$19:$IV$19</definedName>
    <definedName name="CEXEB_4">'[10]CEX(E)'!$A$24:$IV$24</definedName>
    <definedName name="CEXEB_5">'[10]CEX(E)'!$A$29:$IV$29</definedName>
    <definedName name="CEXEB_6">'[10]CEX(E)'!$A$35:$IV$35</definedName>
    <definedName name="CEXEB_7">'[10]CEX(E)'!$A$40:$IV$40</definedName>
    <definedName name="CEXEB_8">'[10]CEX(E)'!$A$46:$IV$46</definedName>
    <definedName name="CEXEB_9">'[10]CEX(E)'!$A$51:$IV$51</definedName>
    <definedName name="CEXWB_1">'[10]CEX(W)'!$A$8:$IV$8</definedName>
    <definedName name="CEXWB_10">'[10]CEX(W)'!$A$56:$IV$56</definedName>
    <definedName name="CEXWB_11">'[10]CEX(W)'!$A$62:$IV$62</definedName>
    <definedName name="CEXWB_12">'[10]CEX(W)'!$A$67:$IV$67</definedName>
    <definedName name="CEXWB_2">'[10]CEX(W)'!$A$13:$IV$13</definedName>
    <definedName name="CEXWB_3">'[10]CEX(W)'!$A$19:$IV$19</definedName>
    <definedName name="CEXWB_4">'[10]CEX(W)'!$A$24:$IV$24</definedName>
    <definedName name="CEXWB_5">'[10]CEX(W)'!$A$29:$IV$29</definedName>
    <definedName name="CEXWB_6">'[10]CEX(W)'!$A$35:$IV$35</definedName>
    <definedName name="CEXWB_7">'[10]CEX(W)'!$A$40:$IV$40</definedName>
    <definedName name="CEXWB_8">'[10]CEX(W)'!$A$46:$IV$46</definedName>
    <definedName name="CEXWB_9">'[10]CEX(W)'!$A$51:$IV$51</definedName>
    <definedName name="Chemical_Scrap" localSheetId="0">'MAIN BERTH PLAN'!#REF!</definedName>
    <definedName name="Chemical_Scrap">#REF!</definedName>
    <definedName name="class" localSheetId="0">'MAIN BERTH PLAN'!#REF!</definedName>
    <definedName name="class">#REF!</definedName>
    <definedName name="CnEnd">[25]Assumptions!$G$18</definedName>
    <definedName name="Cntrs" localSheetId="0">'MAIN BERTH PLAN'!#REF!</definedName>
    <definedName name="Cntrs">#REF!</definedName>
    <definedName name="CorpTax" localSheetId="0">'MAIN BERTH PLAN'!#REF!</definedName>
    <definedName name="CorpTax">#REF!</definedName>
    <definedName name="cost_inflation" localSheetId="0">'MAIN BERTH PLAN'!#REF!</definedName>
    <definedName name="cost_inflation">#REF!</definedName>
    <definedName name="Cost_of_Sales">[12]OpSum!$A$35:$IV$35</definedName>
    <definedName name="Costs_sensitivity" localSheetId="0">'MAIN BERTH PLAN'!#REF!</definedName>
    <definedName name="Costs_sensitivity">#REF!</definedName>
    <definedName name="CPOCIFBase" localSheetId="0">[19]Scenarios!#REF!</definedName>
    <definedName name="CPOCIFBase">[19]Scenarios!#REF!</definedName>
    <definedName name="CPOCIFOptimistic" localSheetId="0">[19]Scenarios!#REF!</definedName>
    <definedName name="CPOCIFOptimistic">[19]Scenarios!#REF!</definedName>
    <definedName name="CPOCIFPessimistic">[19]Scenarios!#REF!</definedName>
    <definedName name="Crane_Utilisation" localSheetId="0">'MAIN BERTH PLAN'!#REF!</definedName>
    <definedName name="Crane_Utilisation">#REF!</definedName>
    <definedName name="_xlnm.Criteria" localSheetId="0">'MAIN BERTH PLAN'!#REF!</definedName>
    <definedName name="_xlnm.Criteria">#REF!</definedName>
    <definedName name="Critical_impact_factor" localSheetId="0">'MAIN BERTH PLAN'!#REF!</definedName>
    <definedName name="Critical_impact_factor">#REF!</definedName>
    <definedName name="CST_180" localSheetId="0">'MAIN BERTH PLAN'!#REF!</definedName>
    <definedName name="CST_180">#REF!</definedName>
    <definedName name="CST_380" localSheetId="0">'MAIN BERTH PLAN'!#REF!</definedName>
    <definedName name="CST_380">#REF!</definedName>
    <definedName name="Currency" localSheetId="0">'MAIN BERTH PLAN'!#REF!</definedName>
    <definedName name="Currency">#REF!</definedName>
    <definedName name="d">#N/A</definedName>
    <definedName name="DATA" localSheetId="0">'MAIN BERTH PLAN'!#REF!</definedName>
    <definedName name="DATA">#REF!</definedName>
    <definedName name="Database" localSheetId="0">'MAIN BERTH PLAN'!#REF!</definedName>
    <definedName name="Database">#REF!</definedName>
    <definedName name="DATEN" localSheetId="0">'MAIN BERTH PLAN'!#REF!</definedName>
    <definedName name="DATEN">#REF!</definedName>
    <definedName name="Days" localSheetId="0">'MAIN BERTH PLAN'!#REF!</definedName>
    <definedName name="Days">#REF!</definedName>
    <definedName name="DB" localSheetId="0">'MAIN BERTH PLAN'!#REF!</definedName>
    <definedName name="DB">#REF!</definedName>
    <definedName name="DBFJQ" localSheetId="0">'MAIN BERTH PLAN'!#REF!</definedName>
    <definedName name="DBFJQ">#REF!</definedName>
    <definedName name="dd" localSheetId="0">'MAIN BERTH PLAN'!#REF!</definedName>
    <definedName name="dd">#REF!</definedName>
    <definedName name="DD_years" localSheetId="0">'MAIN BERTH PLAN'!#REF!</definedName>
    <definedName name="DD_years">#REF!</definedName>
    <definedName name="ddd" localSheetId="0" hidden="1">{"adj95mult",#N/A,FALSE,"COMPCO";"adj95est",#N/A,FALSE,"COMPCO"}</definedName>
    <definedName name="ddd" hidden="1">{"adj95mult",#N/A,FALSE,"COMPCO";"adj95est",#N/A,FALSE,"COMPCO"}</definedName>
    <definedName name="dddd" localSheetId="0" hidden="1">{"mult96",#N/A,FALSE,"PETCOMP";"est96",#N/A,FALSE,"PETCOMP";"mult95",#N/A,FALSE,"PETCOMP";"est95",#N/A,FALSE,"PETCOMP";"multltm",#N/A,FALSE,"PETCOMP";"resultltm",#N/A,FALSE,"PETCOMP"}</definedName>
    <definedName name="dddd" hidden="1">{"mult96",#N/A,FALSE,"PETCOMP";"est96",#N/A,FALSE,"PETCOMP";"mult95",#N/A,FALSE,"PETCOMP";"est95",#N/A,FALSE,"PETCOMP";"multltm",#N/A,FALSE,"PETCOMP";"resultltm",#N/A,FALSE,"PETCOMP"}</definedName>
    <definedName name="Dec" localSheetId="0">'MAIN BERTH PLAN'!#REF!</definedName>
    <definedName name="Dec">#REF!</definedName>
    <definedName name="DEC.GH" localSheetId="0">'MAIN BERTH PLAN'!#REF!</definedName>
    <definedName name="DEC.GH">#REF!</definedName>
    <definedName name="Depn">[12]OpSum!$A$47:$IV$47</definedName>
    <definedName name="dese" localSheetId="0" hidden="1">{"adj95mult",#N/A,FALSE,"COMPCO";"adj95est",#N/A,FALSE,"COMPCO"}</definedName>
    <definedName name="dese" hidden="1">{"adj95mult",#N/A,FALSE,"COMPCO";"adj95est",#N/A,FALSE,"COMPCO"}</definedName>
    <definedName name="Discount_Rate">[12]ControlPanel!$E$28</definedName>
    <definedName name="dk" localSheetId="0" hidden="1">{"adj95mult",#N/A,FALSE,"COMPCO";"adj95est",#N/A,FALSE,"COMPCO"}</definedName>
    <definedName name="dk" hidden="1">{"adj95mult",#N/A,FALSE,"COMPCO";"adj95est",#N/A,FALSE,"COMPCO"}</definedName>
    <definedName name="dlack">[26]수입!#REF!</definedName>
    <definedName name="draft1" localSheetId="0">'MAIN BERTH PLAN'!#REF!</definedName>
    <definedName name="draft1">#REF!</definedName>
    <definedName name="draft2" localSheetId="0">'MAIN BERTH PLAN'!#REF!</definedName>
    <definedName name="draft2">#REF!</definedName>
    <definedName name="draft3" localSheetId="0">'MAIN BERTH PLAN'!#REF!</definedName>
    <definedName name="draft3">#REF!</definedName>
    <definedName name="DRAFTSURVEY" localSheetId="0">'[27]DRAFTSURVEY '!#REF!</definedName>
    <definedName name="DRAFTSURVEY">'[27]DRAFTSURVEY '!#REF!</definedName>
    <definedName name="DRAGON" localSheetId="0">'MAIN BERTH PLAN'!#REF!</definedName>
    <definedName name="DRAGON">#REF!</definedName>
    <definedName name="Druckbereich_MI" localSheetId="0">'MAIN BERTH PLAN'!#REF!</definedName>
    <definedName name="Druckbereich_MI">#REF!</definedName>
    <definedName name="e" localSheetId="0" hidden="1">{"EVA",#N/A,FALSE,"EVA";"WACC",#N/A,FALSE,"WACC"}</definedName>
    <definedName name="e" hidden="1">{"EVA",#N/A,FALSE,"EVA";"WACC",#N/A,FALSE,"WACC"}</definedName>
    <definedName name="EBITDA_Mulitplier">[12]ControlPanel!$E$29</definedName>
    <definedName name="ECS" localSheetId="0">'MAIN BERTH PLAN'!#REF!</definedName>
    <definedName name="ECS">#REF!</definedName>
    <definedName name="ecs2000_1">'[9]Scenario 1 - with HMM'!$B$86:$D$89</definedName>
    <definedName name="ecs2000_3a" localSheetId="0">'MAIN BERTH PLAN'!#REF!</definedName>
    <definedName name="ecs2000_3a">#REF!</definedName>
    <definedName name="ecs2000q4_3a" localSheetId="0">'MAIN BERTH PLAN'!#REF!</definedName>
    <definedName name="ecs2000q4_3a">#REF!</definedName>
    <definedName name="ecs2001_1">'[9]Scenario 1 - with HMM'!$H$86:$J$89</definedName>
    <definedName name="ecs2001q1_3a" localSheetId="0">'MAIN BERTH PLAN'!#REF!</definedName>
    <definedName name="ecs2001q1_3a">#REF!</definedName>
    <definedName name="ecs2001q2_3a" localSheetId="0">'MAIN BERTH PLAN'!#REF!</definedName>
    <definedName name="ecs2001q2_3a">#REF!</definedName>
    <definedName name="ecs2001q3_3a" localSheetId="0">'MAIN BERTH PLAN'!#REF!</definedName>
    <definedName name="ecs2001q3_3a">#REF!</definedName>
    <definedName name="ecs2001q4_3a" localSheetId="0">'MAIN BERTH PLAN'!#REF!</definedName>
    <definedName name="ecs2001q4_3a">#REF!</definedName>
    <definedName name="ecs2002q4_3a" localSheetId="0">'MAIN BERTH PLAN'!#REF!</definedName>
    <definedName name="ecs2002q4_3a">#REF!</definedName>
    <definedName name="EMA" localSheetId="0">'MAIN BERTH PLAN'!#REF!</definedName>
    <definedName name="EMA">#REF!</definedName>
    <definedName name="EPIC3" localSheetId="0">'MAIN BERTH PLAN'!#REF!</definedName>
    <definedName name="EPIC3">#REF!</definedName>
    <definedName name="EUR" localSheetId="0">'MAIN BERTH PLAN'!#REF!</definedName>
    <definedName name="EUR">#REF!</definedName>
    <definedName name="excel">#N/A</definedName>
    <definedName name="exchange_rate" localSheetId="0">'MAIN BERTH PLAN'!#REF!</definedName>
    <definedName name="exchange_rate">#REF!</definedName>
    <definedName name="EXCHRATE" localSheetId="0">'MAIN BERTH PLAN'!#REF!</definedName>
    <definedName name="EXCHRATE">#REF!</definedName>
    <definedName name="EXCHRATEGA">'[28]Exchange Rates-GA'!$A$5:$C$75</definedName>
    <definedName name="Extended" localSheetId="0">'MAIN BERTH PLAN'!#REF!</definedName>
    <definedName name="Extended">#REF!</definedName>
    <definedName name="EXU" localSheetId="0">'[29]VSL PARTICULARS'!#REF!</definedName>
    <definedName name="EXU">'[29]VSL PARTICULARS'!#REF!</definedName>
    <definedName name="F_B">[8]비용항목!$C$4</definedName>
    <definedName name="F_B원가">[8]비용항목!$C$19</definedName>
    <definedName name="F_number" localSheetId="0">'MAIN BERTH PLAN'!#REF!</definedName>
    <definedName name="F_number">#REF!</definedName>
    <definedName name="FAL" localSheetId="0">'MAIN BERTH PLAN'!#REF!</definedName>
    <definedName name="FAL">#REF!</definedName>
    <definedName name="Feb" localSheetId="0">'MAIN BERTH PLAN'!#REF!</definedName>
    <definedName name="Feb">#REF!</definedName>
    <definedName name="FEM" localSheetId="0">'MAIN BERTH PLAN'!#REF!</definedName>
    <definedName name="FEM">#REF!</definedName>
    <definedName name="FES" localSheetId="0">'MAIN BERTH PLAN'!#REF!</definedName>
    <definedName name="FES">#REF!</definedName>
    <definedName name="FEX" localSheetId="0">'MAIN BERTH PLAN'!#REF!</definedName>
    <definedName name="FEX">#REF!</definedName>
    <definedName name="fg1314TBTB4RTDKDKDKRT" localSheetId="0">'MAIN BERTH PLAN'!#REF!</definedName>
    <definedName name="fg1314TBTB4RTDKDKDKRT">#REF!</definedName>
    <definedName name="fg13TBTB6RTDKDK" localSheetId="0">'MAIN BERTH PLAN'!#REF!</definedName>
    <definedName name="fg13TBTB6RTDKDK">#REF!</definedName>
    <definedName name="FG13tbtbspspspsprtdkdk" localSheetId="0">'MAIN BERTH PLAN'!#REF!</definedName>
    <definedName name="FG13tbtbspspspsprtdkdk">#REF!</definedName>
    <definedName name="fg20TBTB5RTDKDK" localSheetId="0">[30]학교기부!#REF!</definedName>
    <definedName name="fg20TBTB5RTDKDK">[30]학교기부!#REF!</definedName>
    <definedName name="FG22TBTB3RTDKDKDK">[31]차수!#REF!</definedName>
    <definedName name="FG28TBTB4RTDK" localSheetId="0">'MAIN BERTH PLAN'!#REF!</definedName>
    <definedName name="FG28TBTB4RTDK">#REF!</definedName>
    <definedName name="FG44TBTB4RTDKDK" localSheetId="0">'MAIN BERTH PLAN'!#REF!</definedName>
    <definedName name="FG44TBTB4RTDKDK">#REF!</definedName>
    <definedName name="FG46TBTB4RTDKDK" localSheetId="0">'MAIN BERTH PLAN'!#REF!</definedName>
    <definedName name="FG46TBTB4RTDKDK">#REF!</definedName>
    <definedName name="fgh" localSheetId="0" hidden="1">{"adj95mult",#N/A,FALSE,"COMPCO";"adj95est",#N/A,FALSE,"COMPCO"}</definedName>
    <definedName name="fgh" hidden="1">{"adj95mult",#N/A,FALSE,"COMPCO";"adj95est",#N/A,FALSE,"COMPCO"}</definedName>
    <definedName name="FIND" localSheetId="0">'MAIN BERTH PLAN'!#REF!</definedName>
    <definedName name="FIND">#REF!</definedName>
    <definedName name="FinYrEnd" localSheetId="0">'MAIN BERTH PLAN'!#REF!</definedName>
    <definedName name="FinYrEnd">#REF!</definedName>
    <definedName name="FLEET_SPEC" localSheetId="0">'MAIN BERTH PLAN'!#REF!</definedName>
    <definedName name="FLEET_SPEC">#REF!</definedName>
    <definedName name="FLOATEL_MGT">[8]비용항목!$C$89</definedName>
    <definedName name="FLOATEL_급식비">[8]비용항목!$C$72</definedName>
    <definedName name="FLOATELD_E선용품">[8]비용항목!$G$17</definedName>
    <definedName name="FLOATELGO소모량">[8]비용항목!$C$14</definedName>
    <definedName name="FLOATELUNIFORM">[8]비용항목!$G$23</definedName>
    <definedName name="FLOATEL개발선원비">[8]비용항목!$C$48</definedName>
    <definedName name="FLOATEL개발선원수">[8]비용항목!$C$53</definedName>
    <definedName name="FLOATEL고정비">[8]비용항목!$G$103</definedName>
    <definedName name="FLOATEL공연기자재비">[8]비용항목!$G$12</definedName>
    <definedName name="FLOATEL관광조장수">[8]비용항목!$C$59</definedName>
    <definedName name="FLOATEL선박보험">[8]비용항목!$G$30</definedName>
    <definedName name="FLOATEL선원교체비">[8]비용항목!$C$66</definedName>
    <definedName name="FLOATEL선주사선원수">[8]비용항목!$C$29</definedName>
    <definedName name="FLOATEL소모품비">[8]비용항목!$C$96</definedName>
    <definedName name="FLOATEL수리비">[8]비용항목!$G$79</definedName>
    <definedName name="FLOATEL승객수">[8]비용항목!$G$95</definedName>
    <definedName name="FLOATEL식당이용선원수">[8]비용항목!$C$77</definedName>
    <definedName name="FLOATEL연예인선원비">[8]비용항목!$C$36</definedName>
    <definedName name="FLOATEL연예인수">[8]비용항목!$C$42</definedName>
    <definedName name="FLOATEL오물수거비">[8]비용항목!$G$53</definedName>
    <definedName name="FLOATEL용선료">[8]비용항목!$G$70</definedName>
    <definedName name="FLOATEL집기비품">[8]비용항목!$G$6</definedName>
    <definedName name="FLOATEL청수비">[8]비용항목!$G$47</definedName>
    <definedName name="FLOATEL항차수">[8]비용항목!$G$86</definedName>
    <definedName name="FNames" localSheetId="0">'MAIN BERTH PLAN'!#REF!</definedName>
    <definedName name="FNames">#REF!</definedName>
    <definedName name="FRW" localSheetId="0" hidden="1">{"adj95mult",#N/A,FALSE,"COMPCO";"adj95est",#N/A,FALSE,"COMPCO"}</definedName>
    <definedName name="FRW" hidden="1">{"adj95mult",#N/A,FALSE,"COMPCO";"adj95est",#N/A,FALSE,"COMPCO"}</definedName>
    <definedName name="G.RCPIX" localSheetId="0">[32]NS!$J$82:$AB$82</definedName>
    <definedName name="G.RCPIX">[32]NS!$J$82:$AB$82</definedName>
    <definedName name="GCC_sensitivity" localSheetId="0">'MAIN BERTH PLAN'!#REF!</definedName>
    <definedName name="GCC_sensitivity">#REF!</definedName>
    <definedName name="GCP" localSheetId="0">'MAIN BERTH PLAN'!#REF!</definedName>
    <definedName name="GCP">#REF!</definedName>
    <definedName name="GCTHeadcount">'[33]GCT Model'!$E$14:$X$33</definedName>
    <definedName name="GFRoyalty_sensitivity" localSheetId="0">'MAIN BERTH PLAN'!#REF!</definedName>
    <definedName name="GFRoyalty_sensitivity">#REF!</definedName>
    <definedName name="gg" localSheetId="0" hidden="1">{"adj95mult",#N/A,FALSE,"COMPCO";"adj95est",#N/A,FALSE,"COMPCO"}</definedName>
    <definedName name="gg" hidden="1">{"adj95mult",#N/A,FALSE,"COMPCO";"adj95est",#N/A,FALSE,"COMPCO"}</definedName>
    <definedName name="GGGG" localSheetId="0" hidden="1">{"EVA",#N/A,FALSE,"EVA";"WACC",#N/A,FALSE,"WACC"}</definedName>
    <definedName name="GGGG" hidden="1">{"EVA",#N/A,FALSE,"EVA";"WACC",#N/A,FALSE,"WACC"}</definedName>
    <definedName name="Global" localSheetId="0" hidden="1">{"adj95mult",#N/A,FALSE,"COMPCO";"adj95est",#N/A,FALSE,"COMPCO"}</definedName>
    <definedName name="Global" hidden="1">{"adj95mult",#N/A,FALSE,"COMPCO";"adj95est",#N/A,FALSE,"COMPCO"}</definedName>
    <definedName name="GO단가">[8]비용항목!$C$10</definedName>
    <definedName name="GPShare_sensitivity" localSheetId="0">'MAIN BERTH PLAN'!#REF!</definedName>
    <definedName name="GPShare_sensitivity">#REF!</definedName>
    <definedName name="GSC" localSheetId="0">'MAIN BERTH PLAN'!#REF!</definedName>
    <definedName name="GSC">#REF!</definedName>
    <definedName name="gyhf" localSheetId="0">'MAIN BERTH PLAN'!#REF!</definedName>
    <definedName name="gyhf">#REF!</definedName>
    <definedName name="h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H_105호_필리핀해원_승선전_교육_부원_11명__5_13__해무부회의실" localSheetId="0">'MAIN BERTH PLAN'!#REF!</definedName>
    <definedName name="H_105호_필리핀해원_승선전_교육_부원_11명__5_13__해무부회의실">#REF!</definedName>
    <definedName name="Ham" localSheetId="0">'MAIN BERTH PLAN'!#REF!</definedName>
    <definedName name="Ham">#REF!</definedName>
    <definedName name="han" localSheetId="0">'MAIN BERTH PLAN'!#REF!</definedName>
    <definedName name="han">#REF!</definedName>
    <definedName name="handling_cost" localSheetId="0">'MAIN BERTH PLAN'!#REF!</definedName>
    <definedName name="handling_cost">#REF!</definedName>
    <definedName name="harbor" localSheetId="0">'MAIN BERTH PLAN'!#REF!</definedName>
    <definedName name="harbor">#REF!</definedName>
    <definedName name="HD_CON6_CKM" localSheetId="0">'MAIN BERTH PLAN'!#REF!</definedName>
    <definedName name="HD_CON6_CKM">#REF!</definedName>
    <definedName name="Headcount">'[33]CT Head Count'!$F$5:$Y$179</definedName>
    <definedName name="Heavyvehiclesbaseprice" localSheetId="0">[19]Capex!#REF!</definedName>
    <definedName name="Heavyvehiclesbaseprice">[19]Capex!#REF!</definedName>
    <definedName name="hhhh" localSheetId="0" hidden="1">{"EVA",#N/A,FALSE,"EVA";"WACC",#N/A,FALSE,"WACC"}</definedName>
    <definedName name="hhhh" hidden="1">{"EVA",#N/A,FALSE,"EVA";"WACC",#N/A,FALSE,"WACC"}</definedName>
    <definedName name="HII구분손익" localSheetId="0">'MAIN BERTH PLAN'!#REF!</definedName>
    <definedName name="HII구분손익">#REF!</definedName>
    <definedName name="hj" localSheetId="0">'MAIN BERTH PLAN'!#REF!</definedName>
    <definedName name="hj">#REF!</definedName>
    <definedName name="HJ_HVY" localSheetId="0">'MAIN BERTH PLAN'!#REF!</definedName>
    <definedName name="HJ_HVY">#REF!</definedName>
    <definedName name="hoot" localSheetId="0" hidden="1">{"DCF","UPSIDE CASE",FALSE,"Sheet1";"DCF","BASE CASE",FALSE,"Sheet1";"DCF","DOWNSIDE CASE",FALSE,"Sheet1"}</definedName>
    <definedName name="hoot" hidden="1">{"DCF","UPSIDE CASE",FALSE,"Sheet1";"DCF","BASE CASE",FALSE,"Sheet1";"DCF","DOWNSIDE CASE",FALSE,"Sheet1"}</definedName>
    <definedName name="Housefurniturebaseprice">[19]Capex!#REF!</definedName>
    <definedName name="IB" localSheetId="0">'MAIN BERTH PLAN'!#REF!</definedName>
    <definedName name="IB">#REF!</definedName>
    <definedName name="insrow" localSheetId="0">'MAIN BERTH PLAN'!#REF!</definedName>
    <definedName name="insrow">#REF!</definedName>
    <definedName name="interest">#N/A</definedName>
    <definedName name="InterestIncomeDiff">'[25]Cash Cascade'!$D$194</definedName>
    <definedName name="ISE" localSheetId="0">'MAIN BERTH PLAN'!#REF!</definedName>
    <definedName name="ISE">#REF!</definedName>
    <definedName name="IS환율" localSheetId="0">'MAIN BERTH PLAN'!#REF!</definedName>
    <definedName name="IS환율">#REF!</definedName>
    <definedName name="Jan" localSheetId="0">'MAIN BERTH PLAN'!#REF!</definedName>
    <definedName name="Jan">#REF!</definedName>
    <definedName name="JEX" localSheetId="0">'MAIN BERTH PLAN'!#REF!</definedName>
    <definedName name="JEX">#REF!</definedName>
    <definedName name="JEXEB_1">'[10]JEX(E)'!$A$8:$IV$8</definedName>
    <definedName name="JEXEB_10">'[10]JEX(E)'!$A$56:$IV$56</definedName>
    <definedName name="JEXEB_11">'[10]JEX(E)'!$A$62:$IV$62</definedName>
    <definedName name="JEXEB_12">'[10]JEX(E)'!$A$67:$IV$67</definedName>
    <definedName name="JEXEB_2">'[10]JEX(E)'!$A$13:$IV$13</definedName>
    <definedName name="JEXEB_3">'[10]JEX(E)'!$A$19:$IV$19</definedName>
    <definedName name="JEXEB_4">'[10]JEX(E)'!$A$24:$IV$24</definedName>
    <definedName name="JEXEB_5">'[10]JEX(E)'!$A$29:$IV$29</definedName>
    <definedName name="JEXEB_6">'[10]JEX(E)'!$A$35:$IV$35</definedName>
    <definedName name="JEXEB_7">'[10]JEX(E)'!$A$40:$IV$40</definedName>
    <definedName name="JEXEB_8">'[10]JEX(E)'!$A$46:$IV$46</definedName>
    <definedName name="JEXEB_9">'[10]JEX(E)'!$A$51:$IV$51</definedName>
    <definedName name="JEXWB_1">'[10]JEX(W)'!$A$8:$IV$8</definedName>
    <definedName name="JEXWB_10">'[10]JEX(W)'!$A$56:$IV$56</definedName>
    <definedName name="JEXWB_11">'[10]JEX(W)'!$A$62:$IV$62</definedName>
    <definedName name="JEXWB_12">'[10]JEX(W)'!$A$67:$IV$67</definedName>
    <definedName name="JEXWB_2">'[10]JEX(W)'!$A$13:$IV$13</definedName>
    <definedName name="JEXWB_3">'[10]JEX(W)'!$A$19:$IV$19</definedName>
    <definedName name="JEXWB_4">'[10]JEX(W)'!$A$24:$IV$24</definedName>
    <definedName name="JEXWB_5">'[10]JEX(W)'!$A$29:$IV$29</definedName>
    <definedName name="JEXWB_6">'[10]JEX(W)'!$A$35:$IV$35</definedName>
    <definedName name="JEXWB_7">'[10]JEX(W)'!$A$40:$IV$40</definedName>
    <definedName name="JEXWB_8">'[10]JEX(W)'!$A$46:$IV$46</definedName>
    <definedName name="JEXWB_9">'[10]JEX(W)'!$A$51:$IV$51</definedName>
    <definedName name="jhgmg" localSheetId="0">'MAIN BERTH PLAN'!#REF!</definedName>
    <definedName name="jhgmg">#REF!</definedName>
    <definedName name="jj" localSheetId="0" hidden="1">{"adj95mult",#N/A,FALSE,"COMPCO";"adj95est",#N/A,FALSE,"COMPCO"}</definedName>
    <definedName name="jj" hidden="1">{"adj95mult",#N/A,FALSE,"COMPCO";"adj95est",#N/A,FALSE,"COMPCO"}</definedName>
    <definedName name="Jul" localSheetId="0">'MAIN BERTH PLAN'!#REF!</definedName>
    <definedName name="Jul">#REF!</definedName>
    <definedName name="Jun" localSheetId="0">'MAIN BERTH PLAN'!#REF!</definedName>
    <definedName name="Jun">#REF!</definedName>
    <definedName name="Kernelprice" localSheetId="0">[19]Assumptions!#REF!</definedName>
    <definedName name="Kernelprice">[19]Assumptions!#REF!</definedName>
    <definedName name="kk" localSheetId="0" hidden="1">{"mult96",#N/A,FALSE,"PETCOMP";"est96",#N/A,FALSE,"PETCOMP";"mult95",#N/A,FALSE,"PETCOMP";"est95",#N/A,FALSE,"PETCOMP";"multltm",#N/A,FALSE,"PETCOMP";"resultltm",#N/A,FALSE,"PETCOMP"}</definedName>
    <definedName name="kk" hidden="1">{"mult96",#N/A,FALSE,"PETCOMP";"est96",#N/A,FALSE,"PETCOMP";"mult95",#N/A,FALSE,"PETCOMP";"est95",#N/A,FALSE,"PETCOMP";"multltm",#N/A,FALSE,"PETCOMP";"resultltm",#N/A,FALSE,"PETCOMP"}</definedName>
    <definedName name="kkk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kk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KORPEN대리점">[8]비용항목!$G$43</definedName>
    <definedName name="KRW" localSheetId="0">'MAIN BERTH PLAN'!#REF!</definedName>
    <definedName name="KRW">#REF!</definedName>
    <definedName name="l">#N/A</definedName>
    <definedName name="LAS">[34]LAS!$A$5:$H$84</definedName>
    <definedName name="LAX">[35]lax!$A$1:$J$1682</definedName>
    <definedName name="LIBOR" localSheetId="0">'MAIN BERTH PLAN'!#REF!</definedName>
    <definedName name="LIBOR">#REF!</definedName>
    <definedName name="Lines" localSheetId="0">'MAIN BERTH PLAN'!#REF!</definedName>
    <definedName name="Lines">#REF!</definedName>
    <definedName name="LION" localSheetId="0">'MAIN BERTH PLAN'!#REF!</definedName>
    <definedName name="LION">#REF!</definedName>
    <definedName name="list00" localSheetId="0">'MAIN BERTH PLAN'!#REF!</definedName>
    <definedName name="list00">#REF!</definedName>
    <definedName name="list9" localSheetId="0">'MAIN BERTH PLAN'!#REF!</definedName>
    <definedName name="list9">#REF!</definedName>
    <definedName name="local" localSheetId="0">'MAIN BERTH PLAN'!#REF!</definedName>
    <definedName name="local">#REF!</definedName>
    <definedName name="LOOP1" localSheetId="0">'MAIN BERTH PLAN'!#REF!</definedName>
    <definedName name="LOOP1">#REF!</definedName>
    <definedName name="LOOP2" localSheetId="0">'MAIN BERTH PLAN'!#REF!</definedName>
    <definedName name="LOOP2">#REF!</definedName>
    <definedName name="LOOP3" localSheetId="0">'MAIN BERTH PLAN'!#REF!</definedName>
    <definedName name="LOOP3">#REF!</definedName>
    <definedName name="LOOP4" localSheetId="0">'MAIN BERTH PLAN'!#REF!</definedName>
    <definedName name="LOOP4">#REF!</definedName>
    <definedName name="LOOP5" localSheetId="0">'MAIN BERTH PLAN'!#REF!</definedName>
    <definedName name="LOOP5">#REF!</definedName>
    <definedName name="LOOP6" localSheetId="0">'MAIN BERTH PLAN'!#REF!</definedName>
    <definedName name="LOOP6">#REF!</definedName>
    <definedName name="LOOP7" localSheetId="0">'MAIN BERTH PLAN'!#REF!</definedName>
    <definedName name="LOOP7">#REF!</definedName>
    <definedName name="LOOPF" localSheetId="0">'MAIN BERTH PLAN'!#REF!</definedName>
    <definedName name="LOOPF">#REF!</definedName>
    <definedName name="LsTable" localSheetId="0">'MAIN BERTH PLAN'!#REF!</definedName>
    <definedName name="LsTable">#REF!</definedName>
    <definedName name="Makro2">[11]Makro1!$A$1</definedName>
    <definedName name="Makro3" localSheetId="0">'MAIN BERTH PLAN'!#REF!</definedName>
    <definedName name="Makro3">#REF!</definedName>
    <definedName name="Makro4" localSheetId="0">'MAIN BERTH PLAN'!#REF!</definedName>
    <definedName name="Makro4">#REF!</definedName>
    <definedName name="Mar" localSheetId="0">'MAIN BERTH PLAN'!#REF!</definedName>
    <definedName name="Mar">#REF!</definedName>
    <definedName name="MAX" localSheetId="0">'MAIN BERTH PLAN'!#REF!</definedName>
    <definedName name="MAX">#REF!</definedName>
    <definedName name="max2000_1">'[9]Scenario 1 - with HMM'!$B$100:$D$102</definedName>
    <definedName name="max2000_3a" localSheetId="0">'MAIN BERTH PLAN'!#REF!</definedName>
    <definedName name="max2000_3a">#REF!</definedName>
    <definedName name="max2001_1">'[9]Scenario 1 - with HMM'!$H$100:$J$103</definedName>
    <definedName name="max2001_3a" localSheetId="0">'MAIN BERTH PLAN'!#REF!</definedName>
    <definedName name="max2001_3a">#REF!</definedName>
    <definedName name="May" localSheetId="0">'MAIN BERTH PLAN'!#REF!</definedName>
    <definedName name="May">#REF!</definedName>
    <definedName name="MDO_MGO" localSheetId="0">'MAIN BERTH PLAN'!#REF!</definedName>
    <definedName name="MDO_MGO">#REF!</definedName>
    <definedName name="MED" localSheetId="0">'MAIN BERTH PLAN'!#REF!</definedName>
    <definedName name="MED">#REF!</definedName>
    <definedName name="Med2000_1">'[9]Scenario 1 - with HMM'!$B$30:$D$35</definedName>
    <definedName name="med2000_3a" localSheetId="0">'MAIN BERTH PLAN'!#REF!</definedName>
    <definedName name="med2000_3a">#REF!</definedName>
    <definedName name="med2001_1">'[9]Scenario 1 - with HMM'!$H$30:$J$34</definedName>
    <definedName name="med2001_3a" localSheetId="0">'MAIN BERTH PLAN'!#REF!</definedName>
    <definedName name="med2001_3a">#REF!</definedName>
    <definedName name="menu" localSheetId="0">'MAIN BERTH PLAN'!#REF!</definedName>
    <definedName name="menu">#REF!</definedName>
    <definedName name="MEX" localSheetId="0">'MAIN BERTH PLAN'!#REF!</definedName>
    <definedName name="MEX">#REF!</definedName>
    <definedName name="MF_sensitivity" localSheetId="0">'MAIN BERTH PLAN'!#REF!</definedName>
    <definedName name="MF_sensitivity">#REF!</definedName>
    <definedName name="MIN" localSheetId="0">'MAIN BERTH PLAN'!#REF!</definedName>
    <definedName name="MIN">#REF!</definedName>
    <definedName name="MnPrYr">[25]Assumptions!$G$25</definedName>
    <definedName name="ModelStart">[25]Assumptions!$G$13</definedName>
    <definedName name="Month">"data"</definedName>
    <definedName name="month_comm">'[33]Validation lists'!$AC$6:$AD$17</definedName>
    <definedName name="Ms" localSheetId="0">'MAIN BERTH PLAN'!#REF!</definedName>
    <definedName name="Ms">#REF!</definedName>
    <definedName name="MSC" localSheetId="0" hidden="1">{"adj95mult",#N/A,FALSE,"COMPCO";"adj95est",#N/A,FALSE,"COMPCO"}</definedName>
    <definedName name="MSC" hidden="1">{"adj95mult",#N/A,FALSE,"COMPCO";"adj95est",#N/A,FALSE,"COMPCO"}</definedName>
    <definedName name="MSE_AcqDate" localSheetId="0">'MAIN BERTH PLAN'!#REF!</definedName>
    <definedName name="MSE_AcqDate">#REF!</definedName>
    <definedName name="MSE_AcqYr" localSheetId="0">'MAIN BERTH PLAN'!#REF!</definedName>
    <definedName name="MSE_AcqYr">#REF!</definedName>
    <definedName name="MSE_Price" localSheetId="0">'MAIN BERTH PLAN'!#REF!</definedName>
    <definedName name="MSE_Price">#REF!</definedName>
    <definedName name="MSL비교" localSheetId="0" hidden="1">{"adj95mult",#N/A,FALSE,"COMPCO";"adj95est",#N/A,FALSE,"COMPCO"}</definedName>
    <definedName name="MSL비교" hidden="1">{"adj95mult",#N/A,FALSE,"COMPCO";"adj95est",#N/A,FALSE,"COMPCO"}</definedName>
    <definedName name="Mth00">[4]Revenue!$E$6</definedName>
    <definedName name="MYR" localSheetId="0">'MAIN BERTH PLAN'!#REF!</definedName>
    <definedName name="MYR">#REF!</definedName>
    <definedName name="NAME" localSheetId="0">'MAIN BERTH PLAN'!#REF!</definedName>
    <definedName name="NAME">#REF!</definedName>
    <definedName name="NAP" localSheetId="0">'MAIN BERTH PLAN'!#REF!</definedName>
    <definedName name="NAP">#REF!</definedName>
    <definedName name="nb_1999" localSheetId="0">'[5]NB-MKT'!#REF!</definedName>
    <definedName name="nb_1999">'[5]NB-MKT'!#REF!</definedName>
    <definedName name="NCX" localSheetId="0">'MAIN BERTH PLAN'!#REF!</definedName>
    <definedName name="NCX">#REF!</definedName>
    <definedName name="new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ew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nn" localSheetId="0" hidden="1">{"mult96",#N/A,FALSE,"PETCOMP";"est96",#N/A,FALSE,"PETCOMP";"mult95",#N/A,FALSE,"PETCOMP";"est95",#N/A,FALSE,"PETCOMP";"multltm",#N/A,FALSE,"PETCOMP";"resultltm",#N/A,FALSE,"PETCOMP"}</definedName>
    <definedName name="nn" hidden="1">{"mult96",#N/A,FALSE,"PETCOMP";"est96",#N/A,FALSE,"PETCOMP";"mult95",#N/A,FALSE,"PETCOMP";"est95",#N/A,FALSE,"PETCOMP";"multltm",#N/A,FALSE,"PETCOMP";"resultltm",#N/A,FALSE,"PETCOMP"}</definedName>
    <definedName name="NO." localSheetId="0">'MAIN BERTH PLAN'!#REF!</definedName>
    <definedName name="NO.">#REF!</definedName>
    <definedName name="No._of_days_in_a_year" localSheetId="0">'MAIN BERTH PLAN'!#REF!</definedName>
    <definedName name="No._of_days_in_a_year">#REF!</definedName>
    <definedName name="No._of_dwell_days" localSheetId="0">'MAIN BERTH PLAN'!#REF!</definedName>
    <definedName name="No._of_dwell_days">#REF!</definedName>
    <definedName name="No_months_per_year" localSheetId="0">'MAIN BERTH PLAN'!#REF!</definedName>
    <definedName name="No_months_per_year">#REF!</definedName>
    <definedName name="normal" localSheetId="0">'MAIN BERTH PLAN'!#REF!</definedName>
    <definedName name="normal">#REF!</definedName>
    <definedName name="Nov" localSheetId="0">'MAIN BERTH PLAN'!#REF!</definedName>
    <definedName name="Nov">#REF!</definedName>
    <definedName name="NUE" localSheetId="0">'MAIN BERTH PLAN'!#REF!</definedName>
    <definedName name="NUE">#REF!</definedName>
    <definedName name="numberofship" localSheetId="0">'MAIN BERTH PLAN'!#REF!</definedName>
    <definedName name="numberofship">#REF!</definedName>
    <definedName name="NURJAMAN" localSheetId="0">'MAIN BERTH PLAN'!#REF!</definedName>
    <definedName name="NURJAMAN">#REF!</definedName>
    <definedName name="O" localSheetId="0">{"DCF","UPSIDE CASE",FALSE,"Sheet1";"DCF","BASE CASE",FALSE,"Sheet1";"DCF","DOWNSIDE CASE",FALSE,"Sheet1"}</definedName>
    <definedName name="O">{"DCF","UPSIDE CASE",FALSE,"Sheet1";"DCF","BASE CASE",FALSE,"Sheet1";"DCF","DOWNSIDE CASE",FALSE,"Sheet1"}</definedName>
    <definedName name="Oct" localSheetId="0">'MAIN BERTH PLAN'!#REF!</definedName>
    <definedName name="Oct">#REF!</definedName>
    <definedName name="OFF" localSheetId="0">'MAIN BERTH PLAN'!#REF!</definedName>
    <definedName name="OFF">#REF!</definedName>
    <definedName name="Officefurniturebaseprice" localSheetId="0">[19]Capex!#REF!</definedName>
    <definedName name="Officefurniturebaseprice">[19]Capex!#REF!</definedName>
    <definedName name="oiu" localSheetId="0">'MAIN BERTH PLAN'!#REF!</definedName>
    <definedName name="oiu">#REF!</definedName>
    <definedName name="Op_Costs">[12]OpSum!$A$41:$IV$41</definedName>
    <definedName name="opgmgn" localSheetId="0">'MAIN BERTH PLAN'!#REF!</definedName>
    <definedName name="opgmgn">#REF!</definedName>
    <definedName name="OpnPeriod">[25]Assumptions!$G$29</definedName>
    <definedName name="OPO" localSheetId="2">[36]!OPO</definedName>
    <definedName name="OPO" localSheetId="0">[36]!OPO</definedName>
    <definedName name="OPO" localSheetId="3">[36]!OPO</definedName>
    <definedName name="OPO">[36]!OPO</definedName>
    <definedName name="optr">'[21]04 Profile'!$P$3:$P$19</definedName>
    <definedName name="ORIGIN별성장" localSheetId="0">'[37]지방,해외배부'!#REF!</definedName>
    <definedName name="ORIGIN별성장">'[37]지방,해외배부'!#REF!</definedName>
    <definedName name="Othermachinerybaseprice" localSheetId="0">[19]Capex!#REF!</definedName>
    <definedName name="Othermachinerybaseprice">[19]Capex!#REF!</definedName>
    <definedName name="P" localSheetId="0">'MAIN BERTH PLAN'!#REF!</definedName>
    <definedName name="P">#REF!</definedName>
    <definedName name="PAKISTAN" localSheetId="0">'MAIN BERTH PLAN'!#REF!</definedName>
    <definedName name="PAKISTAN">#REF!</definedName>
    <definedName name="PDE" localSheetId="0">'MAIN BERTH PLAN'!#REF!</definedName>
    <definedName name="PDE">#REF!</definedName>
    <definedName name="PDS" localSheetId="0">'MAIN BERTH PLAN'!#REF!</definedName>
    <definedName name="PDS">#REF!</definedName>
    <definedName name="Peak_factor" localSheetId="0">'MAIN BERTH PLAN'!#REF!</definedName>
    <definedName name="Peak_factor">#REF!</definedName>
    <definedName name="Perpetual_Growth">[12]ControlPanel!$E$30</definedName>
    <definedName name="Petrol_Scrap" localSheetId="0">'MAIN BERTH PLAN'!#REF!</definedName>
    <definedName name="Petrol_Scrap">#REF!</definedName>
    <definedName name="Pilotage" localSheetId="0">'MAIN BERTH PLAN'!#REF!</definedName>
    <definedName name="Pilotage">#REF!</definedName>
    <definedName name="plan9">[38]INOBTB!$A$2:$W$19</definedName>
    <definedName name="pnw" localSheetId="0">'MAIN BERTH PLAN'!#REF!</definedName>
    <definedName name="pnw">#REF!</definedName>
    <definedName name="Podctr" localSheetId="0">'MAIN BERTH PLAN'!#REF!</definedName>
    <definedName name="Podctr">#REF!</definedName>
    <definedName name="Porctr" localSheetId="0">'MAIN BERTH PLAN'!#REF!</definedName>
    <definedName name="Porctr">#REF!</definedName>
    <definedName name="PORT_ALLOC" localSheetId="0">'MAIN BERTH PLAN'!#REF!</definedName>
    <definedName name="PORT_ALLOC">#REF!</definedName>
    <definedName name="PORT_ALLOC_PAX" localSheetId="0">'MAIN BERTH PLAN'!#REF!</definedName>
    <definedName name="PORT_ALLOC_PAX">#REF!</definedName>
    <definedName name="PORT_ALLOC_PAX_EB" localSheetId="0">'MAIN BERTH PLAN'!#REF!</definedName>
    <definedName name="PORT_ALLOC_PAX_EB">#REF!</definedName>
    <definedName name="PORT_ALLOC_PAX_WB" localSheetId="0">'MAIN BERTH PLAN'!#REF!</definedName>
    <definedName name="PORT_ALLOC_PAX_WB">#REF!</definedName>
    <definedName name="PORT_ALLOC_VW" localSheetId="0">'MAIN BERTH PLAN'!#REF!</definedName>
    <definedName name="PORT_ALLOC_VW">#REF!</definedName>
    <definedName name="PORT_COST" localSheetId="0">'MAIN BERTH PLAN'!#REF!</definedName>
    <definedName name="PORT_COST">#REF!</definedName>
    <definedName name="PORT_FIXED" localSheetId="0">'MAIN BERTH PLAN'!#REF!</definedName>
    <definedName name="PORT_FIXED">#REF!</definedName>
    <definedName name="PORT_VAR" localSheetId="0">'MAIN BERTH PLAN'!#REF!</definedName>
    <definedName name="PORT_VAR">#REF!</definedName>
    <definedName name="portcharges" localSheetId="0">'MAIN BERTH PLAN'!#REF!</definedName>
    <definedName name="portcharges">#REF!</definedName>
    <definedName name="ports">'[39]port-charges'!$A$6:$B$34</definedName>
    <definedName name="Priceperday" localSheetId="0">'MAIN BERTH PLAN'!#REF!</definedName>
    <definedName name="Priceperday">#REF!</definedName>
    <definedName name="_xlnm.Print_Area" localSheetId="2">'BERTHING WAITING LIST '!$A$1:$DH$411</definedName>
    <definedName name="_xlnm.Print_Area" localSheetId="0">'MAIN BERTH PLAN'!$A$1:$BP$133</definedName>
    <definedName name="_xlnm.Print_Area" localSheetId="3">'OMITING VESSELS'!$A$1:$DH$411</definedName>
    <definedName name="_xlnm.Print_Area">#N/A</definedName>
    <definedName name="PRINT_AREA_MI" localSheetId="0">'MAIN BERTH PLAN'!#REF!</definedName>
    <definedName name="PRINT_AREA_MI">#REF!</definedName>
    <definedName name="PRINT_AREA_MI1" localSheetId="0">'MAIN BERTH PLAN'!#REF!</definedName>
    <definedName name="PRINT_AREA_MI1">#REF!</definedName>
    <definedName name="_xlnm.Print_Titles">#N/A</definedName>
    <definedName name="print4" localSheetId="0">'MAIN BERTH PLAN'!#REF!</definedName>
    <definedName name="print4">#REF!</definedName>
    <definedName name="Project_cost_sensitivity" localSheetId="0">'MAIN BERTH PLAN'!#REF!</definedName>
    <definedName name="Project_cost_sensitivity">#REF!</definedName>
    <definedName name="ProjectName" localSheetId="0">'MAIN BERTH PLAN'!#REF!</definedName>
    <definedName name="ProjectName">#REF!</definedName>
    <definedName name="PSW" localSheetId="0">'MAIN BERTH PLAN'!#REF!</definedName>
    <definedName name="PSW">#REF!</definedName>
    <definedName name="PSX" localSheetId="0">[40]FSHPL!#REF!</definedName>
    <definedName name="PSX">[40]FSHPL!#REF!</definedName>
    <definedName name="Pusan">[35]pusan!$A$2:$H$1355</definedName>
    <definedName name="Q91A" localSheetId="0">'MAIN BERTH PLAN'!#REF!</definedName>
    <definedName name="Q91A">#REF!</definedName>
    <definedName name="q91b" localSheetId="0">'MAIN BERTH PLAN'!#REF!</definedName>
    <definedName name="q91b">#REF!</definedName>
    <definedName name="RAG">#N/A</definedName>
    <definedName name="RANGE" localSheetId="0">'MAIN BERTH PLAN'!#REF!</definedName>
    <definedName name="RANGE">#REF!</definedName>
    <definedName name="RAT" localSheetId="0">'MAIN BERTH PLAN'!#REF!</definedName>
    <definedName name="RAT">#REF!</definedName>
    <definedName name="Rate_sensitivity" localSheetId="0">'MAIN BERTH PLAN'!#REF!</definedName>
    <definedName name="Rate_sensitivity">#REF!</definedName>
    <definedName name="Recorder" localSheetId="0">'MAIN BERTH PLAN'!#REF!</definedName>
    <definedName name="Recorder">#REF!</definedName>
    <definedName name="reg">[41]region!$A$1:$B$65536</definedName>
    <definedName name="REPAY" localSheetId="0">'MAIN BERTH PLAN'!#REF!</definedName>
    <definedName name="REPAY">#REF!</definedName>
    <definedName name="RepayNew1" localSheetId="0">'MAIN BERTH PLAN'!#REF!</definedName>
    <definedName name="RepayNew1">#REF!</definedName>
    <definedName name="RepayNew2" localSheetId="0">'MAIN BERTH PLAN'!#REF!</definedName>
    <definedName name="RepayNew2">#REF!</definedName>
    <definedName name="RETAIL">[8]비용항목!$C$5</definedName>
    <definedName name="RETAIL원가">[8]비용항목!$C$20</definedName>
    <definedName name="Revenue">[12]OpSum!$A$23:$IV$23</definedName>
    <definedName name="revenue_inflation" localSheetId="0">'MAIN BERTH PLAN'!#REF!</definedName>
    <definedName name="revenue_inflation">#REF!</definedName>
    <definedName name="rggrgrgrgr" localSheetId="0" hidden="1">{"mult96",#N/A,FALSE,"PETCOMP";"est96",#N/A,FALSE,"PETCOMP";"mult95",#N/A,FALSE,"PETCOMP";"est95",#N/A,FALSE,"PETCOMP";"multltm",#N/A,FALSE,"PETCOMP";"resultltm",#N/A,FALSE,"PETCOMP"}</definedName>
    <definedName name="rggrgrgrgr" hidden="1">{"mult96",#N/A,FALSE,"PETCOMP";"est96",#N/A,FALSE,"PETCOMP";"mult95",#N/A,FALSE,"PETCOMP";"est95",#N/A,FALSE,"PETCOMP";"multltm",#N/A,FALSE,"PETCOMP";"resultltm",#N/A,FALSE,"PETCOMP"}</definedName>
    <definedName name="Rig" localSheetId="0">'MAIN BERTH PLAN'!#REF!</definedName>
    <definedName name="Rig">#REF!</definedName>
    <definedName name="rms" localSheetId="0" hidden="1">{"adj95mult",#N/A,FALSE,"COMPCO";"adj95est",#N/A,FALSE,"COMPCO"}</definedName>
    <definedName name="rms" hidden="1">{"adj95mult",#N/A,FALSE,"COMPCO";"adj95est",#N/A,FALSE,"COMPCO"}</definedName>
    <definedName name="Rollup">'[7]PivotTable $'!$C$7:$C$800</definedName>
    <definedName name="rr" localSheetId="0">'MAIN BERTH PLAN'!#REF!</definedName>
    <definedName name="rr">#REF!</definedName>
    <definedName name="rrr" localSheetId="0" hidden="1">{"DCF","UPSIDE CASE",FALSE,"Sheet1";"DCF","BASE CASE",FALSE,"Sheet1";"DCF","DOWNSIDE CASE",FALSE,"Sheet1"}</definedName>
    <definedName name="rrr" hidden="1">{"DCF","UPSIDE CASE",FALSE,"Sheet1";"DCF","BASE CASE",FALSE,"Sheet1";"DCF","DOWNSIDE CASE",FALSE,"Sheet1"}</definedName>
    <definedName name="RTG_Max_stack_height" localSheetId="0">'MAIN BERTH PLAN'!#REF!</definedName>
    <definedName name="RTG_Max_stack_height">#REF!</definedName>
    <definedName name="Rtm" localSheetId="0">'MAIN BERTH PLAN'!#REF!</definedName>
    <definedName name="Rtm">#REF!</definedName>
    <definedName name="RTN" localSheetId="2">[36]!RTN</definedName>
    <definedName name="RTN" localSheetId="0">[36]!RTN</definedName>
    <definedName name="RTN" localSheetId="3">[36]!RTN</definedName>
    <definedName name="RTN">[36]!RTN</definedName>
    <definedName name="RTW" localSheetId="0">'MAIN BERTH PLAN'!#REF!</definedName>
    <definedName name="RTW">#REF!</definedName>
    <definedName name="rty" localSheetId="0" hidden="1">{"DCF","UPSIDE CASE",FALSE,"Sheet1";"DCF","BASE CASE",FALSE,"Sheet1";"DCF","DOWNSIDE CASE",FALSE,"Sheet1"}</definedName>
    <definedName name="rty" hidden="1">{"DCF","UPSIDE CASE",FALSE,"Sheet1";"DCF","BASE CASE",FALSE,"Sheet1";"DCF","DOWNSIDE CASE",FALSE,"Sheet1"}</definedName>
    <definedName name="s">#N/A</definedName>
    <definedName name="sa" localSheetId="0" hidden="1">{"mult96",#N/A,FALSE,"PETCOMP";"est96",#N/A,FALSE,"PETCOMP";"mult95",#N/A,FALSE,"PETCOMP";"est95",#N/A,FALSE,"PETCOMP";"multltm",#N/A,FALSE,"PETCOMP";"resultltm",#N/A,FALSE,"PETCOMP"}</definedName>
    <definedName name="sa" hidden="1">{"mult96",#N/A,FALSE,"PETCOMP";"est96",#N/A,FALSE,"PETCOMP";"mult95",#N/A,FALSE,"PETCOMP";"est95",#N/A,FALSE,"PETCOMP";"multltm",#N/A,FALSE,"PETCOMP";"resultltm",#N/A,FALSE,"PETCOMP"}</definedName>
    <definedName name="saji" localSheetId="0" hidden="1">{"adj95mult",#N/A,FALSE,"COMPCO";"adj95est",#N/A,FALSE,"COMPCO"}</definedName>
    <definedName name="saji" hidden="1">{"adj95mult",#N/A,FALSE,"COMPCO";"adj95est",#N/A,FALSE,"COMPCO"}</definedName>
    <definedName name="SalaryLevels">'[33]SPS Salary Levels'!$E$5:$Q$194</definedName>
    <definedName name="sample" localSheetId="0">'MAIN BERTH PLAN'!#REF!</definedName>
    <definedName name="sample">#REF!</definedName>
    <definedName name="SAX" localSheetId="0">'MAIN BERTH PLAN'!#REF!</definedName>
    <definedName name="SAX">#REF!</definedName>
    <definedName name="Schedule_Nr">[11]Makro1!$B$17</definedName>
    <definedName name="SCost">[21]DATA!$Q$6:$Q$104</definedName>
    <definedName name="SCX" localSheetId="0">'MAIN BERTH PLAN'!#REF!</definedName>
    <definedName name="SCX">#REF!</definedName>
    <definedName name="SCX_CKY" localSheetId="0">'MAIN BERTH PLAN'!#REF!</definedName>
    <definedName name="SCX_CKY">#REF!</definedName>
    <definedName name="SCXEB_1">'[10]SCX(E)'!$A$8:$IV$8</definedName>
    <definedName name="SCXEB_10">'[10]SCX(E)'!$A$56:$IV$56</definedName>
    <definedName name="SCXEB_11">'[10]SCX(E)'!$A$62:$IV$62</definedName>
    <definedName name="SCXEB_12">'[10]SCX(E)'!$A$67:$IV$67</definedName>
    <definedName name="SCXEB_2">'[10]SCX(E)'!$A$13:$IV$13</definedName>
    <definedName name="SCXEB_3">'[10]SCX(E)'!$A$19:$IV$19</definedName>
    <definedName name="SCXEB_4">'[10]SCX(E)'!$A$24:$IV$24</definedName>
    <definedName name="SCXEB_5">'[10]SCX(E)'!$A$29:$IV$29</definedName>
    <definedName name="SCXEB_6">'[10]SCX(E)'!$A$35:$IV$35</definedName>
    <definedName name="SCXEB_7">'[10]SCX(E)'!$A$40:$IV$40</definedName>
    <definedName name="SCXEB_8">'[10]SCX(E)'!$A$46:$IV$46</definedName>
    <definedName name="SCXEB_9">'[10]SCX(E)'!$A$51:$IV$51</definedName>
    <definedName name="SCXWB_1">'[10]SCX(W)'!$A$8:$IV$8</definedName>
    <definedName name="SCXWB_10">'[10]SCX(W)'!$A$56:$IV$56</definedName>
    <definedName name="SCXWB_11">'[10]SCX(W)'!$A$62:$IV$62</definedName>
    <definedName name="SCXWB_12">'[10]SCX(W)'!$A$67:$IV$67</definedName>
    <definedName name="SCXWB_2">'[10]SCX(W)'!$A$13:$IV$13</definedName>
    <definedName name="SCXWB_3">'[10]SCX(W)'!$A$19:$IV$19</definedName>
    <definedName name="SCXWB_4">'[10]SCX(W)'!$A$24:$IV$24</definedName>
    <definedName name="SCXWB_5">'[10]SCX(W)'!$A$29:$IV$29</definedName>
    <definedName name="SCXWB_6">'[10]SCX(W)'!$A$35:$IV$35</definedName>
    <definedName name="SCXWB_7">'[10]SCX(W)'!$A$40:$IV$40</definedName>
    <definedName name="SCXWB_8">'[10]SCX(W)'!$A$46:$IV$46</definedName>
    <definedName name="SCXWB_9">'[10]SCX(W)'!$A$51:$IV$51</definedName>
    <definedName name="sd" localSheetId="0">'MAIN BERTH PLAN'!#REF!</definedName>
    <definedName name="sd">#REF!</definedName>
    <definedName name="Sep" localSheetId="0">'MAIN BERTH PLAN'!#REF!</definedName>
    <definedName name="Sep">#REF!</definedName>
    <definedName name="SEQUENCE" localSheetId="0">'MAIN BERTH PLAN'!#REF!</definedName>
    <definedName name="SEQUENCE">#REF!</definedName>
    <definedName name="Series1Data1">[23]B_CHART!$CI$28:$DJ$28</definedName>
    <definedName name="Series1Data6">[24]B_CHART!$CI$212:$DJ$212</definedName>
    <definedName name="Series1SeriesName1">[23]B_CHART!$B$29</definedName>
    <definedName name="Series1SeriesName6">[24]B_CHART!$B$213</definedName>
    <definedName name="Series2Data1">[23]B_CHART!$CI$45:$DJ$45</definedName>
    <definedName name="Series2Data6">[24]B_CHART!$CI$229:$DJ$229</definedName>
    <definedName name="Series2SeriesName1">[23]B_CHART!$B$46</definedName>
    <definedName name="Series2SeriesName6">[24]B_CHART!$B$230</definedName>
    <definedName name="Series3Data1">[23]B_CHART!$CI$62:$DJ$62</definedName>
    <definedName name="Series3Data6">[24]B_CHART!$CI$246:$DJ$246</definedName>
    <definedName name="Series3SeriesName1">[23]B_CHART!$B$63</definedName>
    <definedName name="Series3SeriesName6">[24]B_CHART!$B$247</definedName>
    <definedName name="Sfs" localSheetId="0">'MAIN BERTH PLAN'!#REF!</definedName>
    <definedName name="Sfs">#REF!</definedName>
    <definedName name="SfTable" localSheetId="0">'MAIN BERTH PLAN'!#REF!</definedName>
    <definedName name="SfTable">#REF!</definedName>
    <definedName name="sheet3" localSheetId="0" hidden="1">{"DCF","UPSIDE CASE",FALSE,"Sheet1";"DCF","BASE CASE",FALSE,"Sheet1";"DCF","DOWNSIDE CASE",FALSE,"Sheet1"}</definedName>
    <definedName name="sheet3" hidden="1">{"DCF","UPSIDE CASE",FALSE,"Sheet1";"DCF","BASE CASE",FALSE,"Sheet1";"DCF","DOWNSIDE CASE",FALSE,"Sheet1"}</definedName>
    <definedName name="sheet4" localSheetId="0" hidden="1">{"DCF","UPSIDE CASE",FALSE,"Sheet1";"DCF","BASE CASE",FALSE,"Sheet1";"DCF","DOWNSIDE CASE",FALSE,"Sheet1"}</definedName>
    <definedName name="sheet4" hidden="1">{"DCF","UPSIDE CASE",FALSE,"Sheet1";"DCF","BASE CASE",FALSE,"Sheet1";"DCF","DOWNSIDE CASE",FALSE,"Sheet1"}</definedName>
    <definedName name="ship" localSheetId="0">'MAIN BERTH PLAN'!#REF!</definedName>
    <definedName name="ship">#REF!</definedName>
    <definedName name="SHIPDATA">[28]Shipdata!$A$6:$AD$156</definedName>
    <definedName name="SHIPDATA2005">'[42]Shipdata 2005'!$A$6:$AF$195</definedName>
    <definedName name="ShTaxDiff">'[25]Cash Cascade'!$D$190</definedName>
    <definedName name="SI20011분기환율" localSheetId="0">'MAIN BERTH PLAN'!#REF!</definedName>
    <definedName name="SI20011분기환율">#REF!</definedName>
    <definedName name="SILK" localSheetId="0">'MAIN BERTH PLAN'!#REF!</definedName>
    <definedName name="SILK">#REF!</definedName>
    <definedName name="SIM" localSheetId="2">[43]!SIM</definedName>
    <definedName name="SIM" localSheetId="0">[43]!SIM</definedName>
    <definedName name="SIM" localSheetId="3">[43]!SIM</definedName>
    <definedName name="SIM">[43]!SIM</definedName>
    <definedName name="SIMUL" localSheetId="0">'MAIN BERTH PLAN'!#REF!</definedName>
    <definedName name="SIMUL">#REF!</definedName>
    <definedName name="SJDK" localSheetId="0" hidden="1">{"EVA",#N/A,FALSE,"EVA";"WACC",#N/A,FALSE,"WACC"}</definedName>
    <definedName name="SJDK" hidden="1">{"EVA",#N/A,FALSE,"EVA";"WACC",#N/A,FALSE,"WACC"}</definedName>
    <definedName name="SLOT">'[21]04 Profile'!$Q$3:$Q$19</definedName>
    <definedName name="spread" localSheetId="0">'MAIN BERTH PLAN'!#REF!</definedName>
    <definedName name="spread">#REF!</definedName>
    <definedName name="SPRTW" localSheetId="0">'MAIN BERTH PLAN'!#REF!</definedName>
    <definedName name="SPRTW">#REF!</definedName>
    <definedName name="SPSSB_1">'[10]SPS(S)'!$A$8:$IV$8</definedName>
    <definedName name="SPSSB_10">'[10]SPS(S)'!$A$56:$IV$56</definedName>
    <definedName name="SPSSB_11">'[10]SPS(S)'!$A$62:$IV$62</definedName>
    <definedName name="SPSSB_12">'[10]SPS(S)'!$A$67:$IV$67</definedName>
    <definedName name="SPSSB_2">'[10]SPS(S)'!$A$13:$IV$13</definedName>
    <definedName name="SPSSB_3">'[10]SPS(S)'!$A$19:$IV$19</definedName>
    <definedName name="SPSSB_4">'[10]SPS(S)'!$A$24:$IV$24</definedName>
    <definedName name="SPSSB_5">'[10]SPS(S)'!$A$29:$IV$29</definedName>
    <definedName name="SPSSB_6">'[10]SPS(S)'!$A$35:$IV$35</definedName>
    <definedName name="SPSSB_7">'[10]SPS(S)'!$A$40:$IV$40</definedName>
    <definedName name="SPSSB_8">'[10]SPS(S)'!$A$46:$IV$46</definedName>
    <definedName name="SPSSB_9">'[10]SPS(S)'!$A$51:$IV$51</definedName>
    <definedName name="ss">[44]AHsbnb_2!$A$5</definedName>
    <definedName name="SSFixedAssets">[19]Capex!#REF!</definedName>
    <definedName name="SSOPUI">[19]Assumptions!#REF!</definedName>
    <definedName name="sss" localSheetId="0" hidden="1">{"adj95mult",#N/A,FALSE,"COMPCO";"adj95est",#N/A,FALSE,"COMPCO"}</definedName>
    <definedName name="sss" hidden="1">{"adj95mult",#N/A,FALSE,"COMPCO";"adj95est",#N/A,FALSE,"COMPCO"}</definedName>
    <definedName name="Staticmachinerybaseprice">[19]Capex!#REF!</definedName>
    <definedName name="StratTime" localSheetId="0">'MAIN BERTH PLAN'!#REF!</definedName>
    <definedName name="StratTime">#REF!</definedName>
    <definedName name="suez" localSheetId="0">'MAIN BERTH PLAN'!#REF!</definedName>
    <definedName name="suez">#REF!</definedName>
    <definedName name="SUNDA" localSheetId="0">'MAIN BERTH PLAN'!#REF!</definedName>
    <definedName name="SUNDA">#REF!</definedName>
    <definedName name="SUPPLYDEMAND" localSheetId="0">'MAIN BERTH PLAN'!#REF!</definedName>
    <definedName name="SUPPLYDEMAND">#REF!</definedName>
    <definedName name="SVC2000FY">[21]DATA!$R$6:$U$104</definedName>
    <definedName name="SVC2001Q1">[21]DATA!$W$6:$Z$104</definedName>
    <definedName name="SVC2001Q2">[21]DATA!$AB$6:$AE$104</definedName>
    <definedName name="SVC2001Q3">[21]DATA!$AG$6:$AJ$104</definedName>
    <definedName name="SVC2001Q4">[21]DATA!$AL$6:$AO$104</definedName>
    <definedName name="SVC2002Q1">[21]DATA!$AQ$6:$AT$104</definedName>
    <definedName name="SVC2002Q2">[21]DATA!$AV$6:$AY$104</definedName>
    <definedName name="SVC2002Q3">[21]DATA!$BA$6:$BD$104</definedName>
    <definedName name="SVC2002Q4">[21]DATA!$BF$6:$BI$104</definedName>
    <definedName name="SVC2003Q1">[21]DATA!$BK$6:$BN$104</definedName>
    <definedName name="SVC2003Q2">[21]DATA!$BP$6:$BS$104</definedName>
    <definedName name="SVC2003Q3">[21]DATA!$BU$6:$BX$104</definedName>
    <definedName name="SVC2003Q4">[21]DATA!$BZ$6:$CC$104</definedName>
    <definedName name="SVC2004Q1">[21]DATA!$CE$6:$CH$104</definedName>
    <definedName name="SVC2004Q2">[21]DATA!$CJ$6:$CM$104</definedName>
    <definedName name="SVC2004Q3">[21]DATA!$CO$6:$CR$104</definedName>
    <definedName name="SVC2004Q4">[21]DATA!$CT$6:$CW$104</definedName>
    <definedName name="TAB" localSheetId="0">'MAIN BERTH PLAN'!#REF!</definedName>
    <definedName name="TAB">#REF!</definedName>
    <definedName name="TAB_AL" localSheetId="0">'MAIN BERTH PLAN'!#REF!</definedName>
    <definedName name="TAB_AL">#REF!</definedName>
    <definedName name="TAB_BSA" localSheetId="0">'MAIN BERTH PLAN'!#REF!</definedName>
    <definedName name="TAB_BSA">#REF!</definedName>
    <definedName name="TAB_BSA1" localSheetId="0">'MAIN BERTH PLAN'!#REF!</definedName>
    <definedName name="TAB_BSA1">#REF!</definedName>
    <definedName name="Tab_CBD" localSheetId="0">'MAIN BERTH PLAN'!#REF!</definedName>
    <definedName name="Tab_CBD">#REF!</definedName>
    <definedName name="TAB_HS" localSheetId="0">'MAIN BERTH PLAN'!#REF!</definedName>
    <definedName name="TAB_HS">#REF!</definedName>
    <definedName name="TAB_IL">[45]BSA!$A$4:$N$10</definedName>
    <definedName name="TAB_LDATE" localSheetId="0">'MAIN BERTH PLAN'!#REF!</definedName>
    <definedName name="TAB_LDATE">#REF!</definedName>
    <definedName name="Table1" localSheetId="0">'MAIN BERTH PLAN'!#REF!</definedName>
    <definedName name="TankerPMTyr" localSheetId="0">'MAIN BERTH PLAN'!#REF!</definedName>
    <definedName name="TankerPMTyr">#REF!</definedName>
    <definedName name="TAS" localSheetId="0">'MAIN BERTH PLAN'!#REF!</definedName>
    <definedName name="TAS">#REF!</definedName>
    <definedName name="tax_exemption_expires" localSheetId="0">'MAIN BERTH PLAN'!#REF!</definedName>
    <definedName name="tax_exemption_expires">#REF!</definedName>
    <definedName name="tax_exemption_limit" localSheetId="0">'MAIN BERTH PLAN'!#REF!</definedName>
    <definedName name="tax_exemption_limit">#REF!</definedName>
    <definedName name="tax_rate" localSheetId="0">'MAIN BERTH PLAN'!#REF!</definedName>
    <definedName name="tax_rate">#REF!</definedName>
    <definedName name="TaxTV">10%</definedName>
    <definedName name="TaxXL">5%</definedName>
    <definedName name="TCase" localSheetId="0">'MAIN BERTH PLAN'!#REF!</definedName>
    <definedName name="TCase">#REF!</definedName>
    <definedName name="Temp" localSheetId="0" hidden="1">{"adj95mult",#N/A,FALSE,"COMPCO";"adj95est",#N/A,FALSE,"COMPCO"}</definedName>
    <definedName name="Temp" hidden="1">{"adj95mult",#N/A,FALSE,"COMPCO";"adj95est",#N/A,FALSE,"COMPCO"}</definedName>
    <definedName name="tier" localSheetId="0">'MAIN BERTH PLAN'!#REF!</definedName>
    <definedName name="tier">#REF!</definedName>
    <definedName name="TIGER" localSheetId="0">'MAIN BERTH PLAN'!#REF!</definedName>
    <definedName name="TIGER">#REF!</definedName>
    <definedName name="Til" localSheetId="0">'MAIN BERTH PLAN'!#REF!</definedName>
    <definedName name="Til">#REF!</definedName>
    <definedName name="Time_Lost" localSheetId="0">'MAIN BERTH PLAN'!#REF!</definedName>
    <definedName name="Time_Lost">#REF!</definedName>
    <definedName name="TimeYrDays" localSheetId="0">'MAIN BERTH PLAN'!#REF!</definedName>
    <definedName name="TimeYrDays">#REF!</definedName>
    <definedName name="TimeYrEnd" localSheetId="0">'MAIN BERTH PLAN'!#REF!</definedName>
    <definedName name="TimeYrEnd">#REF!</definedName>
    <definedName name="Title1">[23]B_CHART!$B$10</definedName>
    <definedName name="Title6">[24]B_CHART!$B$194</definedName>
    <definedName name="TKRW" localSheetId="0">'MAIN BERTH PLAN'!#REF!</definedName>
    <definedName name="TKRW">#REF!</definedName>
    <definedName name="torj" localSheetId="0">'MAIN BERTH PLAN'!#REF!</definedName>
    <definedName name="torj">#REF!</definedName>
    <definedName name="TOTAL" localSheetId="0">'[46]Master Data'!#REF!</definedName>
    <definedName name="TOTAL">'[46]Master Data'!#REF!</definedName>
    <definedName name="TOWING_FEE">[8]비용항목!$G$74</definedName>
    <definedName name="TP" localSheetId="0">'MAIN BERTH PLAN'!#REF!</definedName>
    <definedName name="TP">#REF!</definedName>
    <definedName name="TP2000_1">'[9]Scenario 1 - with HMM'!$B$47:$D$75</definedName>
    <definedName name="tp2000_3a" localSheetId="0">'MAIN BERTH PLAN'!#REF!</definedName>
    <definedName name="tp2000_3a">#REF!</definedName>
    <definedName name="tp2001_1">'[9]Scenario 1 - with HMM'!$H$47:$J$75</definedName>
    <definedName name="tp2001_3a" localSheetId="0">'MAIN BERTH PLAN'!#REF!</definedName>
    <definedName name="tp2001_3a">#REF!</definedName>
    <definedName name="tp2001q1_3a" localSheetId="0">'MAIN BERTH PLAN'!#REF!</definedName>
    <definedName name="tp2001q1_3a">#REF!</definedName>
    <definedName name="tp2001q2_3a" localSheetId="0">'MAIN BERTH PLAN'!#REF!</definedName>
    <definedName name="tp2001q2_3a">#REF!</definedName>
    <definedName name="Training" localSheetId="2">[36]!OPO</definedName>
    <definedName name="Training" localSheetId="0">[36]!OPO</definedName>
    <definedName name="Training" localSheetId="3">[36]!OPO</definedName>
    <definedName name="Training">[36]!OPO</definedName>
    <definedName name="Trans_sched">[11]Makro1!$B$21</definedName>
    <definedName name="Transhipment_factor" localSheetId="0">'MAIN BERTH PLAN'!#REF!</definedName>
    <definedName name="Transhipment_factor">#REF!</definedName>
    <definedName name="TTL" localSheetId="0">'MAIN BERTH PLAN'!#REF!</definedName>
    <definedName name="TTL">#REF!</definedName>
    <definedName name="TTWD" localSheetId="0">'MAIN BERTH PLAN'!#REF!</definedName>
    <definedName name="TTWD">#REF!</definedName>
    <definedName name="TUG">[8]비용항목!$G$75</definedName>
    <definedName name="TWD" localSheetId="0">'MAIN BERTH PLAN'!#REF!</definedName>
    <definedName name="TWD">#REF!</definedName>
    <definedName name="ty" localSheetId="0" hidden="1">{"adj95mult",#N/A,FALSE,"COMPCO";"adj95est",#N/A,FALSE,"COMPCO"}</definedName>
    <definedName name="ty" hidden="1">{"adj95mult",#N/A,FALSE,"COMPCO";"adj95est",#N/A,FALSE,"COMPCO"}</definedName>
    <definedName name="TZ" localSheetId="0">'MAIN BERTH PLAN'!#REF!</definedName>
    <definedName name="TZ">#REF!</definedName>
    <definedName name="Units" localSheetId="0">'MAIN BERTH PLAN'!#REF!</definedName>
    <definedName name="Units">#REF!</definedName>
    <definedName name="US_Inflation" localSheetId="0">'MAIN BERTH PLAN'!#REF!</definedName>
    <definedName name="US_Inflation">#REF!</definedName>
    <definedName name="USDRate">'[33]Personnel Costs'!$H$4</definedName>
    <definedName name="Val_Percent">[12]ControlPanel!$J$33</definedName>
    <definedName name="VCM_PMTyr" localSheetId="0">'MAIN BERTH PLAN'!#REF!</definedName>
    <definedName name="VCM_PMTyr">#REF!</definedName>
    <definedName name="vessel2">'[47]Vessel Information'!$B$3:$AY$32</definedName>
    <definedName name="Vessels" localSheetId="0">'MAIN BERTH PLAN'!#REF!</definedName>
    <definedName name="Vessels">#REF!</definedName>
    <definedName name="Volume_sensitivity" localSheetId="0">'MAIN BERTH PLAN'!#REF!</definedName>
    <definedName name="Volume_sensitivity">#REF!</definedName>
    <definedName name="voy" localSheetId="0">'MAIN BERTH PLAN'!#REF!</definedName>
    <definedName name="voy">#REF!</definedName>
    <definedName name="Voyage" localSheetId="0">'MAIN BERTH PLAN'!#REF!</definedName>
    <definedName name="Voyage">#REF!</definedName>
    <definedName name="voyage_cost" localSheetId="0">'MAIN BERTH PLAN'!#REF!</definedName>
    <definedName name="voyage_cost">#REF!</definedName>
    <definedName name="Voyagenew" localSheetId="0">'MAIN BERTH PLAN'!#REF!</definedName>
    <definedName name="Voyagenew">#REF!</definedName>
    <definedName name="Voyagenumber" localSheetId="0">'MAIN BERTH PLAN'!#REF!</definedName>
    <definedName name="Voyagenumber">#REF!</definedName>
    <definedName name="VSL_SPEC" localSheetId="0">'MAIN BERTH PLAN'!#REF!</definedName>
    <definedName name="VSL_SPEC">#REF!</definedName>
    <definedName name="VSlookup" localSheetId="0">'MAIN BERTH PLAN'!#REF!</definedName>
    <definedName name="VSlookup">#REF!</definedName>
    <definedName name="VSP" localSheetId="0">'MAIN BERTH PLAN'!#REF!</definedName>
    <definedName name="VSP">#REF!</definedName>
    <definedName name="W" localSheetId="0">'MAIN BERTH PLAN'!#REF!</definedName>
    <definedName name="W">#REF!</definedName>
    <definedName name="WAE" localSheetId="0">'MAIN BERTH PLAN'!#REF!</definedName>
    <definedName name="WAE">#REF!</definedName>
    <definedName name="WAX" localSheetId="0">'MAIN BERTH PLAN'!#REF!</definedName>
    <definedName name="WAX">#REF!</definedName>
    <definedName name="WEEK" localSheetId="0">'MAIN BERTH PLAN'!#REF!</definedName>
    <definedName name="WEEK">#REF!</definedName>
    <definedName name="WESTABOUT" localSheetId="0">'MAIN BERTH PLAN'!#REF!</definedName>
    <definedName name="WESTABOUT">#REF!</definedName>
    <definedName name="wk" localSheetId="0">'MAIN BERTH PLAN'!#REF!</definedName>
    <definedName name="wk">#REF!</definedName>
    <definedName name="WOCHE" localSheetId="0">'MAIN BERTH PLAN'!#REF!</definedName>
    <definedName name="WOCHE">#REF!</definedName>
    <definedName name="wrn.98년도._.1월분._.옥천._.화주별._.물동량._.현황." localSheetId="0" hidden="1">{#N/A,#N/A,FALSE,"SHEET10";#N/A,#N/A,FALSE,"SHEET10"}</definedName>
    <definedName name="wrn.98년도._.1월분._.옥천._.화주별._.물동량._.현황." hidden="1">{#N/A,#N/A,FALSE,"SHEET10";#N/A,#N/A,FALSE,"SHEET10"}</definedName>
    <definedName name="wrn.adj95." localSheetId="0" hidden="1">{"adj95mult",#N/A,FALSE,"COMPCO";"adj95est",#N/A,FALSE,"COMPCO"}</definedName>
    <definedName name="wrn.adj95." hidden="1">{"adj95mult",#N/A,FALSE,"COMPCO";"adj95est",#N/A,FALSE,"COMPCO"}</definedName>
    <definedName name="wrn.compco." localSheetId="0" hidden="1">{"mult96",#N/A,FALSE,"PETCOMP";"est96",#N/A,FALSE,"PETCOMP";"mult95",#N/A,FALSE,"PETCOMP";"est95",#N/A,FALSE,"PETCOMP";"multltm",#N/A,FALSE,"PETCOMP";"resultltm",#N/A,FALSE,"PETCOMP"}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Economic._.Value._.Added._.Analysis." localSheetId="0" hidden="1">{"EVA",#N/A,FALSE,"EVA";"WACC",#N/A,FALSE,"WACC"}</definedName>
    <definedName name="wrn.Economic._.Value._.Added._.Analysis." hidden="1">{"EVA",#N/A,FALSE,"EVA";"WACC",#N/A,FALSE,"WACC"}</definedName>
    <definedName name="wrn.Mngmt._.Report." localSheetId="0" hidden="1">{#N/A,#N/A,TRUE,"Chart 1";#N/A,#N/A,TRUE,"Chart 2"}</definedName>
    <definedName name="wrn.Mngmt._.Report." hidden="1">{#N/A,#N/A,TRUE,"Chart 1";#N/A,#N/A,TRUE,"Chart 2"}</definedName>
    <definedName name="wrn.OUTPUT." localSheetId="0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Report1." localSheetId="0" hidden="1">{"Print1",#N/A,TRUE,"P&amp;L";"Print2",#N/A,TRUE,"CashFL"}</definedName>
    <definedName name="wrn.Report1." hidden="1">{"Print1",#N/A,TRUE,"P&amp;L";"Print2",#N/A,TRUE,"CashFL"}</definedName>
    <definedName name="wrn.예산99.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rn.예산99.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WUT" localSheetId="0">'MAIN BERTH PLAN'!#REF!</definedName>
    <definedName name="WUT">#REF!</definedName>
    <definedName name="X" localSheetId="0">'MAIN BERTH PLAN'!#REF!</definedName>
    <definedName name="X">#REF!</definedName>
    <definedName name="y" localSheetId="0">'MAIN BERTH PLAN'!#REF!</definedName>
    <definedName name="y">#REF!</definedName>
    <definedName name="Y2WK" localSheetId="0">'MAIN BERTH PLAN'!#REF!</definedName>
    <definedName name="Y2WK">#REF!</definedName>
    <definedName name="Yard_correction_factor" localSheetId="0">'MAIN BERTH PLAN'!#REF!</definedName>
    <definedName name="Yard_correction_factor">#REF!</definedName>
    <definedName name="yesR" localSheetId="0">'MAIN BERTH PLAN'!#REF!</definedName>
    <definedName name="yesR">#REF!</definedName>
    <definedName name="YTitle1">[23]B_CHART!$B$12</definedName>
    <definedName name="YTitle6">[24]B_CHART!$B$196</definedName>
    <definedName name="ytrfjt" localSheetId="0">'MAIN BERTH PLAN'!#REF!</definedName>
    <definedName name="ytrfjt">#REF!</definedName>
    <definedName name="yyyy" localSheetId="0" hidden="1">{"adj95mult",#N/A,FALSE,"COMPCO";"adj95est",#N/A,FALSE,"COMPCO"}</definedName>
    <definedName name="yyyy" hidden="1">{"adj95mult",#N/A,FALSE,"COMPCO";"adj95est",#N/A,FALSE,"COMPCO"}</definedName>
    <definedName name="Z_694AF002_9E1C_11D6_8F58_0002A562FF79_.wvu.PrintArea" localSheetId="0" hidden="1">'MAIN BERTH PLAN'!#REF!</definedName>
    <definedName name="Z_694AF002_9E1C_11D6_8F58_0002A562FF79_.wvu.PrintArea" hidden="1">#REF!</definedName>
    <definedName name="Z_968A3A64_6E62_11D6_9F43_00D0B7C86A47_.wvu.PrintArea" localSheetId="0" hidden="1">'MAIN BERTH PLAN'!#REF!</definedName>
    <definedName name="Z_968A3A64_6E62_11D6_9F43_00D0B7C86A47_.wvu.PrintArea" hidden="1">#REF!</definedName>
    <definedName name="Z_968A3A64_6E62_11D6_9F43_00D0B7C86A47_.wvu.PrintTitles" localSheetId="0" hidden="1">'MAIN BERTH PLAN'!#REF!</definedName>
    <definedName name="Z_968A3A64_6E62_11D6_9F43_00D0B7C86A47_.wvu.PrintTitles" hidden="1">#REF!</definedName>
    <definedName name="Z_968A3A64_6E62_11D6_9F43_00D0B7C86A47_.wvu.Rows" localSheetId="0" hidden="1">'MAIN BERTH PLAN'!#REF!</definedName>
    <definedName name="Z_968A3A64_6E62_11D6_9F43_00D0B7C86A47_.wvu.Rows" hidden="1">#REF!</definedName>
    <definedName name="Z_C9AF8CC6_2EE6_11D7_B9B8_00508BFFDA22_.wvu.PrintArea" localSheetId="0" hidden="1">'MAIN BERTH PLAN'!#REF!</definedName>
    <definedName name="Z_C9AF8CC6_2EE6_11D7_B9B8_00508BFFDA22_.wvu.PrintArea" hidden="1">#REF!</definedName>
    <definedName name="ㄱㄱㄱ" localSheetId="0" hidden="1">{"DCF","UPSIDE CASE",FALSE,"Sheet1";"DCF","BASE CASE",FALSE,"Sheet1";"DCF","DOWNSIDE CASE",FALSE,"Sheet1"}</definedName>
    <definedName name="ㄱㄱㄱ" hidden="1">{"DCF","UPSIDE CASE",FALSE,"Sheet1";"DCF","BASE CASE",FALSE,"Sheet1";"DCF","DOWNSIDE CASE",FALSE,"Sheet1"}</definedName>
    <definedName name="ㄱㄷㅁ" localSheetId="0" hidden="1">{"EVA",#N/A,FALSE,"EVA";"WACC",#N/A,FALSE,"WACC"}</definedName>
    <definedName name="ㄱㄷㅁ" hidden="1">{"EVA",#N/A,FALSE,"EVA";"WACC",#N/A,FALSE,"WACC"}</definedName>
    <definedName name="가로" localSheetId="0" hidden="1">{"adj95mult",#N/A,FALSE,"COMPCO";"adj95est",#N/A,FALSE,"COMPCO"}</definedName>
    <definedName name="가로" hidden="1">{"adj95mult",#N/A,FALSE,"COMPCO";"adj95est",#N/A,FALSE,"COMPCO"}</definedName>
    <definedName name="개수">[48]출금실적!#REF!</definedName>
    <definedName name="객실정원" localSheetId="0">'MAIN BERTH PLAN'!#REF!</definedName>
    <definedName name="객실정원">#REF!</definedName>
    <definedName name="겉표지" localSheetId="0" hidden="1">{"adj95mult",#N/A,FALSE,"COMPCO";"adj95est",#N/A,FALSE,"COMPCO"}</definedName>
    <definedName name="겉표지" hidden="1">{"adj95mult",#N/A,FALSE,"COMPCO";"adj95est",#N/A,FALSE,"COMPCO"}</definedName>
    <definedName name="결재" localSheetId="0" hidden="1">{"adj95mult",#N/A,FALSE,"COMPCO";"adj95est",#N/A,FALSE,"COMPCO"}</definedName>
    <definedName name="결재" hidden="1">{"adj95mult",#N/A,FALSE,"COMPCO";"adj95est",#N/A,FALSE,"COMPCO"}</definedName>
    <definedName name="고정비">[8]비용항목!$G$82</definedName>
    <definedName name="공사분기상승율">[49]년간데이타!$C$3:$V$3</definedName>
    <definedName name="관광안내비">[8]비용항목!$G$56</definedName>
    <definedName name="관광조장월평균임금">[8]비용항목!$C$62</definedName>
    <definedName name="광고선전비">[8]비용항목!$C$23</definedName>
    <definedName name="광고수입">[8]비용항목!$C$7</definedName>
    <definedName name="구" localSheetId="0">'[50]지방,해외배부'!#REF!</definedName>
    <definedName name="구">'[50]지방,해외배부'!#REF!</definedName>
    <definedName name="구주" localSheetId="0">'MAIN BERTH PLAN'!#REF!</definedName>
    <definedName name="구주">#REF!</definedName>
    <definedName name="구주당사선가" localSheetId="0">'MAIN BERTH PLAN'!#REF!</definedName>
    <definedName name="구주당사선가">#REF!</definedName>
    <definedName name="구주실적">'[51]구주(03실적)'!$A$3:$O$33</definedName>
    <definedName name="구주채산" localSheetId="0" hidden="1">{"adj95mult",#N/A,FALSE,"COMPCO";"adj95est",#N/A,FALSE,"COMPCO"}</definedName>
    <definedName name="구주채산" hidden="1">{"adj95mult",#N/A,FALSE,"COMPCO";"adj95est",#N/A,FALSE,"COMPCO"}</definedName>
    <definedName name="구주채산당사선가">'[52]9-1차이내역'!#REF!</definedName>
    <definedName name="금강D_E선용품">[8]비용항목!$G$14</definedName>
    <definedName name="금강GO소모량">[8]비용항목!$C$11</definedName>
    <definedName name="금강MGT">[8]비용항목!$C$86</definedName>
    <definedName name="금강UNIFORM">[8]비용항목!$G$20</definedName>
    <definedName name="금강개발선원비">[8]비용항목!$C$45</definedName>
    <definedName name="금강개발선원수">[8]비용항목!$C$50</definedName>
    <definedName name="금강고정비">[8]비용항목!$G$99</definedName>
    <definedName name="금강공연기자재비">[8]비용항목!$G$9</definedName>
    <definedName name="금강관광조장수">[8]비용항목!$C$56</definedName>
    <definedName name="금강동해항비">[8]비용항목!$G$34</definedName>
    <definedName name="금강산개발선원비">[8]비용항목!$C$49</definedName>
    <definedName name="금강산개발선원수">[8]비용항목!$C$54</definedName>
    <definedName name="금강산공연기자재비">[8]비용항목!$G$13</definedName>
    <definedName name="금강산식당이용선원수">[8]비용항목!$C$78</definedName>
    <definedName name="금강산여관_MGT">[8]비용항목!$C$91</definedName>
    <definedName name="금강산여관UNIFORM">[8]비용항목!$G$25</definedName>
    <definedName name="금강산여관관광조장수">[8]비용항목!$C$61</definedName>
    <definedName name="금강산여관선원교체비">[8]비용항목!$C$68</definedName>
    <definedName name="금강산여관소모품비">[8]비용항목!$G$2</definedName>
    <definedName name="금강산여관수리비">[8]비용항목!$G$81</definedName>
    <definedName name="금강산여관승객수">[8]비용항목!$G$97</definedName>
    <definedName name="금강산여관용선료">[8]비용항목!$G$72</definedName>
    <definedName name="금강산여관종업원수">[8]비용항목!$C$31</definedName>
    <definedName name="금강산여관집기비품">[8]비용항목!$G$8</definedName>
    <definedName name="금강산여관항차수">[8]비용항목!$G$89</definedName>
    <definedName name="금강산연예인선원비">[8]비용항목!$C$37</definedName>
    <definedName name="금강산연예인수">[8]비용항목!$C$43</definedName>
    <definedName name="금강산오물수거비">[8]비용항목!$G$55</definedName>
    <definedName name="금강산청수비">[8]비용항목!$G$49</definedName>
    <definedName name="금강선박보험">[8]비용항목!$G$27</definedName>
    <definedName name="금강선원교체비">[8]비용항목!$C$63</definedName>
    <definedName name="금강선주사선원수">[8]비용항목!$C$25</definedName>
    <definedName name="금강선주사월평균임금">[8]비용항목!$C$26</definedName>
    <definedName name="금강수리비">[8]비용항목!$G$76</definedName>
    <definedName name="금강승객수">[8]비용항목!$G$92</definedName>
    <definedName name="금강식당이용선원수">[8]비용항목!$C$74</definedName>
    <definedName name="금강연예인선원비">[8]비용항목!$C$33</definedName>
    <definedName name="금강연예인수">[8]비용항목!$C$39</definedName>
    <definedName name="금강오물수거비">[8]비용항목!$G$50</definedName>
    <definedName name="금강용선료">[8]비용항목!$G$67</definedName>
    <definedName name="금강장전항비">[8]비용항목!$G$38</definedName>
    <definedName name="금강청수비">[8]비용항목!$G$44</definedName>
    <definedName name="금강항차수">[8]비용항목!$G$83</definedName>
    <definedName name="금강호텔소모품비">[8]비용항목!$C$93</definedName>
    <definedName name="금강호텔집기비품">[8]비용항목!$G$3</definedName>
    <definedName name="기" localSheetId="0" hidden="1">{"adj95mult",#N/A,FALSE,"COMPCO";"adj95est",#N/A,FALSE,"COMPCO"}</definedName>
    <definedName name="기" hidden="1">{"adj95mult",#N/A,FALSE,"COMPCO";"adj95est",#N/A,FALSE,"COMPCO"}</definedName>
    <definedName name="기본값">[53]월별보고표!#REF!</definedName>
    <definedName name="기타선상">[8]비용항목!$C$6</definedName>
    <definedName name="기타선상원가">[8]비용항목!$C$21</definedName>
    <definedName name="기타선용품">[8]비용항목!$G$26</definedName>
    <definedName name="기타지원비">[8]비용항목!$C$24</definedName>
    <definedName name="김선녀" localSheetId="0">'MAIN BERTH PLAN'!#REF!</definedName>
    <definedName name="김선녀">#REF!</definedName>
    <definedName name="ㄴㄴ" localSheetId="0" hidden="1">{"adj95mult",#N/A,FALSE,"COMPCO";"adj95est",#N/A,FALSE,"COMPCO"}</definedName>
    <definedName name="ㄴㄴ" hidden="1">{"adj95mult",#N/A,FALSE,"COMPCO";"adj95est",#N/A,FALSE,"COMPCO"}</definedName>
    <definedName name="ㄴㄴㄴ" localSheetId="0" hidden="1">{"DCF","UPSIDE CASE",FALSE,"Sheet1";"DCF","BASE CASE",FALSE,"Sheet1";"DCF","DOWNSIDE CASE",FALSE,"Sheet1"}</definedName>
    <definedName name="ㄴㄴㄴ" hidden="1">{"DCF","UPSIDE CASE",FALSE,"Sheet1";"DCF","BASE CASE",FALSE,"Sheet1";"DCF","DOWNSIDE CASE",FALSE,"Sheet1"}</definedName>
    <definedName name="ㄴㄴㄴㄴ" localSheetId="0" hidden="1">{"DCF","UPSIDE CASE",FALSE,"Sheet1";"DCF","BASE CASE",FALSE,"Sheet1";"DCF","DOWNSIDE CASE",FALSE,"Sheet1"}</definedName>
    <definedName name="ㄴㄴㄴㄴ" hidden="1">{"DCF","UPSIDE CASE",FALSE,"Sheet1";"DCF","BASE CASE",FALSE,"Sheet1";"DCF","DOWNSIDE CASE",FALSE,"Sheet1"}</definedName>
    <definedName name="ㄴㅅㅎㄹㅇ" localSheetId="0">'MAIN BERTH PLAN'!#REF!</definedName>
    <definedName name="ㄴㅅㅎㄹㅇ">#REF!</definedName>
    <definedName name="ㄴㅇ" localSheetId="0" hidden="1">{"adj95mult",#N/A,FALSE,"COMPCO";"adj95est",#N/A,FALSE,"COMPCO"}</definedName>
    <definedName name="ㄴㅇ" hidden="1">{"adj95mult",#N/A,FALSE,"COMPCO";"adj95est",#N/A,FALSE,"COMPCO"}</definedName>
    <definedName name="나으살던" localSheetId="0" hidden="1">{"adj95mult",#N/A,FALSE,"COMPCO";"adj95est",#N/A,FALSE,"COMPCO"}</definedName>
    <definedName name="나으살던" hidden="1">{"adj95mult",#N/A,FALSE,"COMPCO";"adj95est",#N/A,FALSE,"COMPCO"}</definedName>
    <definedName name="ㄷㄷ" localSheetId="0" hidden="1">{"adj95mult",#N/A,FALSE,"COMPCO";"adj95est",#N/A,FALSE,"COMPCO"}</definedName>
    <definedName name="ㄷㄷ" hidden="1">{"adj95mult",#N/A,FALSE,"COMPCO";"adj95est",#N/A,FALSE,"COMPCO"}</definedName>
    <definedName name="ㄷㄷㄷ" localSheetId="0" hidden="1">{"EVA",#N/A,FALSE,"EVA";"WACC",#N/A,FALSE,"WACC"}</definedName>
    <definedName name="ㄷㄷㄷ" hidden="1">{"EVA",#N/A,FALSE,"EVA";"WACC",#N/A,FALSE,"WACC"}</definedName>
    <definedName name="ㄷㅇㄴ" localSheetId="0" hidden="1">{"adj95mult",#N/A,FALSE,"COMPCO";"adj95est",#N/A,FALSE,"COMPCO"}</definedName>
    <definedName name="ㄷㅇㄴ" hidden="1">{"adj95mult",#N/A,FALSE,"COMPCO";"adj95est",#N/A,FALSE,"COMPCO"}</definedName>
    <definedName name="단가">[48]출금실적!#REF!</definedName>
    <definedName name="단기차입이율">[54]민감도분석!$C$14</definedName>
    <definedName name="단체B_A소모량">[8]비용항목!$C$15</definedName>
    <definedName name="단체B_B소모량">[8]비용항목!$C$16</definedName>
    <definedName name="단체급식비">[8]비용항목!$C$73</definedName>
    <definedName name="단체선D_E선용품">[8]비용항목!$G$18</definedName>
    <definedName name="단체선MGT">[8]비용항목!$C$90</definedName>
    <definedName name="단체선UNIFORM">[8]비용항목!$G$24</definedName>
    <definedName name="단체선고정비">[8]비용항목!$G$102</definedName>
    <definedName name="단체선관광조장수">[8]비용항목!$C$60</definedName>
    <definedName name="단체선선박보험">[8]비용항목!$G$31</definedName>
    <definedName name="단체선선원교체비">[8]비용항목!$C$67</definedName>
    <definedName name="단체선소모품비">[8]비용항목!$C$97</definedName>
    <definedName name="단체선속초항비">[8]비용항목!$G$37</definedName>
    <definedName name="단체선수리비">[8]비용항목!$G$80</definedName>
    <definedName name="단체선승객수">[8]비용항목!$G$96</definedName>
    <definedName name="단체선실항차">[8]비용항목!$G$87</definedName>
    <definedName name="단체선연예인선원비">[8]비용항목!$C$38</definedName>
    <definedName name="단체선연예인수">[8]비용항목!$C$44</definedName>
    <definedName name="단체선오물수거비">[8]비용항목!$G$54</definedName>
    <definedName name="단체선용선료">[8]비용항목!$G$71</definedName>
    <definedName name="단체선장전항비">[8]비용항목!$G$41</definedName>
    <definedName name="단체선집기비품">[8]비용항목!$G$7</definedName>
    <definedName name="단체선청수비">[8]비용항목!$G$48</definedName>
    <definedName name="단체선항차수">[8]비용항목!$G$88</definedName>
    <definedName name="당사운영역사" localSheetId="0">'[37]지방,해외배부'!#REF!</definedName>
    <definedName name="당사운영역사">'[37]지방,해외배부'!#REF!</definedName>
    <definedName name="대북수수료">[8]비용항목!$C$85</definedName>
    <definedName name="대서양" localSheetId="0">'MAIN BERTH PLAN'!#REF!</definedName>
    <definedName name="대서양">#REF!</definedName>
    <definedName name="댜러" localSheetId="0" hidden="1">{"DCF","UPSIDE CASE",FALSE,"Sheet1";"DCF","BASE CASE",FALSE,"Sheet1";"DCF","DOWNSIDE CASE",FALSE,"Sheet1"}</definedName>
    <definedName name="댜러" hidden="1">{"DCF","UPSIDE CASE",FALSE,"Sheet1";"DCF","BASE CASE",FALSE,"Sheet1";"DCF","DOWNSIDE CASE",FALSE,"Sheet1"}</definedName>
    <definedName name="도서구입비">[8]비용항목!$G$19</definedName>
    <definedName name="동남PS5척" localSheetId="0" hidden="1">{"adj95mult",#N/A,FALSE,"COMPCO";"adj95est",#N/A,FALSE,"COMPCO"}</definedName>
    <definedName name="동남PS5척" hidden="1">{"adj95mult",#N/A,FALSE,"COMPCO";"adj95est",#N/A,FALSE,"COMPCO"}</definedName>
    <definedName name="동양종금" localSheetId="0">'MAIN BERTH PLAN'!#REF!</definedName>
    <definedName name="동양종금">#REF!</definedName>
    <definedName name="동해터미널건설비">[8]비용항목!$G$59</definedName>
    <definedName name="동해터미널비">[8]비용항목!$G$57</definedName>
    <definedName name="ㄹ" localSheetId="0">'MAIN BERTH PLAN'!#REF!</definedName>
    <definedName name="ㄹ">#REF!</definedName>
    <definedName name="ㄹㅇ" localSheetId="0" hidden="1">{"adj95mult",#N/A,FALSE,"COMPCO";"adj95est",#N/A,FALSE,"COMPCO"}</definedName>
    <definedName name="ㄹㅇ" hidden="1">{"adj95mult",#N/A,FALSE,"COMPCO";"adj95est",#N/A,FALSE,"COMPCO"}</definedName>
    <definedName name="리보">'[37]지방,해외배부'!#REF!</definedName>
    <definedName name="ㅁ" localSheetId="0">'MAIN BERTH PLAN'!#REF!</definedName>
    <definedName name="ㅁ">#REF!</definedName>
    <definedName name="ㅁ1" localSheetId="0">'MAIN BERTH PLAN'!#REF!</definedName>
    <definedName name="ㅁ1">#REF!</definedName>
    <definedName name="ㅁㅁㅁ">[55]전체_월별!$A$1:$H$1112</definedName>
    <definedName name="매출명세" localSheetId="0">'MAIN BERTH PLAN'!#REF!</definedName>
    <definedName name="매출명세">#REF!</definedName>
    <definedName name="물가상승">[54]연간데이터!$D$4:$BF$4</definedName>
    <definedName name="물가수입">[54]연간데이터!$G$6:$BL$6</definedName>
    <definedName name="미구아" localSheetId="0">'MAIN BERTH PLAN'!#REF!</definedName>
    <definedName name="미구아">#REF!</definedName>
    <definedName name="미주" localSheetId="0">'MAIN BERTH PLAN'!#REF!</definedName>
    <definedName name="미주">#REF!</definedName>
    <definedName name="미주수급" localSheetId="0" hidden="1">{"adj95mult",#N/A,FALSE,"COMPCO";"adj95est",#N/A,FALSE,"COMPCO"}</definedName>
    <definedName name="미주수급" hidden="1">{"adj95mult",#N/A,FALSE,"COMPCO";"adj95est",#N/A,FALSE,"COMPCO"}</definedName>
    <definedName name="미주수급3" localSheetId="0" hidden="1">{"adj95mult",#N/A,FALSE,"COMPCO";"adj95est",#N/A,FALSE,"COMPCO"}</definedName>
    <definedName name="미주수급3" hidden="1">{"adj95mult",#N/A,FALSE,"COMPCO";"adj95est",#N/A,FALSE,"COMPCO"}</definedName>
    <definedName name="미주실적">'[51]미주(03실적))'!$A$3:$O$33</definedName>
    <definedName name="미주항로" localSheetId="0" hidden="1">{"adj95mult",#N/A,FALSE,"COMPCO";"adj95est",#N/A,FALSE,"COMPCO"}</definedName>
    <definedName name="미주항로" hidden="1">{"adj95mult",#N/A,FALSE,"COMPCO";"adj95est",#N/A,FALSE,"COMPCO"}</definedName>
    <definedName name="ㅂㅂㅂ" localSheetId="0" hidden="1">{"adj95mult",#N/A,FALSE,"COMPCO";"adj95est",#N/A,FALSE,"COMPCO"}</definedName>
    <definedName name="ㅂㅂㅂ" hidden="1">{"adj95mult",#N/A,FALSE,"COMPCO";"adj95est",#N/A,FALSE,"COMPCO"}</definedName>
    <definedName name="법인수정">[56]종기실공문!#REF!</definedName>
    <definedName name="법인수정2">[56]종기실공문!#REF!</definedName>
    <definedName name="별3" localSheetId="0" hidden="1">{"adj95mult",#N/A,FALSE,"COMPCO";"adj95est",#N/A,FALSE,"COMPCO"}</definedName>
    <definedName name="별3" hidden="1">{"adj95mult",#N/A,FALSE,"COMPCO";"adj95est",#N/A,FALSE,"COMPCO"}</definedName>
    <definedName name="별4" localSheetId="0" hidden="1">{"adj95mult",#N/A,FALSE,"COMPCO";"adj95est",#N/A,FALSE,"COMPCO"}</definedName>
    <definedName name="별4" hidden="1">{"adj95mult",#N/A,FALSE,"COMPCO";"adj95est",#N/A,FALSE,"COMPCO"}</definedName>
    <definedName name="복사" localSheetId="0">'MAIN BERTH PLAN'!#REF!</definedName>
    <definedName name="복사">#REF!</definedName>
    <definedName name="봉래D_E선용품">[8]비용항목!$G$15</definedName>
    <definedName name="봉래GO소모량">[8]비용항목!$C$12</definedName>
    <definedName name="봉래MGT">[8]비용항목!$C$87</definedName>
    <definedName name="봉래UNIFORM">[8]비용항목!$G$21</definedName>
    <definedName name="봉래개발선원비">[8]비용항목!$C$46</definedName>
    <definedName name="봉래개발선원수">[8]비용항목!$C$51</definedName>
    <definedName name="봉래고정비">[8]비용항목!$G$100</definedName>
    <definedName name="봉래공연기자재비">[8]비용항목!$G$10</definedName>
    <definedName name="봉래관광조장수">[8]비용항목!$C$57</definedName>
    <definedName name="봉래동해항비">[8]비용항목!$G$35</definedName>
    <definedName name="봉래선박보험">[8]비용항목!$G$28</definedName>
    <definedName name="봉래선원교체비">[8]비용항목!$C$64</definedName>
    <definedName name="봉래선주사선원수">[8]비용항목!$C$27</definedName>
    <definedName name="봉래수리비">[8]비용항목!$G$77</definedName>
    <definedName name="봉래승객수">[8]비용항목!$G$93</definedName>
    <definedName name="봉래식당이용선원수">[8]비용항목!$C$75</definedName>
    <definedName name="봉래연예인선원비">[8]비용항목!$C$34</definedName>
    <definedName name="봉래연예인수">[8]비용항목!$C$40</definedName>
    <definedName name="봉래오물수거비">[8]비용항목!$G$51</definedName>
    <definedName name="봉래용선료">[8]비용항목!$G$68</definedName>
    <definedName name="봉래장전항비">[8]비용항목!$G$39</definedName>
    <definedName name="봉래청수비">[8]비용항목!$G$45</definedName>
    <definedName name="봉래항차수">[8]비용항목!$G$84</definedName>
    <definedName name="봉래호텔소모품비">[8]비용항목!$C$94</definedName>
    <definedName name="봉래호텔집기비품">[8]비용항목!$G$4</definedName>
    <definedName name="부두사용료">[8]비용항목!$G$42</definedName>
    <definedName name="북구주_월별_Query" localSheetId="0">'MAIN BERTH PLAN'!#REF!</definedName>
    <definedName name="북구주_월별_Query">#REF!</definedName>
    <definedName name="비교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비교GVY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ㅅㅅㅅ" localSheetId="0" hidden="1">{"adj95mult",#N/A,FALSE,"COMPCO";"adj95est",#N/A,FALSE,"COMPCO"}</definedName>
    <definedName name="ㅅㅅㅅ" hidden="1">{"adj95mult",#N/A,FALSE,"COMPCO";"adj95est",#N/A,FALSE,"COMPCO"}</definedName>
    <definedName name="삼분기bs환율" localSheetId="0">'MAIN BERTH PLAN'!#REF!</definedName>
    <definedName name="삼분기bs환율">#REF!</definedName>
    <definedName name="삼분기is환율" localSheetId="0">'MAIN BERTH PLAN'!#REF!</definedName>
    <definedName name="삼분기is환율">#REF!</definedName>
    <definedName name="새가" localSheetId="0">'MAIN BERTH PLAN'!#REF!</definedName>
    <definedName name="새가">#REF!</definedName>
    <definedName name="새것" localSheetId="0">'MAIN BERTH PLAN'!#REF!</definedName>
    <definedName name="새것">#REF!</definedName>
    <definedName name="선기장__지원팀__조근자의__99년도_인사고과자_선정_안__품의" localSheetId="0">'MAIN BERTH PLAN'!#REF!</definedName>
    <definedName name="선기장__지원팀__조근자의__99년도_인사고과자_선정_안__품의">#REF!</definedName>
    <definedName name="선대보유" localSheetId="0">'MAIN BERTH PLAN'!#REF!</definedName>
    <definedName name="선대보유">#REF!</definedName>
    <definedName name="선박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박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선복확보">'[37]지방,해외배부'!#REF!</definedName>
    <definedName name="선상카드수수료">[8]비용항목!$C$82</definedName>
    <definedName name="선주사선원월평균임금">[8]비용항목!$C$30</definedName>
    <definedName name="속초터미널비">[8]비용항목!$G$58</definedName>
    <definedName name="수급" localSheetId="0" hidden="1">{"mult96",#N/A,FALSE,"PETCOMP";"est96",#N/A,FALSE,"PETCOMP";"mult95",#N/A,FALSE,"PETCOMP";"est95",#N/A,FALSE,"PETCOMP";"multltm",#N/A,FALSE,"PETCOMP";"resultltm",#N/A,FALSE,"PETCOMP"}</definedName>
    <definedName name="수급" hidden="1">{"mult96",#N/A,FALSE,"PETCOMP";"est96",#N/A,FALSE,"PETCOMP";"mult95",#N/A,FALSE,"PETCOMP";"est95",#N/A,FALSE,"PETCOMP";"multltm",#N/A,FALSE,"PETCOMP";"resultltm",#N/A,FALSE,"PETCOMP"}</definedName>
    <definedName name="수급1" localSheetId="0" hidden="1">{"mult96",#N/A,FALSE,"PETCOMP";"est96",#N/A,FALSE,"PETCOMP";"mult95",#N/A,FALSE,"PETCOMP";"est95",#N/A,FALSE,"PETCOMP";"multltm",#N/A,FALSE,"PETCOMP";"resultltm",#N/A,FALSE,"PETCOMP"}</definedName>
    <definedName name="수급1" hidden="1">{"mult96",#N/A,FALSE,"PETCOMP";"est96",#N/A,FALSE,"PETCOMP";"mult95",#N/A,FALSE,"PETCOMP";"est95",#N/A,FALSE,"PETCOMP";"multltm",#N/A,FALSE,"PETCOMP";"resultltm",#N/A,FALSE,"PETCOMP"}</definedName>
    <definedName name="수후" localSheetId="0" hidden="1">{"adj95mult",#N/A,FALSE,"COMPCO";"adj95est",#N/A,FALSE,"COMPCO"}</definedName>
    <definedName name="수후" hidden="1">{"adj95mult",#N/A,FALSE,"COMPCO";"adj95est",#N/A,FALSE,"COMPCO"}</definedName>
    <definedName name="스케쥴비교2">#N/A</definedName>
    <definedName name="스케쥴비교3">#N/A</definedName>
    <definedName name="승객급식비">[8]비용항목!$C$70</definedName>
    <definedName name="승객기념품비">[8]비용항목!$C$22</definedName>
    <definedName name="승무원급식비">[8]비용항목!$C$71</definedName>
    <definedName name="신규" localSheetId="0">'MAIN BERTH PLAN'!#REF!</definedName>
    <definedName name="신규">#REF!</definedName>
    <definedName name="심사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심사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ㅇ" localSheetId="0" hidden="1">{"mult96",#N/A,FALSE,"PETCOMP";"est96",#N/A,FALSE,"PETCOMP";"mult95",#N/A,FALSE,"PETCOMP";"est95",#N/A,FALSE,"PETCOMP";"multltm",#N/A,FALSE,"PETCOMP";"resultltm",#N/A,FALSE,"PETCOMP"}</definedName>
    <definedName name="ㅇ" hidden="1">{"mult96",#N/A,FALSE,"PETCOMP";"est96",#N/A,FALSE,"PETCOMP";"mult95",#N/A,FALSE,"PETCOMP";"est95",#N/A,FALSE,"PETCOMP";"multltm",#N/A,FALSE,"PETCOMP";"resultltm",#N/A,FALSE,"PETCOMP"}</definedName>
    <definedName name="ㅇㄹㄴ" localSheetId="0" hidden="1">{"adj95mult",#N/A,FALSE,"COMPCO";"adj95est",#N/A,FALSE,"COMPCO"}</definedName>
    <definedName name="ㅇㄹㄴ" hidden="1">{"adj95mult",#N/A,FALSE,"COMPCO";"adj95est",#N/A,FALSE,"COMPCO"}</definedName>
    <definedName name="ㅇㄹㄹㄴㅇㅁ" localSheetId="0" hidden="1">{"adj95mult",#N/A,FALSE,"COMPCO";"adj95est",#N/A,FALSE,"COMPCO"}</definedName>
    <definedName name="ㅇㄹㄹㄴㅇㅁ" hidden="1">{"adj95mult",#N/A,FALSE,"COMPCO";"adj95est",#N/A,FALSE,"COMPCO"}</definedName>
    <definedName name="ㅇㄹㅇ" localSheetId="0" hidden="1">{"adj95mult",#N/A,FALSE,"COMPCO";"adj95est",#N/A,FALSE,"COMPCO"}</definedName>
    <definedName name="ㅇㄹㅇ" hidden="1">{"adj95mult",#N/A,FALSE,"COMPCO";"adj95est",#N/A,FALSE,"COMPCO"}</definedName>
    <definedName name="ㅇㅇ" localSheetId="0">'MAIN BERTH PLAN'!#REF!</definedName>
    <definedName name="ㅇㅇ">#REF!</definedName>
    <definedName name="ㅇㅇㅇ" localSheetId="0" hidden="1">{"DCF","UPSIDE CASE",FALSE,"Sheet1";"DCF","BASE CASE",FALSE,"Sheet1";"DCF","DOWNSIDE CASE",FALSE,"Sheet1"}</definedName>
    <definedName name="ㅇㅇㅇ" hidden="1">{"DCF","UPSIDE CASE",FALSE,"Sheet1";"DCF","BASE CASE",FALSE,"Sheet1";"DCF","DOWNSIDE CASE",FALSE,"Sheet1"}</definedName>
    <definedName name="ㅇㅇㅇㅇㅇ" localSheetId="0" hidden="1">{"DCF","UPSIDE CASE",FALSE,"Sheet1";"DCF","BASE CASE",FALSE,"Sheet1";"DCF","DOWNSIDE CASE",FALSE,"Sheet1"}</definedName>
    <definedName name="ㅇㅇㅇㅇㅇ" hidden="1">{"DCF","UPSIDE CASE",FALSE,"Sheet1";"DCF","BASE CASE",FALSE,"Sheet1";"DCF","DOWNSIDE CASE",FALSE,"Sheet1"}</definedName>
    <definedName name="아주" localSheetId="0" hidden="1">{"adj95mult",#N/A,FALSE,"COMPCO";"adj95est",#N/A,FALSE,"COMPCO"}</definedName>
    <definedName name="아주" hidden="1">{"adj95mult",#N/A,FALSE,"COMPCO";"adj95est",#N/A,FALSE,"COMPCO"}</definedName>
    <definedName name="아주실적">'[51]아주(03실적)'!$A$3:$O$33</definedName>
    <definedName name="여행사수수료">[8]비용항목!$C$80</definedName>
    <definedName name="여행자보험">[8]비용항목!$G$32</definedName>
    <definedName name="엽슴" localSheetId="0">'MAIN BERTH PLAN'!#REF!</definedName>
    <definedName name="엽슴">#REF!</definedName>
    <definedName name="영업물량" localSheetId="0">'MAIN BERTH PLAN'!#REF!</definedName>
    <definedName name="영업물량">#REF!</definedName>
    <definedName name="옥천1" localSheetId="0" hidden="1">{#N/A,#N/A,FALSE,"SHEET10";#N/A,#N/A,FALSE,"SHEET10"}</definedName>
    <definedName name="옥천1" hidden="1">{#N/A,#N/A,FALSE,"SHEET10";#N/A,#N/A,FALSE,"SHEET10"}</definedName>
    <definedName name="운영상승율">[49]년간데이타!$H$6:$BE$6</definedName>
    <definedName name="운임">#N/A</definedName>
    <definedName name="월별영업" localSheetId="0">'MAIN BERTH PLAN'!#REF!</definedName>
    <definedName name="월별영업">#REF!</definedName>
    <definedName name="육상지원팀선원비">[8]비용항목!$C$55</definedName>
    <definedName name="육상카드수수료">[8]비용항목!$C$81</definedName>
    <definedName name="이름" localSheetId="0" hidden="1">{"mult96",#N/A,FALSE,"PETCOMP";"est96",#N/A,FALSE,"PETCOMP";"mult95",#N/A,FALSE,"PETCOMP";"est95",#N/A,FALSE,"PETCOMP";"multltm",#N/A,FALSE,"PETCOMP";"resultltm",#N/A,FALSE,"PETCOMP"}</definedName>
    <definedName name="이름" hidden="1">{"mult96",#N/A,FALSE,"PETCOMP";"est96",#N/A,FALSE,"PETCOMP";"mult95",#N/A,FALSE,"PETCOMP";"est95",#N/A,FALSE,"PETCOMP";"multltm",#N/A,FALSE,"PETCOMP";"resultltm",#N/A,FALSE,"PETCOMP"}</definedName>
    <definedName name="인원">[57]수입!#REF!</definedName>
    <definedName name="일반관리명세">[58]지점비용!#REF!</definedName>
    <definedName name="일차합" localSheetId="0">'MAIN BERTH PLAN'!#REF!</definedName>
    <definedName name="일차합">#REF!</definedName>
    <definedName name="임대수입">[8]비용항목!$C$8</definedName>
    <definedName name="ㅈㅈ" localSheetId="0">'MAIN BERTH PLAN'!#REF!</definedName>
    <definedName name="ㅈㅈ">#REF!</definedName>
    <definedName name="ㅈㅈㅈ" localSheetId="0">'MAIN BERTH PLAN'!#REF!</definedName>
    <definedName name="ㅈㅈㅈ">#REF!</definedName>
    <definedName name="자료취합__2__Query" localSheetId="0">'MAIN BERTH PLAN'!#REF!</definedName>
    <definedName name="자료취합__2__Query">#REF!</definedName>
    <definedName name="자료취합_Query" localSheetId="0">'MAIN BERTH PLAN'!#REF!</definedName>
    <definedName name="자료취합_Query">#REF!</definedName>
    <definedName name="장원철" localSheetId="0">'MAIN BERTH PLAN'!#REF!</definedName>
    <definedName name="장원철">#REF!</definedName>
    <definedName name="장효은" localSheetId="0">'MAIN BERTH PLAN'!#REF!</definedName>
    <definedName name="장효은">#REF!</definedName>
    <definedName name="재정보조효과" localSheetId="0">[59]불변현금흐름표!#REF!</definedName>
    <definedName name="재정보조효과">[59]불변현금흐름표!#REF!</definedName>
    <definedName name="전산비">[8]비용항목!$C$79</definedName>
    <definedName name="전체" localSheetId="0">'MAIN BERTH PLAN'!#REF!</definedName>
    <definedName name="전체">#REF!</definedName>
    <definedName name="조직" localSheetId="0">'MAIN BERTH PLAN'!#REF!</definedName>
    <definedName name="조직">#REF!</definedName>
    <definedName name="조직도" localSheetId="0">[57]수입!#REF!</definedName>
    <definedName name="조직도">[57]수입!#REF!</definedName>
    <definedName name="조직도101" localSheetId="0">[57]수입!#REF!</definedName>
    <definedName name="조직도101">[57]수입!#REF!</definedName>
    <definedName name="종업원월평균임금">[8]비용항목!$C$32</definedName>
    <definedName name="종합" localSheetId="0">'MAIN BERTH PLAN'!#REF!</definedName>
    <definedName name="종합">#REF!</definedName>
    <definedName name="지점비용" localSheetId="0">[60]지점비용!#REF!</definedName>
    <definedName name="지점비용">[60]지점비용!#REF!</definedName>
    <definedName name="진자" localSheetId="0">'MAIN BERTH PLAN'!#REF!</definedName>
    <definedName name="진자">#REF!</definedName>
    <definedName name="진품" localSheetId="0" hidden="1">{"EVA",#N/A,FALSE,"EVA";"WACC",#N/A,FALSE,"WACC"}</definedName>
    <definedName name="진품" hidden="1">{"EVA",#N/A,FALSE,"EVA";"WACC",#N/A,FALSE,"WACC"}</definedName>
    <definedName name="ㅊ과정총괄" localSheetId="0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ㅊ과정총괄" hidden="1">{#N/A,#N/A,FALSE,"대비양식";#N/A,#N/A,FALSE,"월별양식";#N/A,#N/A,FALSE,"출장비";#N/A,#N/A,FALSE,"교통비계획";#N/A,#N/A,FALSE,"참고도서";#N/A,#N/A,FALSE,"제회비";#N/A,#N/A,FALSE,"접대계획";#N/A,#N/A,FALSE,"출장실적"}</definedName>
    <definedName name="창" localSheetId="0" hidden="1">{"DCF","UPSIDE CASE",FALSE,"Sheet1";"DCF","BASE CASE",FALSE,"Sheet1";"DCF","DOWNSIDE CASE",FALSE,"Sheet1"}</definedName>
    <definedName name="창" hidden="1">{"DCF","UPSIDE CASE",FALSE,"Sheet1";"DCF","BASE CASE",FALSE,"Sheet1";"DCF","DOWNSIDE CASE",FALSE,"Sheet1"}</definedName>
    <definedName name="총계" localSheetId="0">'MAIN BERTH PLAN'!#REF!</definedName>
    <definedName name="총계">#REF!</definedName>
    <definedName name="총상승율">[49]년간데이타!$C$6:$BE$6</definedName>
    <definedName name="총자료취합_Query" localSheetId="0">'MAIN BERTH PLAN'!#REF!</definedName>
    <definedName name="총자료취합_Query">#REF!</definedName>
    <definedName name="총합계_월별_Query" localSheetId="0">'MAIN BERTH PLAN'!#REF!</definedName>
    <definedName name="총합계_월별_Query">#REF!</definedName>
    <definedName name="총합계_월별_Query1" localSheetId="0">'MAIN BERTH PLAN'!#REF!</definedName>
    <definedName name="총합계_월별_Query1">#REF!</definedName>
    <definedName name="총합계_월별_Query1_Query" localSheetId="0">'MAIN BERTH PLAN'!#REF!</definedName>
    <definedName name="총합계_월별_Query1_Query">#REF!</definedName>
    <definedName name="총항차수">[8]비용항목!$G$90</definedName>
    <definedName name="최종요약" localSheetId="0" hidden="1">{"adj95mult",#N/A,FALSE,"COMPCO";"adj95est",#N/A,FALSE,"COMPCO"}</definedName>
    <definedName name="최종요약" hidden="1">{"adj95mult",#N/A,FALSE,"COMPCO";"adj95est",#N/A,FALSE,"COMPCO"}</definedName>
    <definedName name="최종요약m.share" localSheetId="0" hidden="1">{"adj95mult",#N/A,FALSE,"COMPCO";"adj95est",#N/A,FALSE,"COMPCO"}</definedName>
    <definedName name="최종요약m.share" hidden="1">{"adj95mult",#N/A,FALSE,"COMPCO";"adj95est",#N/A,FALSE,"COMPCO"}</definedName>
    <definedName name="충">[60]지점비용!#REF!</definedName>
    <definedName name="커미션.01" localSheetId="0">'MAIN BERTH PLAN'!#REF!</definedName>
    <definedName name="커미션.01">#REF!</definedName>
    <definedName name="투자계획" localSheetId="0">'MAIN BERTH PLAN'!#REF!</definedName>
    <definedName name="투자계획">#REF!</definedName>
    <definedName name="ㅍ1" localSheetId="0">'MAIN BERTH PLAN'!#REF!</definedName>
    <definedName name="ㅍ1">#REF!</definedName>
    <definedName name="표8">#N/A</definedName>
    <definedName name="풍악D_E선용품">[8]비용항목!$G$16</definedName>
    <definedName name="풍악GO소모량">[8]비용항목!$C$13</definedName>
    <definedName name="풍악MGT">[8]비용항목!$C$88</definedName>
    <definedName name="풍악UNIFORM">[8]비용항목!$G$22</definedName>
    <definedName name="풍악개발선원비">[8]비용항목!$C$47</definedName>
    <definedName name="풍악개발선원수">[8]비용항목!$C$52</definedName>
    <definedName name="풍악고정비">[8]비용항목!$G$101</definedName>
    <definedName name="풍악공연기자재비">[8]비용항목!$G$11</definedName>
    <definedName name="풍악관광조장수">[8]비용항목!$C$58</definedName>
    <definedName name="풍악동해항비">[8]비용항목!$G$36</definedName>
    <definedName name="풍악선박보험">[8]비용항목!$G$29</definedName>
    <definedName name="풍악선원교체비">[8]비용항목!$C$65</definedName>
    <definedName name="풍악선주사선원수">[8]비용항목!$C$28</definedName>
    <definedName name="풍악수리비">[8]비용항목!$G$78</definedName>
    <definedName name="풍악승객수">[8]비용항목!$G$94</definedName>
    <definedName name="풍악식당이용선원수">[8]비용항목!$C$76</definedName>
    <definedName name="풍악연예인선원비">[8]비용항목!$C$35</definedName>
    <definedName name="풍악연예인수">[8]비용항목!$C$41</definedName>
    <definedName name="풍악오물수거비">[8]비용항목!$G$52</definedName>
    <definedName name="풍악용선료">[8]비용항목!$G$69</definedName>
    <definedName name="풍악장전항비">[8]비용항목!$G$40</definedName>
    <definedName name="풍악청수비">[8]비용항목!$G$46</definedName>
    <definedName name="풍악항차수">[8]비용항목!$G$85</definedName>
    <definedName name="풍악호텔소모품비">[8]비용항목!$C$95</definedName>
    <definedName name="풍악호텔집기비품">[8]비용항목!$G$5</definedName>
    <definedName name="프랑스조세" localSheetId="0">'MAIN BERTH PLAN'!#REF!</definedName>
    <definedName name="프랑스조세">#REF!</definedName>
    <definedName name="ㅎㅎㅎ" localSheetId="0" hidden="1">{"DCF","UPSIDE CASE",FALSE,"Sheet1";"DCF","BASE CASE",FALSE,"Sheet1";"DCF","DOWNSIDE CASE",FALSE,"Sheet1"}</definedName>
    <definedName name="ㅎㅎㅎ" hidden="1">{"DCF","UPSIDE CASE",FALSE,"Sheet1";"DCF","BASE CASE",FALSE,"Sheet1";"DCF","DOWNSIDE CASE",FALSE,"Sheet1"}</definedName>
    <definedName name="하역료">[59]불변현금흐름표!#REF!</definedName>
    <definedName name="항로현황" localSheetId="0">'MAIN BERTH PLAN'!#REF!</definedName>
    <definedName name="항로현황">#REF!</definedName>
    <definedName name="항로현황1" localSheetId="0">'MAIN BERTH PLAN'!#REF!</definedName>
    <definedName name="항로현황1">#REF!</definedName>
    <definedName name="항로현황2" localSheetId="0">'MAIN BERTH PLAN'!#REF!</definedName>
    <definedName name="항로현황2">#REF!</definedName>
    <definedName name="항차표" localSheetId="0">'MAIN BERTH PLAN'!#REF!</definedName>
    <definedName name="항차표">#REF!</definedName>
    <definedName name="항차표01" localSheetId="0">'MAIN BERTH PLAN'!#REF!</definedName>
    <definedName name="항차표01">#REF!</definedName>
    <definedName name="항차표02" localSheetId="0">'MAIN BERTH PLAN'!#REF!</definedName>
    <definedName name="항차표02">#REF!</definedName>
    <definedName name="항차표04" localSheetId="0">'MAIN BERTH PLAN'!#REF!</definedName>
    <definedName name="항차표04">#REF!</definedName>
    <definedName name="현대리바트" localSheetId="0">[1]수입!#REF!</definedName>
    <definedName name="현대리바트">[1]수입!#REF!</definedName>
    <definedName name="현황">'[61]현지법인 사업계획(총괄)'!#REF!</definedName>
    <definedName name="환차">'[62]8'!$A$6:$T$47</definedName>
    <definedName name="ㅐㅏㅔㅔ" localSheetId="0">'MAIN BERTH PLAN'!#REF!</definedName>
    <definedName name="ㅐㅏㅔㅔ">#REF!</definedName>
    <definedName name="ㅐㅐㅐ" localSheetId="0" hidden="1">{"mult96",#N/A,FALSE,"PETCOMP";"est96",#N/A,FALSE,"PETCOMP";"mult95",#N/A,FALSE,"PETCOMP";"est95",#N/A,FALSE,"PETCOMP";"multltm",#N/A,FALSE,"PETCOMP";"resultltm",#N/A,FALSE,"PETCOMP"}</definedName>
    <definedName name="ㅐㅐㅐ" hidden="1">{"mult96",#N/A,FALSE,"PETCOMP";"est96",#N/A,FALSE,"PETCOMP";"mult95",#N/A,FALSE,"PETCOMP";"est95",#N/A,FALSE,"PETCOMP";"multltm",#N/A,FALSE,"PETCOMP";"resultltm",#N/A,FALSE,"PETCOMP"}</definedName>
    <definedName name="ㅐㅐㅐㅐ" localSheetId="0" hidden="1">{"adj95mult",#N/A,FALSE,"COMPCO";"adj95est",#N/A,FALSE,"COMPCO"}</definedName>
    <definedName name="ㅐㅐㅐㅐ" hidden="1">{"adj95mult",#N/A,FALSE,"COMPCO";"adj95est",#N/A,FALSE,"COMPCO"}</definedName>
    <definedName name="ㅑㅑㅑ" localSheetId="0" hidden="1">{"adj95mult",#N/A,FALSE,"COMPCO";"adj95est",#N/A,FALSE,"COMPCO"}</definedName>
    <definedName name="ㅑㅑㅑ" hidden="1">{"adj95mult",#N/A,FALSE,"COMPCO";"adj95est",#N/A,FALSE,"COMPCO"}</definedName>
    <definedName name="ㅓ" localSheetId="0" hidden="1">{"mult96",#N/A,FALSE,"PETCOMP";"est96",#N/A,FALSE,"PETCOMP";"mult95",#N/A,FALSE,"PETCOMP";"est95",#N/A,FALSE,"PETCOMP";"multltm",#N/A,FALSE,"PETCOMP";"resultltm",#N/A,FALSE,"PETCOMP"}</definedName>
    <definedName name="ㅓ" hidden="1">{"mult96",#N/A,FALSE,"PETCOMP";"est96",#N/A,FALSE,"PETCOMP";"mult95",#N/A,FALSE,"PETCOMP";"est95",#N/A,FALSE,"PETCOMP";"multltm",#N/A,FALSE,"PETCOMP";"resultltm",#N/A,FALSE,"PETCOMP"}</definedName>
    <definedName name="ㅓ125" localSheetId="0">'MAIN BERTH PLAN'!#REF!</definedName>
    <definedName name="ㅓ125">#REF!</definedName>
    <definedName name="ㅓㅓㅓ" localSheetId="0" hidden="1">{"mult96",#N/A,FALSE,"PETCOMP";"est96",#N/A,FALSE,"PETCOMP";"mult95",#N/A,FALSE,"PETCOMP";"est95",#N/A,FALSE,"PETCOMP";"multltm",#N/A,FALSE,"PETCOMP";"resultltm",#N/A,FALSE,"PETCOMP"}</definedName>
    <definedName name="ㅓㅓㅓ" hidden="1">{"mult96",#N/A,FALSE,"PETCOMP";"est96",#N/A,FALSE,"PETCOMP";"mult95",#N/A,FALSE,"PETCOMP";"est95",#N/A,FALSE,"PETCOMP";"multltm",#N/A,FALSE,"PETCOMP";"resultltm",#N/A,FALSE,"PETCOMP"}</definedName>
    <definedName name="ㅔ" localSheetId="0">'MAIN BERTH PLAN'!#REF!</definedName>
    <definedName name="ㅔ">#REF!</definedName>
    <definedName name="ㅔㅔㅔ" localSheetId="0">'MAIN BERTH PLAN'!#REF!</definedName>
    <definedName name="ㅔㅔㅔ">#REF!</definedName>
    <definedName name="ㅕㅕㅕ" localSheetId="0" hidden="1">{"adj95mult",#N/A,FALSE,"COMPCO";"adj95est",#N/A,FALSE,"COMPCO"}</definedName>
    <definedName name="ㅕㅕㅕ" hidden="1">{"adj95mult",#N/A,FALSE,"COMPCO";"adj95est",#N/A,FALSE,"COMPCO"}</definedName>
    <definedName name="ㅛㅛㅛㅛ" localSheetId="0" hidden="1">{"mult96",#N/A,FALSE,"PETCOMP";"est96",#N/A,FALSE,"PETCOMP";"mult95",#N/A,FALSE,"PETCOMP";"est95",#N/A,FALSE,"PETCOMP";"multltm",#N/A,FALSE,"PETCOMP";"resultltm",#N/A,FALSE,"PETCOMP"}</definedName>
    <definedName name="ㅛㅛㅛㅛ" hidden="1">{"mult96",#N/A,FALSE,"PETCOMP";"est96",#N/A,FALSE,"PETCOMP";"mult95",#N/A,FALSE,"PETCOMP";"est95",#N/A,FALSE,"PETCOMP";"multltm",#N/A,FALSE,"PETCOMP";"resultltm",#N/A,FALSE,"PETCOMP"}</definedName>
    <definedName name="ㅜ">'[18]9-1차이내역'!#REF!</definedName>
    <definedName name="ㅡ24">[63]필요면적!$D$10</definedName>
    <definedName name="現代綜合商事經由分" localSheetId="0">'MAIN BERTH PLAN'!#REF!</definedName>
    <definedName name="現代綜合商事經由分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<sst xmlns="http://schemas.openxmlformats.org/spreadsheetml/2006/main" count="837" uniqueCount="176">
  <si>
    <t>RSGT</t>
  </si>
  <si>
    <t xml:space="preserve"> </t>
  </si>
  <si>
    <t xml:space="preserve">R1 DEPTH :18M </t>
  </si>
  <si>
    <t xml:space="preserve">R2 &amp; R3 DEPTH = 18 M </t>
  </si>
  <si>
    <t xml:space="preserve">R4 DEPTH =15M </t>
  </si>
  <si>
    <t>ALLOWABLE DRAFT 17.5M</t>
  </si>
  <si>
    <t>LEVEL 01</t>
  </si>
  <si>
    <t>LEVEL 02</t>
  </si>
  <si>
    <t>LEVEL 03</t>
  </si>
  <si>
    <t>LEVEL 04</t>
  </si>
  <si>
    <t>VESSEL OUTSIDE</t>
  </si>
  <si>
    <t>ALLOWABLE DRAFT 17.5 M</t>
  </si>
  <si>
    <t>RORO</t>
  </si>
  <si>
    <t>QC STOPPER</t>
  </si>
  <si>
    <t>OFF WINDOW</t>
  </si>
  <si>
    <t>ALLOWABLE DRAFT 14.5 M</t>
  </si>
  <si>
    <t>ADHOC</t>
  </si>
  <si>
    <t>CRUISE</t>
  </si>
  <si>
    <t>R1</t>
  </si>
  <si>
    <t>R2</t>
  </si>
  <si>
    <t>R3</t>
  </si>
  <si>
    <t>R4</t>
  </si>
  <si>
    <t>B6</t>
  </si>
  <si>
    <t>B4</t>
  </si>
  <si>
    <t>B7</t>
  </si>
  <si>
    <t>COMMERCIAL QC</t>
  </si>
  <si>
    <t>HOURLY QC'S</t>
  </si>
  <si>
    <t>WEEK 36</t>
  </si>
  <si>
    <t>Berth #1</t>
  </si>
  <si>
    <t>Berth #2</t>
  </si>
  <si>
    <t>Berth #3</t>
  </si>
  <si>
    <t>Berth #4</t>
  </si>
  <si>
    <t>RES2EB</t>
  </si>
  <si>
    <t>REX2-EB</t>
  </si>
  <si>
    <t>IRS2-EB</t>
  </si>
  <si>
    <t>0001-0200</t>
  </si>
  <si>
    <t xml:space="preserve"> 12:00</t>
  </si>
  <si>
    <t>0201-0400</t>
  </si>
  <si>
    <t>0401-0600</t>
  </si>
  <si>
    <t>COS- RES3</t>
  </si>
  <si>
    <t>0601-0800</t>
  </si>
  <si>
    <t>0801-1000</t>
  </si>
  <si>
    <t>1001-1200</t>
  </si>
  <si>
    <t>MEDEX- EB</t>
  </si>
  <si>
    <t>1201-1400</t>
  </si>
  <si>
    <t>1401-1600</t>
  </si>
  <si>
    <t>1601-1800</t>
  </si>
  <si>
    <t>1801-2000</t>
  </si>
  <si>
    <t>2001-2200</t>
  </si>
  <si>
    <t>2201-2359</t>
  </si>
  <si>
    <t>JJS2-WB</t>
  </si>
  <si>
    <t>RES2WB</t>
  </si>
  <si>
    <t>REX2-WB</t>
  </si>
  <si>
    <t>CRX-WB</t>
  </si>
  <si>
    <t>TRI-NB</t>
  </si>
  <si>
    <t>IMR</t>
  </si>
  <si>
    <t>RS2</t>
  </si>
  <si>
    <t>JRS</t>
  </si>
  <si>
    <t>MED5</t>
  </si>
  <si>
    <t>JAS EB</t>
  </si>
  <si>
    <t>TRI-SB</t>
  </si>
  <si>
    <t>JJS2-EB</t>
  </si>
  <si>
    <t>RGS</t>
  </si>
  <si>
    <t>MONA</t>
  </si>
  <si>
    <t>MEDEX- WB</t>
  </si>
  <si>
    <t>MED2</t>
  </si>
  <si>
    <t>RCS-EB</t>
  </si>
  <si>
    <t>IRS2 -WB</t>
  </si>
  <si>
    <t>REX-2</t>
  </si>
  <si>
    <t>Reham Almakran</t>
  </si>
  <si>
    <t xml:space="preserve">Diego Garcia  </t>
  </si>
  <si>
    <t>Abdulelah Siddik</t>
  </si>
  <si>
    <t>PREPARED BY</t>
  </si>
  <si>
    <t>Planning Senior Manager</t>
  </si>
  <si>
    <t>Director of Commercial JCT</t>
  </si>
  <si>
    <t>Column1</t>
  </si>
  <si>
    <t>Alia'a Khayyat</t>
  </si>
  <si>
    <t>Mohamed Safras</t>
  </si>
  <si>
    <t>Ali Naveed</t>
  </si>
  <si>
    <t>Sahaya Raja</t>
  </si>
  <si>
    <t>Jawad Jehanzeb</t>
  </si>
  <si>
    <t>Abdullah Alattas</t>
  </si>
  <si>
    <t>F</t>
  </si>
  <si>
    <t xml:space="preserve">NON CELLULAR VESSELS </t>
  </si>
  <si>
    <t>SHIP CRANE</t>
  </si>
  <si>
    <t>REMARKS</t>
  </si>
  <si>
    <t>TO BE BERTHED  AS  PER OPERATIONS</t>
  </si>
  <si>
    <t xml:space="preserve">S.NO </t>
  </si>
  <si>
    <t>LONG HATCH COVERS</t>
  </si>
  <si>
    <t>SHIP CRANES</t>
  </si>
  <si>
    <t>TO BE BERTHED  AS PER RSGT  OPERATION</t>
  </si>
  <si>
    <t>GREEN AANEKOSKI</t>
  </si>
  <si>
    <t>CENTRE</t>
  </si>
  <si>
    <t>ELREEDY STAR</t>
  </si>
  <si>
    <t>PORTSIDE</t>
  </si>
  <si>
    <t>BERTH 06 OR R04</t>
  </si>
  <si>
    <t>AL AHMED</t>
  </si>
  <si>
    <t>XUAN TENG JI YUN</t>
  </si>
  <si>
    <t>NIL</t>
  </si>
  <si>
    <t>ATLANTIC SPIRIT II</t>
  </si>
  <si>
    <t>XING SHUN 25</t>
  </si>
  <si>
    <t>AURELIA</t>
  </si>
  <si>
    <t xml:space="preserve">MAYYUN QASWARAH </t>
  </si>
  <si>
    <t>BALKIS</t>
  </si>
  <si>
    <t xml:space="preserve">AN YANG </t>
  </si>
  <si>
    <t>BASEL S3</t>
  </si>
  <si>
    <t>NEWSTRIVER</t>
  </si>
  <si>
    <t>BERTH 06/04 OR R04</t>
  </si>
  <si>
    <t>BLUE GOLD</t>
  </si>
  <si>
    <t>CATALONIA</t>
  </si>
  <si>
    <t>CHIAPAS STAR</t>
  </si>
  <si>
    <t>COSCO SHIPPING GLORY</t>
  </si>
  <si>
    <t>COSCO SHIPPING GRACE</t>
  </si>
  <si>
    <t>CSPC HORIZON</t>
  </si>
  <si>
    <t>COSCO SHIPPING CHANG QING</t>
  </si>
  <si>
    <t>COSCO SHIPPING WISDOM</t>
  </si>
  <si>
    <t>COSCO SHIPPING FOUNTAIN</t>
  </si>
  <si>
    <t xml:space="preserve">COSCO SHIPPING FAN RONG </t>
  </si>
  <si>
    <t>COSCO SHIPPING CHANG SHENG</t>
  </si>
  <si>
    <t>COSCO SHIPPING SINCERE</t>
  </si>
  <si>
    <t>COSCO SHIPPING PENG CHENG</t>
  </si>
  <si>
    <t>COSCOSHIPPING VISION</t>
  </si>
  <si>
    <t>COSCO SHIPPING TENGDA</t>
  </si>
  <si>
    <t>CELESTIA</t>
  </si>
  <si>
    <t>COSCO SHIPPING JI XIANG</t>
  </si>
  <si>
    <t>COSCO SHIPPING ZHUO YUE</t>
  </si>
  <si>
    <t>DA DE</t>
  </si>
  <si>
    <t>DONG KUN 7</t>
  </si>
  <si>
    <t>DRAGON BALL</t>
  </si>
  <si>
    <t>EA BLUE NILE</t>
  </si>
  <si>
    <t>EAGLES UNION</t>
  </si>
  <si>
    <t>FATMA S</t>
  </si>
  <si>
    <t xml:space="preserve">GREEN ITAJAI </t>
  </si>
  <si>
    <t>GREEN PORTOCEL</t>
  </si>
  <si>
    <t>GREEN SUAPE</t>
  </si>
  <si>
    <t xml:space="preserve">GREEN SALVADOR </t>
  </si>
  <si>
    <t>HMO LEADER</t>
  </si>
  <si>
    <t>JI HANG 27</t>
  </si>
  <si>
    <t>JI ZHE 6</t>
  </si>
  <si>
    <t>KAYAN</t>
  </si>
  <si>
    <t>KOTA BANGGA</t>
  </si>
  <si>
    <t>KOTA BAHAGIA</t>
  </si>
  <si>
    <t>GREEN KOTKA</t>
  </si>
  <si>
    <t>LILA MOMBASA</t>
  </si>
  <si>
    <t>XIN LONG YUN 16</t>
  </si>
  <si>
    <t>MARTIN ONE</t>
  </si>
  <si>
    <t xml:space="preserve">MARIA DISCOVERY </t>
  </si>
  <si>
    <t>MPV CLIO</t>
  </si>
  <si>
    <t>NADA</t>
  </si>
  <si>
    <t>NEPTUNE J</t>
  </si>
  <si>
    <t>OCEAN 5</t>
  </si>
  <si>
    <t>OCEAN3</t>
  </si>
  <si>
    <t>OCEAN 4</t>
  </si>
  <si>
    <t>OYSTER</t>
  </si>
  <si>
    <t>PASCAL</t>
  </si>
  <si>
    <t>PACIFIC VENTURE</t>
  </si>
  <si>
    <t>5 PEARLS</t>
  </si>
  <si>
    <t>COSCO SHIPPING PENG BO</t>
  </si>
  <si>
    <t>COPERNICO</t>
  </si>
  <si>
    <t>RS EAGLE</t>
  </si>
  <si>
    <t>SC MEMPHIS</t>
  </si>
  <si>
    <t>SHEBELLE</t>
  </si>
  <si>
    <t>SIDRA HALIMA</t>
  </si>
  <si>
    <t>SAPODILLA</t>
  </si>
  <si>
    <t>SEA XPRESS</t>
  </si>
  <si>
    <t>TAMARA</t>
  </si>
  <si>
    <t xml:space="preserve">TOPAZ BELAYA </t>
  </si>
  <si>
    <t>TJ ZARAR</t>
  </si>
  <si>
    <t>TOPAZ LENA</t>
  </si>
  <si>
    <t>TOPAZ VOLGA</t>
  </si>
  <si>
    <t>ZHONG LIAN SHAN TOU</t>
  </si>
  <si>
    <t xml:space="preserve">BLUE GOLD </t>
  </si>
  <si>
    <t>SAFEEN PROSPER</t>
  </si>
  <si>
    <t xml:space="preserve">DATE </t>
  </si>
  <si>
    <t>B5</t>
  </si>
  <si>
    <t>B7 &amp; B08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</si>
</sst>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€-2]* #,##0.00_-;\-[$€-2]* #,##0.00_-;_-[$€-2]* &quot;-&quot;??_-"/>
    <numFmt numFmtId="181" formatCode="dd/mmm"/>
    <numFmt numFmtId="182" formatCode="dddd"/>
    <numFmt numFmtId="183" formatCode="[$-14009]dd/mm/yyyy;@"/>
    <numFmt numFmtId="184" formatCode="dd/mm/yyyy\ hh:mm"/>
    <numFmt numFmtId="185" formatCode="h:mm;@"/>
  </numFmts>
  <fonts count="62">
    <font>
      <sz val="11"/>
      <color theme="1"/>
      <name val="Calibri"/>
      <charset val="134"/>
      <scheme val="minor"/>
    </font>
    <font>
      <b/>
      <sz val="72"/>
      <color theme="1"/>
      <name val="Aptos Black"/>
      <charset val="134"/>
    </font>
    <font>
      <b/>
      <sz val="24"/>
      <color rgb="FF000000"/>
      <name val="Aptos Black"/>
      <charset val="134"/>
    </font>
    <font>
      <b/>
      <sz val="28"/>
      <color theme="1"/>
      <name val="Gill Sans MT"/>
      <charset val="134"/>
    </font>
    <font>
      <b/>
      <sz val="48"/>
      <color theme="1"/>
      <name val="Calibri"/>
      <charset val="134"/>
      <scheme val="minor"/>
    </font>
    <font>
      <b/>
      <sz val="24"/>
      <color rgb="FF000000"/>
      <name val="Gill Sans MT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Aptos Display"/>
      <charset val="134"/>
    </font>
    <font>
      <b/>
      <sz val="14"/>
      <color theme="1"/>
      <name val="Aptos Display"/>
      <charset val="134"/>
    </font>
    <font>
      <sz val="11"/>
      <color theme="1"/>
      <name val="Gill Sans MT"/>
      <charset val="134"/>
    </font>
    <font>
      <sz val="14"/>
      <color theme="1"/>
      <name val="Gill Sans MT"/>
      <charset val="134"/>
    </font>
    <font>
      <sz val="20"/>
      <color theme="1"/>
      <name val="Gill Sans MT"/>
      <charset val="134"/>
    </font>
    <font>
      <b/>
      <sz val="28"/>
      <color theme="1"/>
      <name val="Calibri"/>
      <charset val="134"/>
      <scheme val="minor"/>
    </font>
    <font>
      <sz val="8"/>
      <color theme="1"/>
      <name val="Gill Sans MT"/>
      <charset val="134"/>
    </font>
    <font>
      <b/>
      <sz val="20"/>
      <color theme="1"/>
      <name val="Gill Sans MT"/>
      <charset val="134"/>
    </font>
    <font>
      <b/>
      <sz val="11"/>
      <color theme="1"/>
      <name val="Gill Sans MT"/>
      <charset val="134"/>
    </font>
    <font>
      <b/>
      <sz val="15"/>
      <color theme="1"/>
      <name val="Gill Sans MT"/>
      <charset val="134"/>
    </font>
    <font>
      <sz val="12"/>
      <color theme="1"/>
      <name val="Gill Sans MT"/>
      <charset val="134"/>
    </font>
    <font>
      <b/>
      <sz val="16"/>
      <color theme="1"/>
      <name val="Gill Sans MT"/>
      <charset val="134"/>
    </font>
    <font>
      <u/>
      <sz val="11"/>
      <color theme="10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26"/>
      <color theme="1"/>
      <name val="Gill Sans MT"/>
      <charset val="134"/>
    </font>
    <font>
      <sz val="24"/>
      <color theme="1"/>
      <name val="Gill Sans MT"/>
      <charset val="134"/>
    </font>
    <font>
      <sz val="16"/>
      <color theme="1"/>
      <name val="Gill Sans MT"/>
      <charset val="134"/>
    </font>
    <font>
      <b/>
      <sz val="18"/>
      <color theme="1"/>
      <name val="Gill Sans MT"/>
      <charset val="134"/>
    </font>
    <font>
      <b/>
      <sz val="28"/>
      <color theme="0"/>
      <name val="Aptos Display"/>
      <charset val="134"/>
    </font>
    <font>
      <sz val="28"/>
      <color theme="1"/>
      <name val="Calibri"/>
      <charset val="134"/>
      <scheme val="minor"/>
    </font>
    <font>
      <b/>
      <sz val="28"/>
      <color theme="1"/>
      <name val="Aptos Display"/>
      <charset val="134"/>
    </font>
    <font>
      <b/>
      <sz val="16"/>
      <color theme="1"/>
      <name val="Calibri"/>
      <charset val="134"/>
      <scheme val="minor"/>
    </font>
    <font>
      <sz val="16"/>
      <color theme="0"/>
      <name val="Gill Sans MT"/>
      <charset val="134"/>
    </font>
    <font>
      <b/>
      <sz val="24"/>
      <color theme="1"/>
      <name val="Gill Sans MT"/>
      <charset val="134"/>
    </font>
    <font>
      <sz val="16"/>
      <color theme="0"/>
      <name val="Gill Sans MT"/>
      <charset val="134"/>
    </font>
    <font>
      <b/>
      <sz val="24"/>
      <color rgb="FF000000"/>
      <name val="Gill Sans MT"/>
      <charset val="134"/>
    </font>
    <font>
      <b/>
      <sz val="28"/>
      <name val="Aptos Display"/>
      <charset val="134"/>
    </font>
    <font>
      <b/>
      <sz val="22"/>
      <color rgb="FF000000"/>
      <name val="Gill Sans MT"/>
      <charset val="134"/>
    </font>
    <font>
      <sz val="16"/>
      <color theme="1"/>
      <name val="Aptos Display"/>
      <charset val="134"/>
    </font>
    <font>
      <sz val="48"/>
      <color theme="1"/>
      <name val="Aptos Display"/>
      <charset val="134"/>
    </font>
    <font>
      <sz val="48"/>
      <color theme="1"/>
      <name val="Gill Sans MT"/>
      <charset val="134"/>
    </font>
    <font>
      <sz val="28"/>
      <color theme="1"/>
      <name val="Gill Sans MT"/>
      <charset val="134"/>
    </font>
    <font>
      <b/>
      <sz val="48"/>
      <color theme="1"/>
      <name val="Aptos Display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  <scheme val="minor"/>
    </font>
    <font>
      <sz val="11"/>
      <color theme="1"/>
      <name val="Calibri"/>
      <charset val="129"/>
      <scheme val="minor"/>
    </font>
  </fonts>
  <fills count="61">
    <fill>
      <patternFill patternType="none"/>
    </fill>
    <fill>
      <patternFill patternType="gray125"/>
    </fill>
    <fill>
      <patternFill patternType="solid">
        <fgColor theme="1" tint="0.349986266670736"/>
        <bgColor indexed="64"/>
      </patternFill>
    </fill>
    <fill>
      <patternFill patternType="darkUp">
        <fgColor theme="9" tint="-0.249946592608417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dashed">
        <color auto="1"/>
      </left>
      <right/>
      <top style="medium">
        <color auto="1"/>
      </top>
      <bottom style="medium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1"/>
      </right>
      <top style="medium">
        <color theme="1"/>
      </top>
      <bottom style="thin">
        <color auto="1"/>
      </bottom>
      <diagonal/>
    </border>
    <border>
      <left style="medium">
        <color theme="1"/>
      </left>
      <right style="medium">
        <color auto="1"/>
      </right>
      <top style="medium">
        <color theme="1"/>
      </top>
      <bottom style="thin">
        <color auto="1"/>
      </bottom>
      <diagonal/>
    </border>
    <border>
      <left style="thin">
        <color theme="2" tint="-0.249946592608417"/>
      </left>
      <right style="thin">
        <color theme="2" tint="-0.249946592608417"/>
      </right>
      <top/>
      <bottom style="thin">
        <color theme="2" tint="-0.249946592608417"/>
      </bottom>
      <diagonal/>
    </border>
    <border>
      <left style="medium">
        <color auto="1"/>
      </left>
      <right style="thin">
        <color theme="2" tint="-0.249946592608417"/>
      </right>
      <top/>
      <bottom style="thin">
        <color theme="2" tint="-0.249946592608417"/>
      </bottom>
      <diagonal/>
    </border>
    <border>
      <left style="thin">
        <color theme="2" tint="-0.249946592608417"/>
      </left>
      <right/>
      <top/>
      <bottom style="thin">
        <color theme="2" tint="-0.249946592608417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thin">
        <color theme="2" tint="-0.249946592608417"/>
      </bottom>
      <diagonal/>
    </border>
    <border>
      <left style="thin">
        <color theme="2" tint="-0.249946592608417"/>
      </left>
      <right/>
      <top style="thin">
        <color theme="2" tint="-0.249946592608417"/>
      </top>
      <bottom style="thin">
        <color theme="2" tint="-0.249946592608417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/>
      <diagonal/>
    </border>
    <border>
      <left style="medium">
        <color auto="1"/>
      </left>
      <right style="thin">
        <color theme="2" tint="-0.249946592608417"/>
      </right>
      <top style="thin">
        <color theme="2" tint="-0.249946592608417"/>
      </top>
      <bottom/>
      <diagonal/>
    </border>
    <border>
      <left style="thin">
        <color theme="2" tint="-0.249946592608417"/>
      </left>
      <right/>
      <top style="thin">
        <color theme="2" tint="-0.249946592608417"/>
      </top>
      <bottom/>
      <diagonal/>
    </border>
    <border>
      <left/>
      <right style="medium">
        <color theme="1"/>
      </right>
      <top style="thin">
        <color auto="1"/>
      </top>
      <bottom style="medium">
        <color theme="1"/>
      </bottom>
      <diagonal/>
    </border>
    <border>
      <left style="thin">
        <color theme="2" tint="-0.249946592608417"/>
      </left>
      <right style="thin">
        <color theme="2" tint="-0.249946592608417"/>
      </right>
      <top style="thin">
        <color theme="2" tint="-0.249946592608417"/>
      </top>
      <bottom style="medium">
        <color auto="1"/>
      </bottom>
      <diagonal/>
    </border>
    <border>
      <left style="medium">
        <color auto="1"/>
      </left>
      <right style="thin">
        <color theme="2" tint="-0.249946592608417"/>
      </right>
      <top style="thin">
        <color theme="2" tint="-0.249946592608417"/>
      </top>
      <bottom style="medium">
        <color auto="1"/>
      </bottom>
      <diagonal/>
    </border>
    <border>
      <left style="thin">
        <color theme="2" tint="-0.249946592608417"/>
      </left>
      <right/>
      <top style="thin">
        <color theme="2" tint="-0.249946592608417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theme="1"/>
      </right>
      <top style="thin">
        <color auto="1"/>
      </top>
      <bottom style="thin">
        <color auto="1"/>
      </bottom>
      <diagonal/>
    </border>
    <border>
      <left/>
      <right style="medium">
        <color theme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176" fontId="40" fillId="0" borderId="0" applyFont="0" applyFill="0" applyBorder="0" applyAlignment="0" applyProtection="0">
      <alignment vertical="center"/>
    </xf>
    <xf numFmtId="177" fontId="40" fillId="0" borderId="0" applyFont="0" applyFill="0" applyBorder="0" applyAlignment="0" applyProtection="0">
      <alignment vertical="center"/>
    </xf>
    <xf numFmtId="9" fontId="40" fillId="0" borderId="0" applyFont="0" applyFill="0" applyBorder="0" applyAlignment="0" applyProtection="0">
      <alignment vertical="center"/>
    </xf>
    <xf numFmtId="178" fontId="40" fillId="0" borderId="0" applyFont="0" applyFill="0" applyBorder="0" applyAlignment="0" applyProtection="0">
      <alignment vertical="center"/>
    </xf>
    <xf numFmtId="179" fontId="4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0" fillId="30" borderId="78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79" applyNumberFormat="0" applyFill="0" applyAlignment="0" applyProtection="0">
      <alignment vertical="center"/>
    </xf>
    <xf numFmtId="0" fontId="47" fillId="0" borderId="79" applyNumberFormat="0" applyFill="0" applyAlignment="0" applyProtection="0">
      <alignment vertical="center"/>
    </xf>
    <xf numFmtId="0" fontId="48" fillId="0" borderId="8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1" borderId="81" applyNumberFormat="0" applyAlignment="0" applyProtection="0">
      <alignment vertical="center"/>
    </xf>
    <xf numFmtId="0" fontId="50" fillId="32" borderId="82" applyNumberFormat="0" applyAlignment="0" applyProtection="0">
      <alignment vertical="center"/>
    </xf>
    <xf numFmtId="0" fontId="51" fillId="32" borderId="81" applyNumberFormat="0" applyAlignment="0" applyProtection="0">
      <alignment vertical="center"/>
    </xf>
    <xf numFmtId="0" fontId="52" fillId="33" borderId="83" applyNumberFormat="0" applyAlignment="0" applyProtection="0">
      <alignment vertical="center"/>
    </xf>
    <xf numFmtId="0" fontId="53" fillId="0" borderId="84" applyNumberFormat="0" applyFill="0" applyAlignment="0" applyProtection="0">
      <alignment vertical="center"/>
    </xf>
    <xf numFmtId="0" fontId="54" fillId="0" borderId="85" applyNumberFormat="0" applyFill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6" fillId="35" borderId="0" applyNumberFormat="0" applyBorder="0" applyAlignment="0" applyProtection="0">
      <alignment vertical="center"/>
    </xf>
    <xf numFmtId="0" fontId="57" fillId="36" borderId="0" applyNumberFormat="0" applyBorder="0" applyAlignment="0" applyProtection="0">
      <alignment vertical="center"/>
    </xf>
    <xf numFmtId="0" fontId="58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58" fillId="40" borderId="0" applyNumberFormat="0" applyBorder="0" applyAlignment="0" applyProtection="0">
      <alignment vertical="center"/>
    </xf>
    <xf numFmtId="0" fontId="58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58" fillId="44" borderId="0" applyNumberFormat="0" applyBorder="0" applyAlignment="0" applyProtection="0">
      <alignment vertical="center"/>
    </xf>
    <xf numFmtId="0" fontId="58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58" fillId="48" borderId="0" applyNumberFormat="0" applyBorder="0" applyAlignment="0" applyProtection="0">
      <alignment vertical="center"/>
    </xf>
    <xf numFmtId="0" fontId="58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58" fillId="52" borderId="0" applyNumberFormat="0" applyBorder="0" applyAlignment="0" applyProtection="0">
      <alignment vertical="center"/>
    </xf>
    <xf numFmtId="0" fontId="58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56" borderId="0" applyNumberFormat="0" applyBorder="0" applyAlignment="0" applyProtection="0">
      <alignment vertical="center"/>
    </xf>
    <xf numFmtId="0" fontId="58" fillId="57" borderId="0" applyNumberFormat="0" applyBorder="0" applyAlignment="0" applyProtection="0">
      <alignment vertical="center"/>
    </xf>
    <xf numFmtId="0" fontId="59" fillId="58" borderId="0" applyNumberFormat="0" applyBorder="0" applyAlignment="0" applyProtection="0">
      <alignment vertical="center"/>
    </xf>
    <xf numFmtId="0" fontId="59" fillId="59" borderId="0" applyNumberFormat="0" applyBorder="0" applyAlignment="0" applyProtection="0">
      <alignment vertical="center"/>
    </xf>
    <xf numFmtId="0" fontId="58" fillId="6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0" fillId="0" borderId="0"/>
    <xf numFmtId="0" fontId="0" fillId="0" borderId="0"/>
    <xf numFmtId="0" fontId="60" fillId="0" borderId="0"/>
    <xf numFmtId="180" fontId="61" fillId="0" borderId="0">
      <alignment vertical="center"/>
    </xf>
  </cellStyleXfs>
  <cellXfs count="26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81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80" fontId="2" fillId="3" borderId="5" xfId="53" applyFont="1" applyFill="1" applyBorder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82" fontId="4" fillId="4" borderId="10" xfId="0" applyNumberFormat="1" applyFont="1" applyFill="1" applyBorder="1" applyAlignment="1" applyProtection="1">
      <alignment horizontal="center" vertical="center"/>
      <protection hidden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2" borderId="14" xfId="0" applyFill="1" applyBorder="1"/>
    <xf numFmtId="0" fontId="0" fillId="0" borderId="15" xfId="0" applyBorder="1"/>
    <xf numFmtId="180" fontId="5" fillId="3" borderId="4" xfId="53" applyFont="1" applyFill="1" applyBorder="1">
      <alignment vertical="center"/>
    </xf>
    <xf numFmtId="0" fontId="0" fillId="0" borderId="16" xfId="0" applyBorder="1"/>
    <xf numFmtId="0" fontId="3" fillId="4" borderId="17" xfId="0" applyFont="1" applyFill="1" applyBorder="1" applyAlignment="1">
      <alignment horizontal="center" vertical="center"/>
    </xf>
    <xf numFmtId="182" fontId="4" fillId="4" borderId="18" xfId="0" applyNumberFormat="1" applyFont="1" applyFill="1" applyBorder="1" applyAlignment="1" applyProtection="1">
      <alignment horizontal="center" vertical="center"/>
      <protection hidden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2" borderId="22" xfId="0" applyFill="1" applyBorder="1"/>
    <xf numFmtId="0" fontId="0" fillId="0" borderId="23" xfId="0" applyBorder="1"/>
    <xf numFmtId="180" fontId="5" fillId="3" borderId="5" xfId="53" applyFont="1" applyFill="1" applyBorder="1">
      <alignment vertical="center"/>
    </xf>
    <xf numFmtId="0" fontId="0" fillId="0" borderId="24" xfId="0" applyBorder="1"/>
    <xf numFmtId="183" fontId="4" fillId="4" borderId="18" xfId="0" applyNumberFormat="1" applyFont="1" applyFill="1" applyBorder="1" applyAlignment="1" applyProtection="1">
      <alignment horizontal="center" vertical="center"/>
      <protection locked="0"/>
    </xf>
    <xf numFmtId="183" fontId="4" fillId="4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2" borderId="29" xfId="0" applyFill="1" applyBorder="1"/>
    <xf numFmtId="0" fontId="0" fillId="0" borderId="30" xfId="0" applyBorder="1"/>
    <xf numFmtId="0" fontId="0" fillId="0" borderId="31" xfId="0" applyBorder="1"/>
    <xf numFmtId="0" fontId="3" fillId="4" borderId="2" xfId="0" applyFont="1" applyFill="1" applyBorder="1" applyAlignment="1">
      <alignment horizontal="center" vertical="center"/>
    </xf>
    <xf numFmtId="183" fontId="4" fillId="4" borderId="32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2" borderId="36" xfId="0" applyFill="1" applyBorder="1"/>
    <xf numFmtId="0" fontId="0" fillId="0" borderId="37" xfId="0" applyBorder="1"/>
    <xf numFmtId="0" fontId="0" fillId="0" borderId="38" xfId="0" applyBorder="1"/>
    <xf numFmtId="0" fontId="3" fillId="4" borderId="39" xfId="0" applyFont="1" applyFill="1" applyBorder="1" applyAlignment="1">
      <alignment horizontal="center" vertical="center"/>
    </xf>
    <xf numFmtId="180" fontId="5" fillId="3" borderId="40" xfId="53" applyFont="1" applyFill="1" applyBorder="1">
      <alignment vertical="center"/>
    </xf>
    <xf numFmtId="0" fontId="3" fillId="4" borderId="0" xfId="0" applyFont="1" applyFill="1" applyAlignment="1">
      <alignment horizontal="center" vertical="center"/>
    </xf>
    <xf numFmtId="182" fontId="4" fillId="4" borderId="0" xfId="0" applyNumberFormat="1" applyFont="1" applyFill="1" applyAlignment="1" applyProtection="1">
      <alignment horizontal="center" vertical="center"/>
      <protection hidden="1"/>
    </xf>
    <xf numFmtId="0" fontId="0" fillId="2" borderId="0" xfId="0" applyFill="1"/>
    <xf numFmtId="180" fontId="5" fillId="3" borderId="0" xfId="53" applyFont="1" applyFill="1">
      <alignment vertical="center"/>
    </xf>
    <xf numFmtId="183" fontId="4" fillId="4" borderId="0" xfId="0" applyNumberFormat="1" applyFont="1" applyFill="1" applyAlignment="1" applyProtection="1">
      <alignment horizontal="center" vertical="center"/>
      <protection locked="0"/>
    </xf>
    <xf numFmtId="0" fontId="6" fillId="0" borderId="20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4" fillId="4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5" fillId="4" borderId="0" xfId="0" applyFont="1" applyFill="1" applyAlignment="1">
      <alignment vertical="center" wrapText="1"/>
    </xf>
    <xf numFmtId="0" fontId="14" fillId="5" borderId="39" xfId="0" applyFont="1" applyFill="1" applyBorder="1" applyAlignment="1">
      <alignment horizontal="center" vertical="center" wrapText="1"/>
    </xf>
    <xf numFmtId="184" fontId="16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vertical="center"/>
    </xf>
    <xf numFmtId="0" fontId="9" fillId="4" borderId="0" xfId="0" applyFont="1" applyFill="1" applyAlignment="1">
      <alignment vertical="center" wrapText="1"/>
    </xf>
    <xf numFmtId="0" fontId="15" fillId="4" borderId="2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80" fontId="14" fillId="4" borderId="0" xfId="53" applyFont="1" applyFill="1" applyAlignment="1">
      <alignment horizontal="center" vertical="center"/>
    </xf>
    <xf numFmtId="180" fontId="9" fillId="5" borderId="4" xfId="53" applyFont="1" applyFill="1" applyBorder="1">
      <alignment vertical="center"/>
    </xf>
    <xf numFmtId="0" fontId="17" fillId="4" borderId="0" xfId="0" applyFont="1" applyFill="1" applyAlignment="1">
      <alignment horizontal="center" vertical="center"/>
    </xf>
    <xf numFmtId="180" fontId="9" fillId="6" borderId="4" xfId="53" applyFont="1" applyFill="1" applyBorder="1">
      <alignment vertical="center"/>
    </xf>
    <xf numFmtId="180" fontId="17" fillId="4" borderId="0" xfId="53" applyFont="1" applyFill="1" applyAlignment="1">
      <alignment horizontal="center" vertical="center"/>
    </xf>
    <xf numFmtId="180" fontId="9" fillId="7" borderId="4" xfId="53" applyFont="1" applyFill="1" applyBorder="1">
      <alignment vertical="center"/>
    </xf>
    <xf numFmtId="180" fontId="9" fillId="8" borderId="4" xfId="53" applyFont="1" applyFill="1" applyBorder="1">
      <alignment vertical="center"/>
    </xf>
    <xf numFmtId="180" fontId="17" fillId="0" borderId="0" xfId="53" applyFont="1" applyAlignment="1">
      <alignment horizontal="center" vertical="center"/>
    </xf>
    <xf numFmtId="180" fontId="17" fillId="0" borderId="0" xfId="53" applyFont="1">
      <alignment vertical="center"/>
    </xf>
    <xf numFmtId="180" fontId="17" fillId="0" borderId="0" xfId="53" applyFont="1" applyAlignment="1">
      <alignment horizontal="center" vertical="center" wrapText="1"/>
    </xf>
    <xf numFmtId="180" fontId="9" fillId="9" borderId="4" xfId="53" applyFont="1" applyFill="1" applyBorder="1">
      <alignment vertical="center"/>
    </xf>
    <xf numFmtId="0" fontId="17" fillId="4" borderId="0" xfId="0" applyFont="1" applyFill="1" applyAlignment="1">
      <alignment horizontal="left" vertical="center"/>
    </xf>
    <xf numFmtId="180" fontId="9" fillId="4" borderId="0" xfId="53" applyFont="1" applyFill="1">
      <alignment vertical="center"/>
    </xf>
    <xf numFmtId="180" fontId="9" fillId="10" borderId="4" xfId="53" applyFont="1" applyFill="1" applyBorder="1">
      <alignment vertical="center"/>
    </xf>
    <xf numFmtId="180" fontId="9" fillId="0" borderId="0" xfId="53" applyFont="1">
      <alignment vertical="center"/>
    </xf>
    <xf numFmtId="180" fontId="18" fillId="4" borderId="0" xfId="53" applyFont="1" applyFill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0" fontId="19" fillId="0" borderId="0" xfId="49"/>
    <xf numFmtId="0" fontId="15" fillId="12" borderId="4" xfId="0" applyFont="1" applyFill="1" applyBorder="1" applyAlignment="1">
      <alignment vertical="center"/>
    </xf>
    <xf numFmtId="0" fontId="20" fillId="8" borderId="14" xfId="0" applyFont="1" applyFill="1" applyBorder="1" applyAlignment="1">
      <alignment horizontal="center" vertical="center" textRotation="90" wrapText="1"/>
    </xf>
    <xf numFmtId="0" fontId="20" fillId="8" borderId="4" xfId="0" applyFont="1" applyFill="1" applyBorder="1" applyAlignment="1">
      <alignment horizontal="center" vertical="center" textRotation="90" wrapText="1"/>
    </xf>
    <xf numFmtId="0" fontId="14" fillId="13" borderId="3" xfId="0" applyFont="1" applyFill="1" applyBorder="1" applyAlignment="1">
      <alignment horizontal="center" vertical="center" textRotation="90"/>
    </xf>
    <xf numFmtId="0" fontId="14" fillId="13" borderId="4" xfId="0" applyFont="1" applyFill="1" applyBorder="1" applyAlignment="1">
      <alignment horizontal="center" vertical="center" textRotation="90"/>
    </xf>
    <xf numFmtId="0" fontId="21" fillId="14" borderId="1" xfId="0" applyFont="1" applyFill="1" applyBorder="1" applyAlignment="1">
      <alignment horizontal="center" vertical="center"/>
    </xf>
    <xf numFmtId="0" fontId="22" fillId="14" borderId="39" xfId="0" applyFont="1" applyFill="1" applyBorder="1" applyAlignment="1">
      <alignment horizontal="center" vertical="center"/>
    </xf>
    <xf numFmtId="0" fontId="22" fillId="14" borderId="41" xfId="0" applyFont="1" applyFill="1" applyBorder="1" applyAlignment="1">
      <alignment horizontal="center" vertical="center"/>
    </xf>
    <xf numFmtId="0" fontId="22" fillId="14" borderId="2" xfId="0" applyFont="1" applyFill="1" applyBorder="1" applyAlignment="1">
      <alignment horizontal="center" vertical="center"/>
    </xf>
    <xf numFmtId="0" fontId="23" fillId="14" borderId="7" xfId="0" applyFont="1" applyFill="1" applyBorder="1" applyAlignment="1">
      <alignment horizontal="center" vertical="center"/>
    </xf>
    <xf numFmtId="0" fontId="23" fillId="14" borderId="0" xfId="0" applyFont="1" applyFill="1" applyAlignment="1">
      <alignment horizontal="center" vertical="center"/>
    </xf>
    <xf numFmtId="0" fontId="23" fillId="14" borderId="42" xfId="0" applyFont="1" applyFill="1" applyBorder="1" applyAlignment="1">
      <alignment horizontal="center" vertical="center"/>
    </xf>
    <xf numFmtId="0" fontId="23" fillId="14" borderId="43" xfId="0" applyFont="1" applyFill="1" applyBorder="1" applyAlignment="1">
      <alignment horizontal="center" vertical="center"/>
    </xf>
    <xf numFmtId="0" fontId="23" fillId="14" borderId="44" xfId="0" applyFont="1" applyFill="1" applyBorder="1" applyAlignment="1">
      <alignment horizontal="center" vertical="center"/>
    </xf>
    <xf numFmtId="0" fontId="23" fillId="14" borderId="8" xfId="0" applyFont="1" applyFill="1" applyBorder="1" applyAlignment="1">
      <alignment horizontal="center" vertical="center"/>
    </xf>
    <xf numFmtId="0" fontId="24" fillId="14" borderId="45" xfId="0" applyFont="1" applyFill="1" applyBorder="1" applyAlignment="1">
      <alignment horizontal="center" vertical="center"/>
    </xf>
    <xf numFmtId="0" fontId="24" fillId="4" borderId="46" xfId="0" applyFont="1" applyFill="1" applyBorder="1" applyAlignment="1">
      <alignment horizontal="center" vertical="center"/>
    </xf>
    <xf numFmtId="0" fontId="24" fillId="15" borderId="46" xfId="0" applyFont="1" applyFill="1" applyBorder="1" applyAlignment="1">
      <alignment horizontal="center" vertical="center"/>
    </xf>
    <xf numFmtId="0" fontId="24" fillId="15" borderId="47" xfId="0" applyFont="1" applyFill="1" applyBorder="1" applyAlignment="1">
      <alignment horizontal="center" vertical="center"/>
    </xf>
    <xf numFmtId="0" fontId="24" fillId="4" borderId="45" xfId="0" applyFont="1" applyFill="1" applyBorder="1" applyAlignment="1">
      <alignment horizontal="center" vertical="center"/>
    </xf>
    <xf numFmtId="0" fontId="24" fillId="4" borderId="47" xfId="0" applyFont="1" applyFill="1" applyBorder="1" applyAlignment="1">
      <alignment horizontal="center" vertical="center"/>
    </xf>
    <xf numFmtId="0" fontId="25" fillId="16" borderId="4" xfId="0" applyFont="1" applyFill="1" applyBorder="1" applyAlignment="1">
      <alignment horizontal="center" vertical="center" textRotation="90"/>
    </xf>
    <xf numFmtId="0" fontId="26" fillId="0" borderId="12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27" fillId="17" borderId="4" xfId="0" applyFont="1" applyFill="1" applyBorder="1" applyAlignment="1">
      <alignment horizontal="center" vertical="center" textRotation="90"/>
    </xf>
    <xf numFmtId="0" fontId="25" fillId="18" borderId="4" xfId="0" applyFont="1" applyFill="1" applyBorder="1" applyAlignment="1">
      <alignment horizontal="center" vertical="center" textRotation="90" wrapText="1"/>
    </xf>
    <xf numFmtId="0" fontId="27" fillId="19" borderId="4" xfId="0" applyFont="1" applyFill="1" applyBorder="1" applyAlignment="1">
      <alignment horizontal="center" vertical="center" textRotation="90"/>
    </xf>
    <xf numFmtId="1" fontId="14" fillId="0" borderId="48" xfId="0" applyNumberFormat="1" applyFont="1" applyBorder="1" applyAlignment="1">
      <alignment horizontal="center" vertical="center"/>
    </xf>
    <xf numFmtId="1" fontId="14" fillId="0" borderId="49" xfId="0" applyNumberFormat="1" applyFont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182" fontId="12" fillId="0" borderId="4" xfId="0" applyNumberFormat="1" applyFont="1" applyBorder="1" applyAlignment="1" applyProtection="1">
      <alignment horizontal="center" vertical="center"/>
      <protection hidden="1"/>
    </xf>
    <xf numFmtId="185" fontId="28" fillId="4" borderId="4" xfId="0" applyNumberFormat="1" applyFont="1" applyFill="1" applyBorder="1" applyAlignment="1" applyProtection="1">
      <alignment horizontal="center" vertical="center"/>
      <protection hidden="1"/>
    </xf>
    <xf numFmtId="180" fontId="29" fillId="3" borderId="4" xfId="53" applyFont="1" applyFill="1" applyBorder="1">
      <alignment vertical="center"/>
    </xf>
    <xf numFmtId="0" fontId="5" fillId="8" borderId="50" xfId="0" applyFont="1" applyFill="1" applyBorder="1" applyAlignment="1">
      <alignment horizontal="center" vertical="center"/>
    </xf>
    <xf numFmtId="0" fontId="5" fillId="8" borderId="51" xfId="0" applyFont="1" applyFill="1" applyBorder="1" applyAlignment="1">
      <alignment horizontal="center" vertical="center"/>
    </xf>
    <xf numFmtId="0" fontId="30" fillId="8" borderId="50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0" fontId="25" fillId="16" borderId="5" xfId="0" applyFont="1" applyFill="1" applyBorder="1" applyAlignment="1">
      <alignment horizontal="center" vertical="center" textRotation="90"/>
    </xf>
    <xf numFmtId="0" fontId="26" fillId="0" borderId="20" xfId="0" applyFont="1" applyBorder="1" applyAlignment="1">
      <alignment horizontal="center"/>
    </xf>
    <xf numFmtId="0" fontId="27" fillId="17" borderId="5" xfId="0" applyFont="1" applyFill="1" applyBorder="1" applyAlignment="1">
      <alignment horizontal="center" vertical="center" textRotation="90"/>
    </xf>
    <xf numFmtId="0" fontId="25" fillId="18" borderId="40" xfId="0" applyFont="1" applyFill="1" applyBorder="1" applyAlignment="1">
      <alignment horizontal="center" vertical="center" textRotation="90" wrapText="1"/>
    </xf>
    <xf numFmtId="0" fontId="27" fillId="19" borderId="5" xfId="0" applyFont="1" applyFill="1" applyBorder="1" applyAlignment="1">
      <alignment horizontal="center" vertical="center" textRotation="90"/>
    </xf>
    <xf numFmtId="1" fontId="14" fillId="0" borderId="53" xfId="0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/>
    </xf>
    <xf numFmtId="0" fontId="27" fillId="19" borderId="40" xfId="0" applyFont="1" applyFill="1" applyBorder="1" applyAlignment="1">
      <alignment horizontal="center" vertical="center" textRotation="90"/>
    </xf>
    <xf numFmtId="0" fontId="5" fillId="8" borderId="55" xfId="0" applyFont="1" applyFill="1" applyBorder="1" applyAlignment="1">
      <alignment horizontal="center" vertical="center"/>
    </xf>
    <xf numFmtId="0" fontId="27" fillId="20" borderId="4" xfId="0" applyFont="1" applyFill="1" applyBorder="1" applyAlignment="1">
      <alignment horizontal="center" vertical="center" textRotation="90"/>
    </xf>
    <xf numFmtId="0" fontId="26" fillId="0" borderId="56" xfId="0" applyFont="1" applyBorder="1" applyAlignment="1">
      <alignment horizontal="center"/>
    </xf>
    <xf numFmtId="0" fontId="25" fillId="16" borderId="40" xfId="0" applyFont="1" applyFill="1" applyBorder="1" applyAlignment="1">
      <alignment horizontal="center" vertical="center" textRotation="90"/>
    </xf>
    <xf numFmtId="0" fontId="27" fillId="20" borderId="5" xfId="0" applyFont="1" applyFill="1" applyBorder="1" applyAlignment="1">
      <alignment horizontal="center" vertical="center" textRotation="90"/>
    </xf>
    <xf numFmtId="0" fontId="5" fillId="8" borderId="57" xfId="0" applyFont="1" applyFill="1" applyBorder="1" applyAlignment="1">
      <alignment horizontal="center" vertical="center"/>
    </xf>
    <xf numFmtId="0" fontId="5" fillId="8" borderId="58" xfId="0" applyFont="1" applyFill="1" applyBorder="1" applyAlignment="1">
      <alignment horizontal="center" vertical="center"/>
    </xf>
    <xf numFmtId="0" fontId="26" fillId="0" borderId="59" xfId="0" applyFont="1" applyBorder="1" applyAlignment="1">
      <alignment horizontal="center"/>
    </xf>
    <xf numFmtId="0" fontId="26" fillId="0" borderId="18" xfId="0" applyFont="1" applyBorder="1" applyAlignment="1">
      <alignment horizontal="center"/>
    </xf>
    <xf numFmtId="0" fontId="25" fillId="21" borderId="1" xfId="0" applyFont="1" applyFill="1" applyBorder="1" applyAlignment="1">
      <alignment horizontal="center" vertical="center" textRotation="90"/>
    </xf>
    <xf numFmtId="0" fontId="25" fillId="21" borderId="3" xfId="0" applyFont="1" applyFill="1" applyBorder="1" applyAlignment="1">
      <alignment horizontal="center" vertical="center" textRotation="90"/>
    </xf>
    <xf numFmtId="183" fontId="12" fillId="4" borderId="36" xfId="0" applyNumberFormat="1" applyFont="1" applyFill="1" applyBorder="1" applyAlignment="1" applyProtection="1">
      <alignment horizontal="center" vertical="center"/>
      <protection locked="0"/>
    </xf>
    <xf numFmtId="180" fontId="31" fillId="3" borderId="4" xfId="53" applyFont="1" applyFill="1" applyBorder="1">
      <alignment vertical="center"/>
    </xf>
    <xf numFmtId="0" fontId="30" fillId="8" borderId="57" xfId="0" applyFont="1" applyFill="1" applyBorder="1" applyAlignment="1">
      <alignment horizontal="center" vertical="center"/>
    </xf>
    <xf numFmtId="0" fontId="25" fillId="21" borderId="7" xfId="0" applyFont="1" applyFill="1" applyBorder="1" applyAlignment="1">
      <alignment horizontal="center" vertical="center" textRotation="90"/>
    </xf>
    <xf numFmtId="0" fontId="25" fillId="21" borderId="8" xfId="0" applyFont="1" applyFill="1" applyBorder="1" applyAlignment="1">
      <alignment horizontal="center" vertical="center" textRotation="90"/>
    </xf>
    <xf numFmtId="0" fontId="5" fillId="8" borderId="60" xfId="0" applyFont="1" applyFill="1" applyBorder="1" applyAlignment="1">
      <alignment horizontal="center" vertical="center"/>
    </xf>
    <xf numFmtId="0" fontId="5" fillId="8" borderId="61" xfId="0" applyFont="1" applyFill="1" applyBorder="1" applyAlignment="1">
      <alignment horizontal="center" vertical="center"/>
    </xf>
    <xf numFmtId="0" fontId="30" fillId="8" borderId="60" xfId="0" applyFont="1" applyFill="1" applyBorder="1" applyAlignment="1">
      <alignment horizontal="center" vertical="center"/>
    </xf>
    <xf numFmtId="0" fontId="5" fillId="8" borderId="62" xfId="0" applyFont="1" applyFill="1" applyBorder="1" applyAlignment="1">
      <alignment horizontal="center" vertical="center"/>
    </xf>
    <xf numFmtId="0" fontId="27" fillId="17" borderId="40" xfId="0" applyFont="1" applyFill="1" applyBorder="1" applyAlignment="1">
      <alignment horizontal="center" vertical="center" textRotation="90"/>
    </xf>
    <xf numFmtId="1" fontId="14" fillId="0" borderId="63" xfId="0" applyNumberFormat="1" applyFont="1" applyBorder="1" applyAlignment="1">
      <alignment horizontal="center" vertical="center"/>
    </xf>
    <xf numFmtId="0" fontId="5" fillId="8" borderId="64" xfId="0" applyFont="1" applyFill="1" applyBorder="1" applyAlignment="1">
      <alignment horizontal="center" vertical="center"/>
    </xf>
    <xf numFmtId="0" fontId="5" fillId="8" borderId="65" xfId="0" applyFont="1" applyFill="1" applyBorder="1" applyAlignment="1">
      <alignment horizontal="center" vertical="center"/>
    </xf>
    <xf numFmtId="0" fontId="5" fillId="8" borderId="66" xfId="0" applyFont="1" applyFill="1" applyBorder="1" applyAlignment="1">
      <alignment horizontal="center" vertical="center"/>
    </xf>
    <xf numFmtId="0" fontId="27" fillId="22" borderId="4" xfId="0" applyFont="1" applyFill="1" applyBorder="1" applyAlignment="1">
      <alignment horizontal="center" vertical="center" textRotation="90"/>
    </xf>
    <xf numFmtId="0" fontId="27" fillId="22" borderId="5" xfId="0" applyFont="1" applyFill="1" applyBorder="1" applyAlignment="1">
      <alignment horizontal="center" vertical="center" textRotation="90"/>
    </xf>
    <xf numFmtId="0" fontId="25" fillId="16" borderId="1" xfId="0" applyFont="1" applyFill="1" applyBorder="1" applyAlignment="1">
      <alignment horizontal="center" vertical="center" textRotation="90"/>
    </xf>
    <xf numFmtId="0" fontId="26" fillId="0" borderId="67" xfId="0" applyFont="1" applyBorder="1" applyAlignment="1">
      <alignment horizontal="center"/>
    </xf>
    <xf numFmtId="0" fontId="25" fillId="16" borderId="7" xfId="0" applyFont="1" applyFill="1" applyBorder="1" applyAlignment="1">
      <alignment horizontal="center" vertical="center" textRotation="90"/>
    </xf>
    <xf numFmtId="0" fontId="27" fillId="22" borderId="40" xfId="0" applyFont="1" applyFill="1" applyBorder="1" applyAlignment="1">
      <alignment horizontal="center" vertical="center" textRotation="90"/>
    </xf>
    <xf numFmtId="0" fontId="25" fillId="21" borderId="6" xfId="0" applyFont="1" applyFill="1" applyBorder="1" applyAlignment="1">
      <alignment horizontal="center" vertical="center" textRotation="90"/>
    </xf>
    <xf numFmtId="0" fontId="25" fillId="21" borderId="68" xfId="0" applyFont="1" applyFill="1" applyBorder="1" applyAlignment="1">
      <alignment horizontal="center" vertical="center" textRotation="90"/>
    </xf>
    <xf numFmtId="0" fontId="25" fillId="23" borderId="4" xfId="0" applyFont="1" applyFill="1" applyBorder="1" applyAlignment="1">
      <alignment horizontal="center" vertical="center" textRotation="90"/>
    </xf>
    <xf numFmtId="0" fontId="26" fillId="0" borderId="69" xfId="0" applyFont="1" applyBorder="1" applyAlignment="1">
      <alignment horizontal="center"/>
    </xf>
    <xf numFmtId="0" fontId="26" fillId="0" borderId="70" xfId="0" applyFont="1" applyBorder="1" applyAlignment="1">
      <alignment horizontal="center"/>
    </xf>
    <xf numFmtId="0" fontId="25" fillId="23" borderId="5" xfId="0" applyFont="1" applyFill="1" applyBorder="1" applyAlignment="1">
      <alignment horizontal="center" vertical="center" textRotation="90"/>
    </xf>
    <xf numFmtId="0" fontId="26" fillId="0" borderId="34" xfId="0" applyFont="1" applyBorder="1" applyAlignment="1">
      <alignment horizontal="center"/>
    </xf>
    <xf numFmtId="0" fontId="25" fillId="23" borderId="71" xfId="0" applyFont="1" applyFill="1" applyBorder="1" applyAlignment="1">
      <alignment horizontal="center" vertical="center" textRotation="90"/>
    </xf>
    <xf numFmtId="0" fontId="27" fillId="20" borderId="40" xfId="0" applyFont="1" applyFill="1" applyBorder="1" applyAlignment="1">
      <alignment horizontal="center" vertical="center" textRotation="90"/>
    </xf>
    <xf numFmtId="0" fontId="25" fillId="24" borderId="3" xfId="0" applyFont="1" applyFill="1" applyBorder="1" applyAlignment="1">
      <alignment horizontal="center" vertical="center" textRotation="90"/>
    </xf>
    <xf numFmtId="0" fontId="26" fillId="0" borderId="21" xfId="0" applyFont="1" applyBorder="1" applyAlignment="1">
      <alignment horizontal="center"/>
    </xf>
    <xf numFmtId="0" fontId="25" fillId="24" borderId="8" xfId="0" applyFont="1" applyFill="1" applyBorder="1" applyAlignment="1">
      <alignment horizontal="center" vertical="center" textRotation="90"/>
    </xf>
    <xf numFmtId="0" fontId="25" fillId="16" borderId="6" xfId="0" applyFont="1" applyFill="1" applyBorder="1" applyAlignment="1">
      <alignment horizontal="center" vertical="center" textRotation="90"/>
    </xf>
    <xf numFmtId="0" fontId="26" fillId="0" borderId="72" xfId="0" applyFont="1" applyBorder="1" applyAlignment="1">
      <alignment horizontal="center"/>
    </xf>
    <xf numFmtId="0" fontId="26" fillId="0" borderId="73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7" fillId="15" borderId="4" xfId="0" applyFont="1" applyFill="1" applyBorder="1" applyAlignment="1">
      <alignment horizontal="center" vertical="center" textRotation="90"/>
    </xf>
    <xf numFmtId="0" fontId="27" fillId="15" borderId="5" xfId="0" applyFont="1" applyFill="1" applyBorder="1" applyAlignment="1">
      <alignment horizontal="center" vertical="center" textRotation="90"/>
    </xf>
    <xf numFmtId="0" fontId="27" fillId="25" borderId="4" xfId="0" applyFont="1" applyFill="1" applyBorder="1" applyAlignment="1">
      <alignment horizontal="center" vertical="center" textRotation="90"/>
    </xf>
    <xf numFmtId="0" fontId="26" fillId="0" borderId="74" xfId="0" applyFont="1" applyBorder="1" applyAlignment="1">
      <alignment horizontal="center"/>
    </xf>
    <xf numFmtId="0" fontId="25" fillId="24" borderId="40" xfId="0" applyFont="1" applyFill="1" applyBorder="1" applyAlignment="1">
      <alignment horizontal="center" vertical="center" textRotation="90"/>
    </xf>
    <xf numFmtId="0" fontId="27" fillId="25" borderId="5" xfId="0" applyFont="1" applyFill="1" applyBorder="1" applyAlignment="1">
      <alignment horizontal="center" vertical="center" textRotation="90"/>
    </xf>
    <xf numFmtId="0" fontId="27" fillId="15" borderId="40" xfId="0" applyFont="1" applyFill="1" applyBorder="1" applyAlignment="1">
      <alignment horizontal="center" vertical="center" textRotation="90"/>
    </xf>
    <xf numFmtId="1" fontId="14" fillId="0" borderId="75" xfId="0" applyNumberFormat="1" applyFont="1" applyBorder="1" applyAlignment="1">
      <alignment horizontal="center" vertical="center"/>
    </xf>
    <xf numFmtId="182" fontId="12" fillId="0" borderId="5" xfId="0" applyNumberFormat="1" applyFont="1" applyBorder="1" applyAlignment="1" applyProtection="1">
      <alignment horizontal="center" vertical="center"/>
      <protection hidden="1"/>
    </xf>
    <xf numFmtId="185" fontId="28" fillId="4" borderId="5" xfId="0" applyNumberFormat="1" applyFont="1" applyFill="1" applyBorder="1" applyAlignment="1" applyProtection="1">
      <alignment horizontal="center" vertical="center"/>
      <protection hidden="1"/>
    </xf>
    <xf numFmtId="0" fontId="27" fillId="25" borderId="40" xfId="0" applyFont="1" applyFill="1" applyBorder="1" applyAlignment="1">
      <alignment horizontal="center" vertical="center" textRotation="90"/>
    </xf>
    <xf numFmtId="182" fontId="12" fillId="0" borderId="71" xfId="0" applyNumberFormat="1" applyFont="1" applyBorder="1" applyAlignment="1" applyProtection="1">
      <alignment horizontal="center" vertical="center"/>
      <protection hidden="1"/>
    </xf>
    <xf numFmtId="183" fontId="12" fillId="4" borderId="5" xfId="0" applyNumberFormat="1" applyFont="1" applyFill="1" applyBorder="1" applyAlignment="1" applyProtection="1">
      <alignment horizontal="center" vertical="center"/>
      <protection locked="0"/>
    </xf>
    <xf numFmtId="0" fontId="25" fillId="26" borderId="4" xfId="0" applyFont="1" applyFill="1" applyBorder="1" applyAlignment="1">
      <alignment horizontal="center" vertical="center" textRotation="90"/>
    </xf>
    <xf numFmtId="0" fontId="25" fillId="26" borderId="5" xfId="0" applyFont="1" applyFill="1" applyBorder="1" applyAlignment="1">
      <alignment horizontal="center" vertical="center" textRotation="90"/>
    </xf>
    <xf numFmtId="183" fontId="12" fillId="4" borderId="40" xfId="0" applyNumberFormat="1" applyFont="1" applyFill="1" applyBorder="1" applyAlignment="1" applyProtection="1">
      <alignment horizontal="center" vertical="center"/>
      <protection locked="0"/>
    </xf>
    <xf numFmtId="185" fontId="28" fillId="4" borderId="40" xfId="0" applyNumberFormat="1" applyFont="1" applyFill="1" applyBorder="1" applyAlignment="1" applyProtection="1">
      <alignment horizontal="center" vertical="center"/>
      <protection hidden="1"/>
    </xf>
    <xf numFmtId="1" fontId="14" fillId="0" borderId="76" xfId="0" applyNumberFormat="1" applyFont="1" applyBorder="1" applyAlignment="1">
      <alignment horizontal="center" vertical="center"/>
    </xf>
    <xf numFmtId="0" fontId="32" fillId="8" borderId="50" xfId="0" applyFont="1" applyFill="1" applyBorder="1" applyAlignment="1">
      <alignment horizontal="center" vertical="center"/>
    </xf>
    <xf numFmtId="0" fontId="32" fillId="8" borderId="57" xfId="0" applyFont="1" applyFill="1" applyBorder="1" applyAlignment="1">
      <alignment horizontal="center" vertical="center"/>
    </xf>
    <xf numFmtId="0" fontId="25" fillId="26" borderId="40" xfId="0" applyFont="1" applyFill="1" applyBorder="1" applyAlignment="1">
      <alignment horizontal="center" vertical="center" textRotation="90"/>
    </xf>
    <xf numFmtId="0" fontId="33" fillId="27" borderId="3" xfId="0" applyFont="1" applyFill="1" applyBorder="1" applyAlignment="1">
      <alignment horizontal="center" vertical="center" textRotation="90"/>
    </xf>
    <xf numFmtId="0" fontId="25" fillId="28" borderId="4" xfId="0" applyFont="1" applyFill="1" applyBorder="1" applyAlignment="1">
      <alignment horizontal="center" vertical="center" textRotation="90"/>
    </xf>
    <xf numFmtId="0" fontId="33" fillId="27" borderId="8" xfId="0" applyFont="1" applyFill="1" applyBorder="1" applyAlignment="1">
      <alignment horizontal="center" vertical="center" textRotation="90"/>
    </xf>
    <xf numFmtId="0" fontId="25" fillId="28" borderId="5" xfId="0" applyFont="1" applyFill="1" applyBorder="1" applyAlignment="1">
      <alignment horizontal="center" vertical="center" textRotation="90"/>
    </xf>
    <xf numFmtId="0" fontId="33" fillId="27" borderId="5" xfId="0" applyFont="1" applyFill="1" applyBorder="1" applyAlignment="1">
      <alignment horizontal="center" vertical="center" textRotation="90"/>
    </xf>
    <xf numFmtId="0" fontId="27" fillId="29" borderId="4" xfId="0" applyFont="1" applyFill="1" applyBorder="1" applyAlignment="1">
      <alignment horizontal="center" vertical="center" textRotation="90"/>
    </xf>
    <xf numFmtId="0" fontId="26" fillId="0" borderId="19" xfId="0" applyFont="1" applyBorder="1" applyAlignment="1">
      <alignment horizontal="center"/>
    </xf>
    <xf numFmtId="0" fontId="27" fillId="29" borderId="5" xfId="0" applyFont="1" applyFill="1" applyBorder="1" applyAlignment="1">
      <alignment horizontal="center" vertical="center" textRotation="90"/>
    </xf>
    <xf numFmtId="0" fontId="25" fillId="28" borderId="40" xfId="0" applyFont="1" applyFill="1" applyBorder="1" applyAlignment="1">
      <alignment horizontal="center" vertical="center" textRotation="90"/>
    </xf>
    <xf numFmtId="0" fontId="33" fillId="27" borderId="40" xfId="0" applyFont="1" applyFill="1" applyBorder="1" applyAlignment="1">
      <alignment horizontal="center" vertical="center" textRotation="90"/>
    </xf>
    <xf numFmtId="0" fontId="27" fillId="29" borderId="40" xfId="0" applyFont="1" applyFill="1" applyBorder="1" applyAlignment="1">
      <alignment horizontal="center" vertical="center" textRotation="90"/>
    </xf>
    <xf numFmtId="0" fontId="27" fillId="7" borderId="4" xfId="0" applyFont="1" applyFill="1" applyBorder="1" applyAlignment="1">
      <alignment horizontal="center" vertical="center" textRotation="90"/>
    </xf>
    <xf numFmtId="0" fontId="27" fillId="24" borderId="4" xfId="0" applyFont="1" applyFill="1" applyBorder="1" applyAlignment="1">
      <alignment horizontal="center" vertical="center" textRotation="90"/>
    </xf>
    <xf numFmtId="0" fontId="27" fillId="7" borderId="5" xfId="0" applyFont="1" applyFill="1" applyBorder="1" applyAlignment="1">
      <alignment horizontal="center" vertical="center" textRotation="90"/>
    </xf>
    <xf numFmtId="0" fontId="27" fillId="24" borderId="5" xfId="0" applyFont="1" applyFill="1" applyBorder="1" applyAlignment="1">
      <alignment horizontal="center" vertical="center" textRotation="90"/>
    </xf>
    <xf numFmtId="1" fontId="14" fillId="0" borderId="77" xfId="0" applyNumberFormat="1" applyFont="1" applyBorder="1" applyAlignment="1">
      <alignment horizontal="center" vertical="center"/>
    </xf>
    <xf numFmtId="0" fontId="25" fillId="18" borderId="5" xfId="0" applyFont="1" applyFill="1" applyBorder="1" applyAlignment="1">
      <alignment horizontal="center" vertical="center" textRotation="90" wrapText="1"/>
    </xf>
    <xf numFmtId="0" fontId="27" fillId="24" borderId="40" xfId="0" applyFont="1" applyFill="1" applyBorder="1" applyAlignment="1">
      <alignment horizontal="center" vertical="center" textRotation="90"/>
    </xf>
    <xf numFmtId="0" fontId="27" fillId="7" borderId="40" xfId="0" applyFont="1" applyFill="1" applyBorder="1" applyAlignment="1">
      <alignment horizontal="center" vertical="center" textRotation="90"/>
    </xf>
    <xf numFmtId="185" fontId="28" fillId="4" borderId="14" xfId="0" applyNumberFormat="1" applyFont="1" applyFill="1" applyBorder="1" applyAlignment="1" applyProtection="1">
      <alignment horizontal="center" vertical="center"/>
      <protection hidden="1"/>
    </xf>
    <xf numFmtId="0" fontId="5" fillId="4" borderId="5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30" fillId="4" borderId="50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57" xfId="0" applyFont="1" applyFill="1" applyBorder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0" fontId="30" fillId="4" borderId="57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0" fontId="5" fillId="4" borderId="61" xfId="0" applyFont="1" applyFill="1" applyBorder="1" applyAlignment="1">
      <alignment horizontal="center" vertical="center"/>
    </xf>
    <xf numFmtId="0" fontId="30" fillId="4" borderId="60" xfId="0" applyFont="1" applyFill="1" applyBorder="1" applyAlignment="1">
      <alignment horizontal="center" vertical="center"/>
    </xf>
    <xf numFmtId="0" fontId="5" fillId="4" borderId="62" xfId="0" applyFont="1" applyFill="1" applyBorder="1" applyAlignment="1">
      <alignment horizontal="center" vertical="center"/>
    </xf>
    <xf numFmtId="185" fontId="28" fillId="4" borderId="71" xfId="0" applyNumberFormat="1" applyFont="1" applyFill="1" applyBorder="1" applyAlignment="1" applyProtection="1">
      <alignment horizontal="center" vertical="center"/>
      <protection hidden="1"/>
    </xf>
    <xf numFmtId="0" fontId="5" fillId="4" borderId="64" xfId="0" applyFont="1" applyFill="1" applyBorder="1" applyAlignment="1">
      <alignment horizontal="center" vertical="center"/>
    </xf>
    <xf numFmtId="0" fontId="5" fillId="4" borderId="65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center" vertical="center"/>
    </xf>
    <xf numFmtId="0" fontId="14" fillId="4" borderId="75" xfId="0" applyFont="1" applyFill="1" applyBorder="1" applyAlignment="1">
      <alignment horizontal="center" vertical="center"/>
    </xf>
    <xf numFmtId="0" fontId="34" fillId="4" borderId="57" xfId="0" applyFont="1" applyFill="1" applyBorder="1" applyAlignment="1">
      <alignment horizontal="center" vertical="center"/>
    </xf>
    <xf numFmtId="183" fontId="12" fillId="4" borderId="71" xfId="0" applyNumberFormat="1" applyFont="1" applyFill="1" applyBorder="1" applyAlignment="1" applyProtection="1">
      <alignment horizontal="center" vertical="center"/>
      <protection locked="0"/>
    </xf>
    <xf numFmtId="0" fontId="35" fillId="4" borderId="0" xfId="0" applyFont="1" applyFill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7" fillId="4" borderId="0" xfId="0" applyFont="1" applyFill="1" applyAlignment="1">
      <alignment horizontal="center" vertical="center"/>
    </xf>
    <xf numFmtId="0" fontId="36" fillId="0" borderId="9" xfId="0" applyFont="1" applyBorder="1" applyAlignment="1">
      <alignment horizontal="center"/>
    </xf>
    <xf numFmtId="0" fontId="38" fillId="4" borderId="0" xfId="0" applyFont="1" applyFill="1" applyAlignment="1">
      <alignment horizontal="center" vertical="center"/>
    </xf>
    <xf numFmtId="0" fontId="39" fillId="4" borderId="2" xfId="0" applyFont="1" applyFill="1" applyBorder="1" applyAlignment="1">
      <alignment horizontal="center" vertical="center"/>
    </xf>
    <xf numFmtId="0" fontId="39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vertical="center"/>
    </xf>
    <xf numFmtId="0" fontId="22" fillId="4" borderId="0" xfId="0" applyFont="1" applyFill="1" applyAlignment="1">
      <alignment vertical="center"/>
    </xf>
    <xf numFmtId="0" fontId="38" fillId="4" borderId="0" xfId="0" applyFont="1" applyFill="1" applyAlignment="1">
      <alignment vertical="center"/>
    </xf>
  </cellXfs>
  <cellStyles count="5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" xfId="49"/>
    <cellStyle name="Normal 2" xfId="50"/>
    <cellStyle name="Normal 2 2" xfId="51"/>
    <cellStyle name="Normal 3" xfId="52"/>
    <cellStyle name="표준 2 5" xfId="53"/>
  </cellStyles>
  <dxfs count="3">
    <dxf>
      <font>
        <name val="Gill Sans MT"/>
        <scheme val="none"/>
        <family val="2"/>
        <b val="0"/>
        <i val="0"/>
        <strike val="0"/>
        <u val="none"/>
        <sz val="24"/>
        <color theme="1"/>
      </font>
      <fill>
        <patternFill patternType="solid">
          <bgColor theme="0"/>
        </patternFill>
      </fill>
      <alignment vertical="center"/>
    </dxf>
    <dxf>
      <fill>
        <patternFill patternType="solid">
          <bgColor theme="0" tint="-0.499984740745262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6C3FF"/>
      <color rgb="00CC00FF"/>
      <color rgb="00C4A1E7"/>
      <color rgb="00C0C0C0"/>
      <color rgb="00CCCCFF"/>
      <color rgb="009933FF"/>
      <color rgb="00F79FB8"/>
      <color rgb="00A36DD9"/>
      <color rgb="00003366"/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4.xml"/><Relationship Id="rId8" Type="http://schemas.openxmlformats.org/officeDocument/2006/relationships/externalLink" Target="externalLinks/externalLink3.xml"/><Relationship Id="rId72" Type="http://schemas.openxmlformats.org/officeDocument/2006/relationships/customXml" Target="../customXml/item1.xml"/><Relationship Id="rId71" Type="http://schemas.openxmlformats.org/officeDocument/2006/relationships/styles" Target="styles.xml"/><Relationship Id="rId70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69" Type="http://schemas.openxmlformats.org/officeDocument/2006/relationships/theme" Target="theme/theme1.xml"/><Relationship Id="rId68" Type="http://schemas.openxmlformats.org/officeDocument/2006/relationships/externalLink" Target="externalLinks/externalLink63.xml"/><Relationship Id="rId67" Type="http://schemas.openxmlformats.org/officeDocument/2006/relationships/externalLink" Target="externalLinks/externalLink62.xml"/><Relationship Id="rId66" Type="http://schemas.openxmlformats.org/officeDocument/2006/relationships/externalLink" Target="externalLinks/externalLink61.xml"/><Relationship Id="rId65" Type="http://schemas.openxmlformats.org/officeDocument/2006/relationships/externalLink" Target="externalLinks/externalLink60.xml"/><Relationship Id="rId64" Type="http://schemas.openxmlformats.org/officeDocument/2006/relationships/externalLink" Target="externalLinks/externalLink59.xml"/><Relationship Id="rId63" Type="http://schemas.openxmlformats.org/officeDocument/2006/relationships/externalLink" Target="externalLinks/externalLink58.xml"/><Relationship Id="rId62" Type="http://schemas.openxmlformats.org/officeDocument/2006/relationships/externalLink" Target="externalLinks/externalLink57.xml"/><Relationship Id="rId61" Type="http://schemas.openxmlformats.org/officeDocument/2006/relationships/externalLink" Target="externalLinks/externalLink56.xml"/><Relationship Id="rId60" Type="http://schemas.openxmlformats.org/officeDocument/2006/relationships/externalLink" Target="externalLinks/externalLink55.xml"/><Relationship Id="rId6" Type="http://schemas.openxmlformats.org/officeDocument/2006/relationships/externalLink" Target="externalLinks/externalLink1.xml"/><Relationship Id="rId59" Type="http://schemas.openxmlformats.org/officeDocument/2006/relationships/externalLink" Target="externalLinks/externalLink54.xml"/><Relationship Id="rId58" Type="http://schemas.openxmlformats.org/officeDocument/2006/relationships/externalLink" Target="externalLinks/externalLink53.xml"/><Relationship Id="rId57" Type="http://schemas.openxmlformats.org/officeDocument/2006/relationships/externalLink" Target="externalLinks/externalLink52.xml"/><Relationship Id="rId56" Type="http://schemas.openxmlformats.org/officeDocument/2006/relationships/externalLink" Target="externalLinks/externalLink51.xml"/><Relationship Id="rId55" Type="http://schemas.openxmlformats.org/officeDocument/2006/relationships/externalLink" Target="externalLinks/externalLink50.xml"/><Relationship Id="rId54" Type="http://schemas.openxmlformats.org/officeDocument/2006/relationships/externalLink" Target="externalLinks/externalLink49.xml"/><Relationship Id="rId53" Type="http://schemas.openxmlformats.org/officeDocument/2006/relationships/externalLink" Target="externalLinks/externalLink48.xml"/><Relationship Id="rId52" Type="http://schemas.openxmlformats.org/officeDocument/2006/relationships/externalLink" Target="externalLinks/externalLink47.xml"/><Relationship Id="rId51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5.xml"/><Relationship Id="rId5" Type="http://schemas.openxmlformats.org/officeDocument/2006/relationships/connections" Target="connections.xml"/><Relationship Id="rId49" Type="http://schemas.openxmlformats.org/officeDocument/2006/relationships/externalLink" Target="externalLinks/externalLink44.xml"/><Relationship Id="rId48" Type="http://schemas.openxmlformats.org/officeDocument/2006/relationships/externalLink" Target="externalLinks/externalLink43.xml"/><Relationship Id="rId47" Type="http://schemas.openxmlformats.org/officeDocument/2006/relationships/externalLink" Target="externalLinks/externalLink42.xml"/><Relationship Id="rId46" Type="http://schemas.openxmlformats.org/officeDocument/2006/relationships/externalLink" Target="externalLinks/externalLink41.xml"/><Relationship Id="rId45" Type="http://schemas.openxmlformats.org/officeDocument/2006/relationships/externalLink" Target="externalLinks/externalLink40.xml"/><Relationship Id="rId44" Type="http://schemas.openxmlformats.org/officeDocument/2006/relationships/externalLink" Target="externalLinks/externalLink39.xml"/><Relationship Id="rId43" Type="http://schemas.openxmlformats.org/officeDocument/2006/relationships/externalLink" Target="externalLinks/externalLink38.xml"/><Relationship Id="rId42" Type="http://schemas.openxmlformats.org/officeDocument/2006/relationships/externalLink" Target="externalLinks/externalLink37.xml"/><Relationship Id="rId41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5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4.xml"/><Relationship Id="rId38" Type="http://schemas.openxmlformats.org/officeDocument/2006/relationships/externalLink" Target="externalLinks/externalLink33.xml"/><Relationship Id="rId37" Type="http://schemas.openxmlformats.org/officeDocument/2006/relationships/externalLink" Target="externalLinks/externalLink32.xml"/><Relationship Id="rId36" Type="http://schemas.openxmlformats.org/officeDocument/2006/relationships/externalLink" Target="externalLinks/externalLink31.xml"/><Relationship Id="rId35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9.xml"/><Relationship Id="rId33" Type="http://schemas.openxmlformats.org/officeDocument/2006/relationships/externalLink" Target="externalLinks/externalLink28.xml"/><Relationship Id="rId32" Type="http://schemas.openxmlformats.org/officeDocument/2006/relationships/externalLink" Target="externalLinks/externalLink27.xml"/><Relationship Id="rId31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5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4.xml"/><Relationship Id="rId28" Type="http://schemas.openxmlformats.org/officeDocument/2006/relationships/externalLink" Target="externalLinks/externalLink23.xml"/><Relationship Id="rId27" Type="http://schemas.openxmlformats.org/officeDocument/2006/relationships/externalLink" Target="externalLinks/externalLink22.xml"/><Relationship Id="rId26" Type="http://schemas.openxmlformats.org/officeDocument/2006/relationships/externalLink" Target="externalLinks/externalLink21.xml"/><Relationship Id="rId25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9.xml"/><Relationship Id="rId23" Type="http://schemas.openxmlformats.org/officeDocument/2006/relationships/externalLink" Target="externalLinks/externalLink18.xml"/><Relationship Id="rId22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6.xml"/><Relationship Id="rId20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4.xml"/><Relationship Id="rId18" Type="http://schemas.openxmlformats.org/officeDocument/2006/relationships/externalLink" Target="externalLinks/externalLink13.xml"/><Relationship Id="rId17" Type="http://schemas.openxmlformats.org/officeDocument/2006/relationships/externalLink" Target="externalLinks/externalLink12.xml"/><Relationship Id="rId16" Type="http://schemas.openxmlformats.org/officeDocument/2006/relationships/externalLink" Target="externalLinks/externalLink11.xml"/><Relationship Id="rId15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9.xml"/><Relationship Id="rId13" Type="http://schemas.openxmlformats.org/officeDocument/2006/relationships/externalLink" Target="externalLinks/externalLink8.xml"/><Relationship Id="rId12" Type="http://schemas.openxmlformats.org/officeDocument/2006/relationships/externalLink" Target="externalLinks/externalLink7.xml"/><Relationship Id="rId11" Type="http://schemas.openxmlformats.org/officeDocument/2006/relationships/externalLink" Target="externalLinks/externalLink6.xml"/><Relationship Id="rId10" Type="http://schemas.openxmlformats.org/officeDocument/2006/relationships/externalLink" Target="externalLinks/externalLink5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533440</xdr:colOff>
      <xdr:row>10</xdr:row>
      <xdr:rowOff>152400</xdr:rowOff>
    </xdr:from>
    <xdr:to>
      <xdr:col>44</xdr:col>
      <xdr:colOff>76200</xdr:colOff>
      <xdr:row>19</xdr:row>
      <xdr:rowOff>609600</xdr:rowOff>
    </xdr:to>
    <xdr:sp>
      <xdr:nvSpPr>
        <xdr:cNvPr id="20756" name="Freeform 118"/>
        <xdr:cNvSpPr/>
      </xdr:nvSpPr>
      <xdr:spPr>
        <a:xfrm>
          <a:off x="28885515" y="5682615"/>
          <a:ext cx="16784320" cy="73152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476250</xdr:colOff>
      <xdr:row>10</xdr:row>
      <xdr:rowOff>22224</xdr:rowOff>
    </xdr:from>
    <xdr:to>
      <xdr:col>31</xdr:col>
      <xdr:colOff>891876</xdr:colOff>
      <xdr:row>12</xdr:row>
      <xdr:rowOff>370569</xdr:rowOff>
    </xdr:to>
    <xdr:sp>
      <xdr:nvSpPr>
        <xdr:cNvPr id="20758" name="TextBox 401"/>
        <xdr:cNvSpPr txBox="1"/>
      </xdr:nvSpPr>
      <xdr:spPr>
        <a:xfrm flipH="1">
          <a:off x="28828365" y="5551805"/>
          <a:ext cx="3648075" cy="18726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377M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30</xdr:col>
      <xdr:colOff>752514</xdr:colOff>
      <xdr:row>10</xdr:row>
      <xdr:rowOff>0</xdr:rowOff>
    </xdr:from>
    <xdr:to>
      <xdr:col>41</xdr:col>
      <xdr:colOff>751781</xdr:colOff>
      <xdr:row>20</xdr:row>
      <xdr:rowOff>228600</xdr:rowOff>
    </xdr:to>
    <xdr:sp>
      <xdr:nvSpPr>
        <xdr:cNvPr id="20755" name="TextBox 400"/>
        <xdr:cNvSpPr txBox="1"/>
      </xdr:nvSpPr>
      <xdr:spPr>
        <a:xfrm flipH="1">
          <a:off x="31259780" y="5530215"/>
          <a:ext cx="11852275" cy="784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BENJAMIN FRANKLIN 0RDONE1MA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(RES2WB)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400M/54M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ATA 28/0900 ATB 28/1022 ETD 30/1900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7150 CMA  JIB/SOK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3641/ LOAD 4284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13.40/15.30 M 134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516962</xdr:colOff>
      <xdr:row>10</xdr:row>
      <xdr:rowOff>681963</xdr:rowOff>
    </xdr:from>
    <xdr:to>
      <xdr:col>43</xdr:col>
      <xdr:colOff>528922</xdr:colOff>
      <xdr:row>11</xdr:row>
      <xdr:rowOff>577459</xdr:rowOff>
    </xdr:to>
    <xdr:sp>
      <xdr:nvSpPr>
        <xdr:cNvPr id="20757" name="TextBox 402"/>
        <xdr:cNvSpPr txBox="1"/>
      </xdr:nvSpPr>
      <xdr:spPr>
        <a:xfrm flipH="1">
          <a:off x="42877740" y="6211570"/>
          <a:ext cx="2166620" cy="6578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777M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13</xdr:col>
      <xdr:colOff>598867</xdr:colOff>
      <xdr:row>7</xdr:row>
      <xdr:rowOff>114300</xdr:rowOff>
    </xdr:from>
    <xdr:to>
      <xdr:col>16</xdr:col>
      <xdr:colOff>627442</xdr:colOff>
      <xdr:row>8</xdr:row>
      <xdr:rowOff>524043</xdr:rowOff>
    </xdr:to>
    <xdr:sp>
      <xdr:nvSpPr>
        <xdr:cNvPr id="2" name="TextBox 1"/>
        <xdr:cNvSpPr txBox="1"/>
      </xdr:nvSpPr>
      <xdr:spPr>
        <a:xfrm>
          <a:off x="12727940" y="3743325"/>
          <a:ext cx="3261360" cy="104584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2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7-344m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838200</xdr:colOff>
      <xdr:row>7</xdr:row>
      <xdr:rowOff>114300</xdr:rowOff>
    </xdr:from>
    <xdr:to>
      <xdr:col>20</xdr:col>
      <xdr:colOff>419099</xdr:colOff>
      <xdr:row>8</xdr:row>
      <xdr:rowOff>533400</xdr:rowOff>
    </xdr:to>
    <xdr:sp>
      <xdr:nvSpPr>
        <xdr:cNvPr id="13632" name="TextBox 6"/>
        <xdr:cNvSpPr txBox="1"/>
      </xdr:nvSpPr>
      <xdr:spPr>
        <a:xfrm>
          <a:off x="16200120" y="3743325"/>
          <a:ext cx="3949700" cy="10553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3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34-371m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676882</xdr:colOff>
      <xdr:row>7</xdr:row>
      <xdr:rowOff>76199</xdr:rowOff>
    </xdr:from>
    <xdr:to>
      <xdr:col>23</xdr:col>
      <xdr:colOff>698653</xdr:colOff>
      <xdr:row>8</xdr:row>
      <xdr:rowOff>519110</xdr:rowOff>
    </xdr:to>
    <xdr:sp>
      <xdr:nvSpPr>
        <xdr:cNvPr id="4" name="TextBox 4"/>
        <xdr:cNvSpPr txBox="1"/>
      </xdr:nvSpPr>
      <xdr:spPr>
        <a:xfrm>
          <a:off x="20407630" y="3704590"/>
          <a:ext cx="3255010" cy="10795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4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61-494m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309871</xdr:colOff>
      <xdr:row>7</xdr:row>
      <xdr:rowOff>76200</xdr:rowOff>
    </xdr:from>
    <xdr:to>
      <xdr:col>31</xdr:col>
      <xdr:colOff>367393</xdr:colOff>
      <xdr:row>8</xdr:row>
      <xdr:rowOff>562018</xdr:rowOff>
    </xdr:to>
    <xdr:sp>
      <xdr:nvSpPr>
        <xdr:cNvPr id="13637" name="TextBox 8"/>
        <xdr:cNvSpPr txBox="1"/>
      </xdr:nvSpPr>
      <xdr:spPr>
        <a:xfrm>
          <a:off x="28661360" y="3705225"/>
          <a:ext cx="3290570" cy="112204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11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115-695m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301082</xdr:colOff>
      <xdr:row>7</xdr:row>
      <xdr:rowOff>76200</xdr:rowOff>
    </xdr:from>
    <xdr:to>
      <xdr:col>38</xdr:col>
      <xdr:colOff>329656</xdr:colOff>
      <xdr:row>8</xdr:row>
      <xdr:rowOff>571500</xdr:rowOff>
    </xdr:to>
    <xdr:sp>
      <xdr:nvSpPr>
        <xdr:cNvPr id="6" name="TextBox 6"/>
        <xdr:cNvSpPr txBox="1"/>
      </xdr:nvSpPr>
      <xdr:spPr>
        <a:xfrm>
          <a:off x="36196270" y="3705225"/>
          <a:ext cx="3261360" cy="1131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13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169-749m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440783</xdr:colOff>
      <xdr:row>7</xdr:row>
      <xdr:rowOff>154205</xdr:rowOff>
    </xdr:from>
    <xdr:to>
      <xdr:col>62</xdr:col>
      <xdr:colOff>762000</xdr:colOff>
      <xdr:row>8</xdr:row>
      <xdr:rowOff>571500</xdr:rowOff>
    </xdr:to>
    <xdr:sp>
      <xdr:nvSpPr>
        <xdr:cNvPr id="7" name="TextBox 7"/>
        <xdr:cNvSpPr txBox="1"/>
      </xdr:nvSpPr>
      <xdr:spPr>
        <a:xfrm>
          <a:off x="62198250" y="3782695"/>
          <a:ext cx="3554095" cy="1054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14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338-80m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48</xdr:col>
      <xdr:colOff>261302</xdr:colOff>
      <xdr:row>7</xdr:row>
      <xdr:rowOff>116471</xdr:rowOff>
    </xdr:from>
    <xdr:to>
      <xdr:col>51</xdr:col>
      <xdr:colOff>208233</xdr:colOff>
      <xdr:row>8</xdr:row>
      <xdr:rowOff>571500</xdr:rowOff>
    </xdr:to>
    <xdr:sp>
      <xdr:nvSpPr>
        <xdr:cNvPr id="13635" name="TextBox 12"/>
        <xdr:cNvSpPr txBox="1"/>
      </xdr:nvSpPr>
      <xdr:spPr>
        <a:xfrm>
          <a:off x="50165000" y="3745230"/>
          <a:ext cx="3179445" cy="109156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411.5m-117m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296602</xdr:colOff>
      <xdr:row>7</xdr:row>
      <xdr:rowOff>139043</xdr:rowOff>
    </xdr:from>
    <xdr:to>
      <xdr:col>66</xdr:col>
      <xdr:colOff>322458</xdr:colOff>
      <xdr:row>9</xdr:row>
      <xdr:rowOff>0</xdr:rowOff>
    </xdr:to>
    <xdr:sp>
      <xdr:nvSpPr>
        <xdr:cNvPr id="10" name="TextBox 9"/>
        <xdr:cNvSpPr txBox="1"/>
      </xdr:nvSpPr>
      <xdr:spPr>
        <a:xfrm>
          <a:off x="66364485" y="3767455"/>
          <a:ext cx="3258185" cy="113411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QC8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311.5-49.5m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874699</xdr:colOff>
      <xdr:row>7</xdr:row>
      <xdr:rowOff>107983</xdr:rowOff>
    </xdr:from>
    <xdr:to>
      <xdr:col>54</xdr:col>
      <xdr:colOff>609600</xdr:colOff>
      <xdr:row>8</xdr:row>
      <xdr:rowOff>533400</xdr:rowOff>
    </xdr:to>
    <xdr:sp>
      <xdr:nvSpPr>
        <xdr:cNvPr id="16" name="TextBox 19"/>
        <xdr:cNvSpPr txBox="1"/>
      </xdr:nvSpPr>
      <xdr:spPr>
        <a:xfrm>
          <a:off x="54011195" y="3736975"/>
          <a:ext cx="2967990" cy="106172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QC15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392.5m-103.5m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55</xdr:col>
      <xdr:colOff>414119</xdr:colOff>
      <xdr:row>7</xdr:row>
      <xdr:rowOff>154499</xdr:rowOff>
    </xdr:from>
    <xdr:to>
      <xdr:col>58</xdr:col>
      <xdr:colOff>762000</xdr:colOff>
      <xdr:row>8</xdr:row>
      <xdr:rowOff>533401</xdr:rowOff>
    </xdr:to>
    <xdr:sp>
      <xdr:nvSpPr>
        <xdr:cNvPr id="17" name="TextBox 20"/>
        <xdr:cNvSpPr txBox="1"/>
      </xdr:nvSpPr>
      <xdr:spPr>
        <a:xfrm>
          <a:off x="57861200" y="3783330"/>
          <a:ext cx="3580765" cy="1015365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16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365.5m-76.5</a:t>
          </a:r>
          <a:endParaRPr kumimoji="0" lang="en-US" sz="2400" b="1" i="0" u="none" strike="noStrike" kern="0" cap="none" spc="0" normalizeH="0" baseline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44</xdr:col>
      <xdr:colOff>800100</xdr:colOff>
      <xdr:row>7</xdr:row>
      <xdr:rowOff>0</xdr:rowOff>
    </xdr:from>
    <xdr:to>
      <xdr:col>47</xdr:col>
      <xdr:colOff>685799</xdr:colOff>
      <xdr:row>8</xdr:row>
      <xdr:rowOff>457200</xdr:rowOff>
    </xdr:to>
    <xdr:sp>
      <xdr:nvSpPr>
        <xdr:cNvPr id="19" name="TextBox 22"/>
        <xdr:cNvSpPr txBox="1"/>
      </xdr:nvSpPr>
      <xdr:spPr>
        <a:xfrm>
          <a:off x="46393735" y="3629025"/>
          <a:ext cx="3117850" cy="1093470"/>
        </a:xfrm>
        <a:prstGeom prst="rect">
          <a:avLst/>
        </a:prstGeom>
        <a:solidFill>
          <a:srgbClr val="C00000"/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17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196 - 776m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-1</xdr:rowOff>
    </xdr:from>
    <xdr:to>
      <xdr:col>41</xdr:col>
      <xdr:colOff>838200</xdr:colOff>
      <xdr:row>8</xdr:row>
      <xdr:rowOff>457200</xdr:rowOff>
    </xdr:to>
    <xdr:sp>
      <xdr:nvSpPr>
        <xdr:cNvPr id="20" name="TextBox 23"/>
        <xdr:cNvSpPr txBox="1"/>
      </xdr:nvSpPr>
      <xdr:spPr>
        <a:xfrm>
          <a:off x="40205660" y="3628390"/>
          <a:ext cx="2993390" cy="109410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18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271 - 803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42</xdr:col>
      <xdr:colOff>0</xdr:colOff>
      <xdr:row>7</xdr:row>
      <xdr:rowOff>0</xdr:rowOff>
    </xdr:from>
    <xdr:to>
      <xdr:col>44</xdr:col>
      <xdr:colOff>560162</xdr:colOff>
      <xdr:row>8</xdr:row>
      <xdr:rowOff>518598</xdr:rowOff>
    </xdr:to>
    <xdr:sp>
      <xdr:nvSpPr>
        <xdr:cNvPr id="21" name="TextBox 24"/>
        <xdr:cNvSpPr txBox="1"/>
      </xdr:nvSpPr>
      <xdr:spPr>
        <a:xfrm>
          <a:off x="43438445" y="3629025"/>
          <a:ext cx="2715260" cy="115443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19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298 - 830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876300</xdr:colOff>
      <xdr:row>7</xdr:row>
      <xdr:rowOff>76199</xdr:rowOff>
    </xdr:from>
    <xdr:to>
      <xdr:col>34</xdr:col>
      <xdr:colOff>923330</xdr:colOff>
      <xdr:row>8</xdr:row>
      <xdr:rowOff>557604</xdr:rowOff>
    </xdr:to>
    <xdr:sp>
      <xdr:nvSpPr>
        <xdr:cNvPr id="13636" name="TextBox 27"/>
        <xdr:cNvSpPr txBox="1"/>
      </xdr:nvSpPr>
      <xdr:spPr>
        <a:xfrm>
          <a:off x="32461200" y="3704590"/>
          <a:ext cx="3279775" cy="111823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12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142-722m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55419</xdr:colOff>
      <xdr:row>4</xdr:row>
      <xdr:rowOff>524991</xdr:rowOff>
    </xdr:from>
    <xdr:to>
      <xdr:col>14</xdr:col>
      <xdr:colOff>349828</xdr:colOff>
      <xdr:row>6</xdr:row>
      <xdr:rowOff>611580</xdr:rowOff>
    </xdr:to>
    <xdr:sp>
      <xdr:nvSpPr>
        <xdr:cNvPr id="25" name="Right Triangle 9107"/>
        <xdr:cNvSpPr/>
      </xdr:nvSpPr>
      <xdr:spPr>
        <a:xfrm>
          <a:off x="12184380" y="2360930"/>
          <a:ext cx="1371600" cy="1250950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12</xdr:col>
      <xdr:colOff>20781</xdr:colOff>
      <xdr:row>6</xdr:row>
      <xdr:rowOff>43295</xdr:rowOff>
    </xdr:from>
    <xdr:to>
      <xdr:col>14</xdr:col>
      <xdr:colOff>55417</xdr:colOff>
      <xdr:row>7</xdr:row>
      <xdr:rowOff>51954</xdr:rowOff>
    </xdr:to>
    <xdr:sp>
      <xdr:nvSpPr>
        <xdr:cNvPr id="26" name="TextBox 9108"/>
        <xdr:cNvSpPr txBox="1"/>
      </xdr:nvSpPr>
      <xdr:spPr>
        <a:xfrm>
          <a:off x="11943715" y="3043555"/>
          <a:ext cx="1318260" cy="636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05M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46</xdr:col>
      <xdr:colOff>71436</xdr:colOff>
      <xdr:row>4</xdr:row>
      <xdr:rowOff>438151</xdr:rowOff>
    </xdr:from>
    <xdr:to>
      <xdr:col>47</xdr:col>
      <xdr:colOff>621820</xdr:colOff>
      <xdr:row>6</xdr:row>
      <xdr:rowOff>570823</xdr:rowOff>
    </xdr:to>
    <xdr:sp>
      <xdr:nvSpPr>
        <xdr:cNvPr id="27" name="Right Triangle 29"/>
        <xdr:cNvSpPr/>
      </xdr:nvSpPr>
      <xdr:spPr>
        <a:xfrm flipH="1">
          <a:off x="47819945" y="2274570"/>
          <a:ext cx="1628140" cy="129603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46</xdr:col>
      <xdr:colOff>170969</xdr:colOff>
      <xdr:row>5</xdr:row>
      <xdr:rowOff>585356</xdr:rowOff>
    </xdr:from>
    <xdr:to>
      <xdr:col>47</xdr:col>
      <xdr:colOff>1025001</xdr:colOff>
      <xdr:row>7</xdr:row>
      <xdr:rowOff>78676</xdr:rowOff>
    </xdr:to>
    <xdr:sp>
      <xdr:nvSpPr>
        <xdr:cNvPr id="28" name="TextBox 35"/>
        <xdr:cNvSpPr txBox="1"/>
      </xdr:nvSpPr>
      <xdr:spPr>
        <a:xfrm>
          <a:off x="47919640" y="2948940"/>
          <a:ext cx="1931670" cy="758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836M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48</xdr:col>
      <xdr:colOff>1046018</xdr:colOff>
      <xdr:row>4</xdr:row>
      <xdr:rowOff>457200</xdr:rowOff>
    </xdr:from>
    <xdr:to>
      <xdr:col>50</xdr:col>
      <xdr:colOff>273627</xdr:colOff>
      <xdr:row>6</xdr:row>
      <xdr:rowOff>532721</xdr:rowOff>
    </xdr:to>
    <xdr:sp>
      <xdr:nvSpPr>
        <xdr:cNvPr id="29" name="Right Triangle 31"/>
        <xdr:cNvSpPr/>
      </xdr:nvSpPr>
      <xdr:spPr>
        <a:xfrm>
          <a:off x="50949860" y="2293620"/>
          <a:ext cx="1382395" cy="123888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24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48</xdr:col>
      <xdr:colOff>542224</xdr:colOff>
      <xdr:row>5</xdr:row>
      <xdr:rowOff>541752</xdr:rowOff>
    </xdr:from>
    <xdr:to>
      <xdr:col>50</xdr:col>
      <xdr:colOff>472951</xdr:colOff>
      <xdr:row>7</xdr:row>
      <xdr:rowOff>37449</xdr:rowOff>
    </xdr:to>
    <xdr:sp>
      <xdr:nvSpPr>
        <xdr:cNvPr id="30" name="TextBox 37"/>
        <xdr:cNvSpPr txBox="1"/>
      </xdr:nvSpPr>
      <xdr:spPr>
        <a:xfrm flipH="1">
          <a:off x="50445670" y="2905760"/>
          <a:ext cx="2085975" cy="760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425M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66</xdr:col>
      <xdr:colOff>740350</xdr:colOff>
      <xdr:row>4</xdr:row>
      <xdr:rowOff>148753</xdr:rowOff>
    </xdr:from>
    <xdr:to>
      <xdr:col>67</xdr:col>
      <xdr:colOff>1034758</xdr:colOff>
      <xdr:row>7</xdr:row>
      <xdr:rowOff>7734</xdr:rowOff>
    </xdr:to>
    <xdr:sp>
      <xdr:nvSpPr>
        <xdr:cNvPr id="31" name="Right Triangle 9114"/>
        <xdr:cNvSpPr/>
      </xdr:nvSpPr>
      <xdr:spPr>
        <a:xfrm flipH="1">
          <a:off x="70040500" y="1985010"/>
          <a:ext cx="1372235" cy="165163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66</xdr:col>
      <xdr:colOff>730458</xdr:colOff>
      <xdr:row>5</xdr:row>
      <xdr:rowOff>581708</xdr:rowOff>
    </xdr:from>
    <xdr:to>
      <xdr:col>67</xdr:col>
      <xdr:colOff>1077595</xdr:colOff>
      <xdr:row>6</xdr:row>
      <xdr:rowOff>452439</xdr:rowOff>
    </xdr:to>
    <xdr:sp>
      <xdr:nvSpPr>
        <xdr:cNvPr id="32" name="TextBox 9115"/>
        <xdr:cNvSpPr txBox="1"/>
      </xdr:nvSpPr>
      <xdr:spPr>
        <a:xfrm>
          <a:off x="70030975" y="2945765"/>
          <a:ext cx="1424940" cy="506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2400" b="1">
              <a:latin typeface="+mn-lt"/>
            </a:rPr>
            <a:t>40M</a:t>
          </a:r>
          <a:endParaRPr lang="en-GB" sz="2400" b="1">
            <a:latin typeface="+mn-lt"/>
          </a:endParaRPr>
        </a:p>
      </xdr:txBody>
    </xdr:sp>
    <xdr:clientData/>
  </xdr:twoCellAnchor>
  <xdr:twoCellAnchor>
    <xdr:from>
      <xdr:col>41</xdr:col>
      <xdr:colOff>720767</xdr:colOff>
      <xdr:row>3</xdr:row>
      <xdr:rowOff>388835</xdr:rowOff>
    </xdr:from>
    <xdr:to>
      <xdr:col>43</xdr:col>
      <xdr:colOff>582221</xdr:colOff>
      <xdr:row>4</xdr:row>
      <xdr:rowOff>423470</xdr:rowOff>
    </xdr:to>
    <xdr:sp>
      <xdr:nvSpPr>
        <xdr:cNvPr id="41" name="Right Triangle 9124"/>
        <xdr:cNvSpPr/>
      </xdr:nvSpPr>
      <xdr:spPr>
        <a:xfrm>
          <a:off x="43081575" y="1697355"/>
          <a:ext cx="2016125" cy="561975"/>
        </a:xfrm>
        <a:prstGeom prst="rtTriangle">
          <a:avLst/>
        </a:prstGeom>
        <a:pattFill prst="pct70">
          <a:fgClr>
            <a:schemeClr val="accent4">
              <a:lumMod val="60000"/>
              <a:lumOff val="40000"/>
            </a:schemeClr>
          </a:fgClr>
          <a:bgClr>
            <a:schemeClr val="bg1"/>
          </a:bgClr>
        </a:patt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600" b="1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>
    <xdr:from>
      <xdr:col>24</xdr:col>
      <xdr:colOff>342900</xdr:colOff>
      <xdr:row>7</xdr:row>
      <xdr:rowOff>76200</xdr:rowOff>
    </xdr:from>
    <xdr:to>
      <xdr:col>27</xdr:col>
      <xdr:colOff>543295</xdr:colOff>
      <xdr:row>8</xdr:row>
      <xdr:rowOff>571500</xdr:rowOff>
    </xdr:to>
    <xdr:sp>
      <xdr:nvSpPr>
        <xdr:cNvPr id="5115" name="TextBox 53"/>
        <xdr:cNvSpPr txBox="1"/>
      </xdr:nvSpPr>
      <xdr:spPr>
        <a:xfrm>
          <a:off x="24384635" y="3705225"/>
          <a:ext cx="3432810" cy="113157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solidFill>
            <a:sysClr val="windowText" lastClr="000000"/>
          </a:solidFill>
          <a:prstDash val="solid"/>
        </a:ln>
        <a:effectLst/>
      </xdr:spPr>
      <xdr:txBody>
        <a:bodyPr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QC 05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240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+mn-lt"/>
              <a:ea typeface="+mn-ea"/>
              <a:cs typeface="+mn-cs"/>
            </a:rPr>
            <a:t>88 - 521 m</a:t>
          </a: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24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0</xdr:col>
      <xdr:colOff>506077</xdr:colOff>
      <xdr:row>0</xdr:row>
      <xdr:rowOff>0</xdr:rowOff>
    </xdr:from>
    <xdr:ext cx="10413121" cy="1683385"/>
    <xdr:pic>
      <xdr:nvPicPr>
        <xdr:cNvPr id="43" name="Picture 252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460" y="0"/>
          <a:ext cx="10413365" cy="1683385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oneCellAnchor>
  <xdr:oneCellAnchor>
    <xdr:from>
      <xdr:col>0</xdr:col>
      <xdr:colOff>-21117791</xdr:colOff>
      <xdr:row>0</xdr:row>
      <xdr:rowOff>-11257</xdr:rowOff>
    </xdr:from>
    <xdr:ext cx="21121255" cy="3197376"/>
    <xdr:pic>
      <xdr:nvPicPr>
        <xdr:cNvPr id="44" name="Picture 87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-21117560" y="-10795"/>
          <a:ext cx="21120735" cy="319659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5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6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7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8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49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50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51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oneCellAnchor>
    <xdr:from>
      <xdr:col>68</xdr:col>
      <xdr:colOff>0</xdr:colOff>
      <xdr:row>10</xdr:row>
      <xdr:rowOff>0</xdr:rowOff>
    </xdr:from>
    <xdr:ext cx="0" cy="0"/>
    <xdr:pic>
      <xdr:nvPicPr>
        <xdr:cNvPr id="52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twoCellAnchor>
    <xdr:from>
      <xdr:col>0</xdr:col>
      <xdr:colOff>-38100</xdr:colOff>
      <xdr:row>0</xdr:row>
      <xdr:rowOff>-145351500</xdr:rowOff>
    </xdr:from>
    <xdr:to>
      <xdr:col>15</xdr:col>
      <xdr:colOff>102551</xdr:colOff>
      <xdr:row>0</xdr:row>
      <xdr:rowOff>-120154700</xdr:rowOff>
    </xdr:to>
    <xdr:sp>
      <xdr:nvSpPr>
        <xdr:cNvPr id="53" name="Freeform 118"/>
        <xdr:cNvSpPr/>
      </xdr:nvSpPr>
      <xdr:spPr>
        <a:xfrm>
          <a:off x="-38100" y="-145351500"/>
          <a:ext cx="14424660" cy="25196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2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68</xdr:col>
      <xdr:colOff>0</xdr:colOff>
      <xdr:row>10</xdr:row>
      <xdr:rowOff>0</xdr:rowOff>
    </xdr:from>
    <xdr:ext cx="0" cy="0"/>
    <xdr:pic>
      <xdr:nvPicPr>
        <xdr:cNvPr id="54" name="Picture 11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1455915" y="5530215"/>
          <a:ext cx="0" cy="0"/>
        </a:xfrm>
        <a:prstGeom prst="rect">
          <a:avLst/>
        </a:prstGeom>
      </xdr:spPr>
    </xdr:pic>
    <xdr:clientData/>
  </xdr:oneCellAnchor>
  <xdr:twoCellAnchor>
    <xdr:from>
      <xdr:col>33</xdr:col>
      <xdr:colOff>681591</xdr:colOff>
      <xdr:row>0</xdr:row>
      <xdr:rowOff>-72107429</xdr:rowOff>
    </xdr:from>
    <xdr:to>
      <xdr:col>39</xdr:col>
      <xdr:colOff>315030</xdr:colOff>
      <xdr:row>0</xdr:row>
      <xdr:rowOff>-66198750</xdr:rowOff>
    </xdr:to>
    <xdr:sp>
      <xdr:nvSpPr>
        <xdr:cNvPr id="55" name="TextBox 88"/>
        <xdr:cNvSpPr txBox="1"/>
      </xdr:nvSpPr>
      <xdr:spPr>
        <a:xfrm>
          <a:off x="34421445" y="-72107425"/>
          <a:ext cx="6099175" cy="59086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HONG DA XIN 68 26002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(CRS)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LOA182M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14/1230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25/0200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26/2300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1204 SXP SOK/TAO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504 / LOAD 700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95250</xdr:colOff>
      <xdr:row>3</xdr:row>
      <xdr:rowOff>444500</xdr:rowOff>
    </xdr:from>
    <xdr:to>
      <xdr:col>31</xdr:col>
      <xdr:colOff>695325</xdr:colOff>
      <xdr:row>4</xdr:row>
      <xdr:rowOff>466725</xdr:rowOff>
    </xdr:to>
    <xdr:sp>
      <xdr:nvSpPr>
        <xdr:cNvPr id="56" name="Star: 5 Points 55"/>
        <xdr:cNvSpPr/>
      </xdr:nvSpPr>
      <xdr:spPr>
        <a:xfrm>
          <a:off x="31680150" y="1753235"/>
          <a:ext cx="600075" cy="549910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819150</xdr:colOff>
      <xdr:row>30</xdr:row>
      <xdr:rowOff>381000</xdr:rowOff>
    </xdr:from>
    <xdr:to>
      <xdr:col>25</xdr:col>
      <xdr:colOff>933450</xdr:colOff>
      <xdr:row>46</xdr:row>
      <xdr:rowOff>152400</xdr:rowOff>
    </xdr:to>
    <xdr:sp>
      <xdr:nvSpPr>
        <xdr:cNvPr id="19131" name="Freeform 165"/>
        <xdr:cNvSpPr/>
      </xdr:nvSpPr>
      <xdr:spPr>
        <a:xfrm>
          <a:off x="15103475" y="21151215"/>
          <a:ext cx="10949305" cy="119634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6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511174</xdr:colOff>
      <xdr:row>32</xdr:row>
      <xdr:rowOff>447676</xdr:rowOff>
    </xdr:from>
    <xdr:to>
      <xdr:col>23</xdr:col>
      <xdr:colOff>1044575</xdr:colOff>
      <xdr:row>40</xdr:row>
      <xdr:rowOff>609600</xdr:rowOff>
    </xdr:to>
    <xdr:sp>
      <xdr:nvSpPr>
        <xdr:cNvPr id="13641" name="TextBox 84"/>
        <xdr:cNvSpPr txBox="1"/>
      </xdr:nvSpPr>
      <xdr:spPr>
        <a:xfrm>
          <a:off x="16950055" y="22741890"/>
          <a:ext cx="7058660" cy="62579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ISTANBUL BRIDGE 2602E (CBS)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LOA294M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/32M</a:t>
          </a:r>
          <a:endParaRPr lang="en-GB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30/0200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31/1600 ETD 01/2300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1073 SFT JEC/ADE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588/LOAD 485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119856</xdr:colOff>
      <xdr:row>31</xdr:row>
      <xdr:rowOff>111374</xdr:rowOff>
    </xdr:from>
    <xdr:to>
      <xdr:col>25</xdr:col>
      <xdr:colOff>884859</xdr:colOff>
      <xdr:row>31</xdr:row>
      <xdr:rowOff>665681</xdr:rowOff>
    </xdr:to>
    <xdr:sp>
      <xdr:nvSpPr>
        <xdr:cNvPr id="17565" name="TextBox 85"/>
        <xdr:cNvSpPr txBox="1"/>
      </xdr:nvSpPr>
      <xdr:spPr>
        <a:xfrm>
          <a:off x="24161115" y="21643340"/>
          <a:ext cx="1842770" cy="5543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347M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800100</xdr:colOff>
      <xdr:row>30</xdr:row>
      <xdr:rowOff>409576</xdr:rowOff>
    </xdr:from>
    <xdr:to>
      <xdr:col>17</xdr:col>
      <xdr:colOff>465849</xdr:colOff>
      <xdr:row>31</xdr:row>
      <xdr:rowOff>359014</xdr:rowOff>
    </xdr:to>
    <xdr:sp>
      <xdr:nvSpPr>
        <xdr:cNvPr id="17564" name="TextBox 86"/>
        <xdr:cNvSpPr txBox="1"/>
      </xdr:nvSpPr>
      <xdr:spPr>
        <a:xfrm>
          <a:off x="15084425" y="21179790"/>
          <a:ext cx="1820545" cy="7112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53M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904420</xdr:colOff>
      <xdr:row>62</xdr:row>
      <xdr:rowOff>38100</xdr:rowOff>
    </xdr:from>
    <xdr:to>
      <xdr:col>23</xdr:col>
      <xdr:colOff>101598</xdr:colOff>
      <xdr:row>76</xdr:row>
      <xdr:rowOff>228600</xdr:rowOff>
    </xdr:to>
    <xdr:sp>
      <xdr:nvSpPr>
        <xdr:cNvPr id="19785" name="Freeform 165"/>
        <xdr:cNvSpPr/>
      </xdr:nvSpPr>
      <xdr:spPr>
        <a:xfrm>
          <a:off x="15188565" y="45192315"/>
          <a:ext cx="7876540" cy="108585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714375</xdr:colOff>
      <xdr:row>64</xdr:row>
      <xdr:rowOff>152399</xdr:rowOff>
    </xdr:from>
    <xdr:to>
      <xdr:col>23</xdr:col>
      <xdr:colOff>115207</xdr:colOff>
      <xdr:row>73</xdr:row>
      <xdr:rowOff>171706</xdr:rowOff>
    </xdr:to>
    <xdr:sp>
      <xdr:nvSpPr>
        <xdr:cNvPr id="19782" name="TextBox 84"/>
        <xdr:cNvSpPr txBox="1"/>
      </xdr:nvSpPr>
      <xdr:spPr>
        <a:xfrm flipH="1">
          <a:off x="14998700" y="46829980"/>
          <a:ext cx="8080375" cy="687768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</a:t>
          </a:r>
          <a:r>
            <a:rPr lang="en-GB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DANIEL A </a:t>
          </a:r>
          <a:r>
            <a:rPr lang="en-US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IRS03W26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(TRI-NB)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LOA155M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03/0001 ETB 03/0800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04/1200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1100 ARL SGA /SGA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DIS: 500 /LOAD 600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189706</xdr:colOff>
      <xdr:row>62</xdr:row>
      <xdr:rowOff>178049</xdr:rowOff>
    </xdr:from>
    <xdr:to>
      <xdr:col>22</xdr:col>
      <xdr:colOff>1002334</xdr:colOff>
      <xdr:row>63</xdr:row>
      <xdr:rowOff>560104</xdr:rowOff>
    </xdr:to>
    <xdr:sp>
      <xdr:nvSpPr>
        <xdr:cNvPr id="19784" name="TextBox 85"/>
        <xdr:cNvSpPr txBox="1"/>
      </xdr:nvSpPr>
      <xdr:spPr>
        <a:xfrm flipH="1">
          <a:off x="20998180" y="45332015"/>
          <a:ext cx="1890395" cy="11442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255M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12700</xdr:colOff>
      <xdr:row>62</xdr:row>
      <xdr:rowOff>209550</xdr:rowOff>
    </xdr:from>
    <xdr:to>
      <xdr:col>17</xdr:col>
      <xdr:colOff>1019175</xdr:colOff>
      <xdr:row>64</xdr:row>
      <xdr:rowOff>120404</xdr:rowOff>
    </xdr:to>
    <xdr:sp>
      <xdr:nvSpPr>
        <xdr:cNvPr id="19783" name="TextBox 86"/>
        <xdr:cNvSpPr txBox="1"/>
      </xdr:nvSpPr>
      <xdr:spPr>
        <a:xfrm flipH="1">
          <a:off x="15374620" y="45363765"/>
          <a:ext cx="2084070" cy="14344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381000</xdr:colOff>
      <xdr:row>14</xdr:row>
      <xdr:rowOff>266700</xdr:rowOff>
    </xdr:from>
    <xdr:to>
      <xdr:col>62</xdr:col>
      <xdr:colOff>152400</xdr:colOff>
      <xdr:row>37</xdr:row>
      <xdr:rowOff>342900</xdr:rowOff>
    </xdr:to>
    <xdr:sp>
      <xdr:nvSpPr>
        <xdr:cNvPr id="19032" name="Freeform 118"/>
        <xdr:cNvSpPr/>
      </xdr:nvSpPr>
      <xdr:spPr>
        <a:xfrm flipH="1">
          <a:off x="53517800" y="8844915"/>
          <a:ext cx="11624945" cy="176022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266700</xdr:colOff>
      <xdr:row>14</xdr:row>
      <xdr:rowOff>581027</xdr:rowOff>
    </xdr:from>
    <xdr:to>
      <xdr:col>53</xdr:col>
      <xdr:colOff>304800</xdr:colOff>
      <xdr:row>16</xdr:row>
      <xdr:rowOff>161927</xdr:rowOff>
    </xdr:to>
    <xdr:sp>
      <xdr:nvSpPr>
        <xdr:cNvPr id="17576" name="TextBox 401"/>
        <xdr:cNvSpPr txBox="1"/>
      </xdr:nvSpPr>
      <xdr:spPr>
        <a:xfrm>
          <a:off x="53403500" y="9159240"/>
          <a:ext cx="2193290" cy="11049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400M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52</xdr:col>
      <xdr:colOff>381000</xdr:colOff>
      <xdr:row>17</xdr:row>
      <xdr:rowOff>495300</xdr:rowOff>
    </xdr:from>
    <xdr:to>
      <xdr:col>61</xdr:col>
      <xdr:colOff>132657</xdr:colOff>
      <xdr:row>30</xdr:row>
      <xdr:rowOff>228600</xdr:rowOff>
    </xdr:to>
    <xdr:sp>
      <xdr:nvSpPr>
        <xdr:cNvPr id="20998" name="TextBox 400"/>
        <xdr:cNvSpPr txBox="1"/>
      </xdr:nvSpPr>
      <xdr:spPr>
        <a:xfrm>
          <a:off x="54595395" y="11359515"/>
          <a:ext cx="9449435" cy="963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SYDNEY MDX010E19 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(MEDEX- WB)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LOA264M/43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ATA 30/0500 ATB 30/0900 ETD 01/0700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3578 CMA  ALX/PSD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1753 / LOAD 1825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12.10/12.50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847 Not Manifested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59</xdr:col>
      <xdr:colOff>971550</xdr:colOff>
      <xdr:row>14</xdr:row>
      <xdr:rowOff>554964</xdr:rowOff>
    </xdr:from>
    <xdr:to>
      <xdr:col>62</xdr:col>
      <xdr:colOff>281272</xdr:colOff>
      <xdr:row>16</xdr:row>
      <xdr:rowOff>276225</xdr:rowOff>
    </xdr:to>
    <xdr:sp>
      <xdr:nvSpPr>
        <xdr:cNvPr id="17577" name="TextBox 402"/>
        <xdr:cNvSpPr txBox="1"/>
      </xdr:nvSpPr>
      <xdr:spPr>
        <a:xfrm>
          <a:off x="62729110" y="9132570"/>
          <a:ext cx="2541905" cy="12458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136M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29</xdr:col>
      <xdr:colOff>647700</xdr:colOff>
      <xdr:row>20</xdr:row>
      <xdr:rowOff>381000</xdr:rowOff>
    </xdr:from>
    <xdr:to>
      <xdr:col>44</xdr:col>
      <xdr:colOff>381000</xdr:colOff>
      <xdr:row>68</xdr:row>
      <xdr:rowOff>381000</xdr:rowOff>
    </xdr:to>
    <xdr:sp>
      <xdr:nvSpPr>
        <xdr:cNvPr id="21046" name="Freeform 118"/>
        <xdr:cNvSpPr/>
      </xdr:nvSpPr>
      <xdr:spPr>
        <a:xfrm>
          <a:off x="30077410" y="13531215"/>
          <a:ext cx="15897225" cy="365760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r>
            <a:rPr lang="en-US" sz="4000">
              <a:solidFill>
                <a:schemeClr val="tx1"/>
              </a:solidFill>
              <a:latin typeface="+mn-lt"/>
              <a:ea typeface="+mn-ea"/>
              <a:cs typeface="+mn-cs"/>
            </a:rPr>
            <a:t> </a:t>
          </a:r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304800</xdr:colOff>
      <xdr:row>22</xdr:row>
      <xdr:rowOff>47624</xdr:rowOff>
    </xdr:from>
    <xdr:to>
      <xdr:col>32</xdr:col>
      <xdr:colOff>739476</xdr:colOff>
      <xdr:row>24</xdr:row>
      <xdr:rowOff>597455</xdr:rowOff>
    </xdr:to>
    <xdr:sp>
      <xdr:nvSpPr>
        <xdr:cNvPr id="16077" name="TextBox 401"/>
        <xdr:cNvSpPr txBox="1"/>
      </xdr:nvSpPr>
      <xdr:spPr>
        <a:xfrm flipH="1">
          <a:off x="29734510" y="14721205"/>
          <a:ext cx="3667125" cy="20739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411M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31</xdr:col>
      <xdr:colOff>371513</xdr:colOff>
      <xdr:row>26</xdr:row>
      <xdr:rowOff>481696</xdr:rowOff>
    </xdr:from>
    <xdr:to>
      <xdr:col>42</xdr:col>
      <xdr:colOff>370780</xdr:colOff>
      <xdr:row>38</xdr:row>
      <xdr:rowOff>678964</xdr:rowOff>
    </xdr:to>
    <xdr:sp>
      <xdr:nvSpPr>
        <xdr:cNvPr id="18585" name="TextBox 400"/>
        <xdr:cNvSpPr txBox="1"/>
      </xdr:nvSpPr>
      <xdr:spPr>
        <a:xfrm flipH="1">
          <a:off x="31956375" y="18203545"/>
          <a:ext cx="11852275" cy="9341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APOLLON RX2030E19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(RES2EB)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366M/51M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28/2300 ETB 30/2100 ETD 03/2000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10589 CMA  AQJ/TAO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4695/ LOAD 5894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14.2/14.6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1031312</xdr:colOff>
      <xdr:row>23</xdr:row>
      <xdr:rowOff>21563</xdr:rowOff>
    </xdr:from>
    <xdr:to>
      <xdr:col>43</xdr:col>
      <xdr:colOff>1043272</xdr:colOff>
      <xdr:row>23</xdr:row>
      <xdr:rowOff>749813</xdr:rowOff>
    </xdr:to>
    <xdr:sp>
      <xdr:nvSpPr>
        <xdr:cNvPr id="16078" name="TextBox 402"/>
        <xdr:cNvSpPr txBox="1"/>
      </xdr:nvSpPr>
      <xdr:spPr>
        <a:xfrm flipH="1">
          <a:off x="43392090" y="15457170"/>
          <a:ext cx="2166620" cy="7283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777M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52</xdr:col>
      <xdr:colOff>495298</xdr:colOff>
      <xdr:row>55</xdr:row>
      <xdr:rowOff>704850</xdr:rowOff>
    </xdr:from>
    <xdr:to>
      <xdr:col>60</xdr:col>
      <xdr:colOff>561973</xdr:colOff>
      <xdr:row>75</xdr:row>
      <xdr:rowOff>114300</xdr:rowOff>
    </xdr:to>
    <xdr:sp>
      <xdr:nvSpPr>
        <xdr:cNvPr id="15603" name="Freeform 118"/>
        <xdr:cNvSpPr/>
      </xdr:nvSpPr>
      <xdr:spPr>
        <a:xfrm flipH="1">
          <a:off x="54709060" y="40525065"/>
          <a:ext cx="8687435" cy="146494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1009650</xdr:colOff>
      <xdr:row>58</xdr:row>
      <xdr:rowOff>133349</xdr:rowOff>
    </xdr:from>
    <xdr:to>
      <xdr:col>60</xdr:col>
      <xdr:colOff>4000</xdr:colOff>
      <xdr:row>65</xdr:row>
      <xdr:rowOff>361950</xdr:rowOff>
    </xdr:to>
    <xdr:sp>
      <xdr:nvSpPr>
        <xdr:cNvPr id="18308" name="TextBox 88"/>
        <xdr:cNvSpPr txBox="1"/>
      </xdr:nvSpPr>
      <xdr:spPr>
        <a:xfrm flipH="1">
          <a:off x="55224045" y="42238930"/>
          <a:ext cx="7614920" cy="556323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KR TASMAN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KRTM2634E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(REX-2)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LOA191M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ETA02/1800 ETB 02/2000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04/1000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1751 CUL PKG/SOK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851/ LOAD 900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58</xdr:col>
      <xdr:colOff>776307</xdr:colOff>
      <xdr:row>56</xdr:row>
      <xdr:rowOff>228600</xdr:rowOff>
    </xdr:from>
    <xdr:to>
      <xdr:col>60</xdr:col>
      <xdr:colOff>788050</xdr:colOff>
      <xdr:row>57</xdr:row>
      <xdr:rowOff>38100</xdr:rowOff>
    </xdr:to>
    <xdr:sp>
      <xdr:nvSpPr>
        <xdr:cNvPr id="15601" name="TextBox 90"/>
        <xdr:cNvSpPr txBox="1"/>
      </xdr:nvSpPr>
      <xdr:spPr>
        <a:xfrm flipH="1">
          <a:off x="61455935" y="40810815"/>
          <a:ext cx="2167255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189M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52</xdr:col>
      <xdr:colOff>647700</xdr:colOff>
      <xdr:row>56</xdr:row>
      <xdr:rowOff>209550</xdr:rowOff>
    </xdr:from>
    <xdr:to>
      <xdr:col>54</xdr:col>
      <xdr:colOff>698079</xdr:colOff>
      <xdr:row>56</xdr:row>
      <xdr:rowOff>758583</xdr:rowOff>
    </xdr:to>
    <xdr:sp>
      <xdr:nvSpPr>
        <xdr:cNvPr id="15600" name="TextBox 90"/>
        <xdr:cNvSpPr txBox="1"/>
      </xdr:nvSpPr>
      <xdr:spPr>
        <a:xfrm flipH="1">
          <a:off x="54862095" y="40791765"/>
          <a:ext cx="2205355" cy="54864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380M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762040</xdr:colOff>
      <xdr:row>69</xdr:row>
      <xdr:rowOff>0</xdr:rowOff>
    </xdr:from>
    <xdr:to>
      <xdr:col>44</xdr:col>
      <xdr:colOff>114340</xdr:colOff>
      <xdr:row>95</xdr:row>
      <xdr:rowOff>76200</xdr:rowOff>
    </xdr:to>
    <xdr:sp>
      <xdr:nvSpPr>
        <xdr:cNvPr id="20318" name="Freeform 118"/>
        <xdr:cNvSpPr/>
      </xdr:nvSpPr>
      <xdr:spPr>
        <a:xfrm>
          <a:off x="30191710" y="50488215"/>
          <a:ext cx="15516225" cy="198882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76200</xdr:colOff>
      <xdr:row>70</xdr:row>
      <xdr:rowOff>152401</xdr:rowOff>
    </xdr:from>
    <xdr:to>
      <xdr:col>32</xdr:col>
      <xdr:colOff>381000</xdr:colOff>
      <xdr:row>71</xdr:row>
      <xdr:rowOff>212529</xdr:rowOff>
    </xdr:to>
    <xdr:sp>
      <xdr:nvSpPr>
        <xdr:cNvPr id="18299" name="TextBox 401"/>
        <xdr:cNvSpPr txBox="1"/>
      </xdr:nvSpPr>
      <xdr:spPr>
        <a:xfrm flipH="1">
          <a:off x="30583505" y="51402615"/>
          <a:ext cx="2459990" cy="82169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411M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30</xdr:col>
      <xdr:colOff>1038250</xdr:colOff>
      <xdr:row>73</xdr:row>
      <xdr:rowOff>1</xdr:rowOff>
    </xdr:from>
    <xdr:to>
      <xdr:col>43</xdr:col>
      <xdr:colOff>114295</xdr:colOff>
      <xdr:row>83</xdr:row>
      <xdr:rowOff>419101</xdr:rowOff>
    </xdr:to>
    <xdr:sp>
      <xdr:nvSpPr>
        <xdr:cNvPr id="20333" name="TextBox 400"/>
        <xdr:cNvSpPr txBox="1"/>
      </xdr:nvSpPr>
      <xdr:spPr>
        <a:xfrm flipH="1">
          <a:off x="31545530" y="53536215"/>
          <a:ext cx="13084175" cy="803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MSC SIMONA IS634R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366M /51M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03/0800 ETB 03/2200 ETD 06/0200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4777 MSC AKI/KAP 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2093 / LOAD 2684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RF:289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16.60/16.60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593162</xdr:colOff>
      <xdr:row>70</xdr:row>
      <xdr:rowOff>21564</xdr:rowOff>
    </xdr:from>
    <xdr:to>
      <xdr:col>43</xdr:col>
      <xdr:colOff>605122</xdr:colOff>
      <xdr:row>71</xdr:row>
      <xdr:rowOff>171450</xdr:rowOff>
    </xdr:to>
    <xdr:sp>
      <xdr:nvSpPr>
        <xdr:cNvPr id="18298" name="TextBox 402"/>
        <xdr:cNvSpPr txBox="1"/>
      </xdr:nvSpPr>
      <xdr:spPr>
        <a:xfrm flipH="1">
          <a:off x="42953940" y="51271170"/>
          <a:ext cx="2166620" cy="9124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777M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16</xdr:col>
      <xdr:colOff>914400</xdr:colOff>
      <xdr:row>121</xdr:row>
      <xdr:rowOff>76200</xdr:rowOff>
    </xdr:from>
    <xdr:to>
      <xdr:col>30</xdr:col>
      <xdr:colOff>304797</xdr:colOff>
      <xdr:row>130</xdr:row>
      <xdr:rowOff>0</xdr:rowOff>
    </xdr:to>
    <xdr:sp>
      <xdr:nvSpPr>
        <xdr:cNvPr id="20255" name="Freeform 118"/>
        <xdr:cNvSpPr/>
      </xdr:nvSpPr>
      <xdr:spPr>
        <a:xfrm>
          <a:off x="16276320" y="90188415"/>
          <a:ext cx="14535150" cy="6781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914400</xdr:colOff>
      <xdr:row>121</xdr:row>
      <xdr:rowOff>54637</xdr:rowOff>
    </xdr:from>
    <xdr:to>
      <xdr:col>18</xdr:col>
      <xdr:colOff>876300</xdr:colOff>
      <xdr:row>122</xdr:row>
      <xdr:rowOff>638174</xdr:rowOff>
    </xdr:to>
    <xdr:sp>
      <xdr:nvSpPr>
        <xdr:cNvPr id="20241" name="TextBox 401"/>
        <xdr:cNvSpPr txBox="1"/>
      </xdr:nvSpPr>
      <xdr:spPr>
        <a:xfrm flipH="1">
          <a:off x="16276320" y="90166825"/>
          <a:ext cx="2176145" cy="1344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100M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17</xdr:col>
      <xdr:colOff>1038258</xdr:colOff>
      <xdr:row>122</xdr:row>
      <xdr:rowOff>609600</xdr:rowOff>
    </xdr:from>
    <xdr:to>
      <xdr:col>28</xdr:col>
      <xdr:colOff>1037525</xdr:colOff>
      <xdr:row>127</xdr:row>
      <xdr:rowOff>714374</xdr:rowOff>
    </xdr:to>
    <xdr:sp>
      <xdr:nvSpPr>
        <xdr:cNvPr id="20267" name="TextBox 400"/>
        <xdr:cNvSpPr txBox="1"/>
      </xdr:nvSpPr>
      <xdr:spPr>
        <a:xfrm flipH="1">
          <a:off x="17477740" y="91483815"/>
          <a:ext cx="11911330" cy="3914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LA SCALA 0MXP7W1MA 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(MEDEX-W)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334M/43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08/0300  ETB 08/0600 ETD 09/0100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967 CMA  DJI / PSD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467 / LOAD 500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133350</xdr:colOff>
      <xdr:row>120</xdr:row>
      <xdr:rowOff>647700</xdr:rowOff>
    </xdr:from>
    <xdr:to>
      <xdr:col>30</xdr:col>
      <xdr:colOff>509872</xdr:colOff>
      <xdr:row>122</xdr:row>
      <xdr:rowOff>368961</xdr:rowOff>
    </xdr:to>
    <xdr:sp>
      <xdr:nvSpPr>
        <xdr:cNvPr id="20240" name="TextBox 402"/>
        <xdr:cNvSpPr txBox="1"/>
      </xdr:nvSpPr>
      <xdr:spPr>
        <a:xfrm flipH="1">
          <a:off x="28485465" y="89997915"/>
          <a:ext cx="2531110" cy="124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434M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457201</xdr:colOff>
      <xdr:row>10</xdr:row>
      <xdr:rowOff>76200</xdr:rowOff>
    </xdr:from>
    <xdr:to>
      <xdr:col>25</xdr:col>
      <xdr:colOff>228600</xdr:colOff>
      <xdr:row>29</xdr:row>
      <xdr:rowOff>571500</xdr:rowOff>
    </xdr:to>
    <xdr:sp>
      <xdr:nvSpPr>
        <xdr:cNvPr id="20751" name="Freeform 118"/>
        <xdr:cNvSpPr/>
      </xdr:nvSpPr>
      <xdr:spPr>
        <a:xfrm>
          <a:off x="14741525" y="5606415"/>
          <a:ext cx="10606405" cy="149733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6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180973</xdr:colOff>
      <xdr:row>13</xdr:row>
      <xdr:rowOff>34968</xdr:rowOff>
    </xdr:from>
    <xdr:to>
      <xdr:col>24</xdr:col>
      <xdr:colOff>115016</xdr:colOff>
      <xdr:row>19</xdr:row>
      <xdr:rowOff>647699</xdr:rowOff>
    </xdr:to>
    <xdr:sp>
      <xdr:nvSpPr>
        <xdr:cNvPr id="20752" name="TextBox 88"/>
        <xdr:cNvSpPr txBox="1"/>
      </xdr:nvSpPr>
      <xdr:spPr>
        <a:xfrm flipH="1">
          <a:off x="15542260" y="7851140"/>
          <a:ext cx="8614410" cy="518414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XIN HAI KOU 337E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LOA263M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ATA 29/1030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ATB 29/1325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31/1500 MOVES 2368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COS ISK/LAU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1536 / LOAD 800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1006352</xdr:colOff>
      <xdr:row>10</xdr:row>
      <xdr:rowOff>606674</xdr:rowOff>
    </xdr:from>
    <xdr:to>
      <xdr:col>25</xdr:col>
      <xdr:colOff>128195</xdr:colOff>
      <xdr:row>12</xdr:row>
      <xdr:rowOff>52203</xdr:rowOff>
    </xdr:to>
    <xdr:sp>
      <xdr:nvSpPr>
        <xdr:cNvPr id="20753" name="TextBox 90"/>
        <xdr:cNvSpPr txBox="1"/>
      </xdr:nvSpPr>
      <xdr:spPr>
        <a:xfrm flipH="1">
          <a:off x="22892385" y="6136640"/>
          <a:ext cx="2354580" cy="9696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347M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15</xdr:col>
      <xdr:colOff>114300</xdr:colOff>
      <xdr:row>10</xdr:row>
      <xdr:rowOff>479425</xdr:rowOff>
    </xdr:from>
    <xdr:to>
      <xdr:col>17</xdr:col>
      <xdr:colOff>630010</xdr:colOff>
      <xdr:row>12</xdr:row>
      <xdr:rowOff>28040</xdr:rowOff>
    </xdr:to>
    <xdr:sp>
      <xdr:nvSpPr>
        <xdr:cNvPr id="20754" name="TextBox 90"/>
        <xdr:cNvSpPr txBox="1"/>
      </xdr:nvSpPr>
      <xdr:spPr>
        <a:xfrm flipH="1">
          <a:off x="14398625" y="6009640"/>
          <a:ext cx="2670810" cy="10725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84M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52</xdr:col>
      <xdr:colOff>988765</xdr:colOff>
      <xdr:row>38</xdr:row>
      <xdr:rowOff>133349</xdr:rowOff>
    </xdr:from>
    <xdr:to>
      <xdr:col>59</xdr:col>
      <xdr:colOff>1026865</xdr:colOff>
      <xdr:row>54</xdr:row>
      <xdr:rowOff>76200</xdr:rowOff>
    </xdr:to>
    <xdr:sp>
      <xdr:nvSpPr>
        <xdr:cNvPr id="19049" name="Freeform 118"/>
        <xdr:cNvSpPr/>
      </xdr:nvSpPr>
      <xdr:spPr>
        <a:xfrm flipH="1">
          <a:off x="55203090" y="26998930"/>
          <a:ext cx="7581265" cy="1213548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864941</xdr:colOff>
      <xdr:row>42</xdr:row>
      <xdr:rowOff>226890</xdr:rowOff>
    </xdr:from>
    <xdr:to>
      <xdr:col>60</xdr:col>
      <xdr:colOff>160087</xdr:colOff>
      <xdr:row>50</xdr:row>
      <xdr:rowOff>152400</xdr:rowOff>
    </xdr:to>
    <xdr:sp>
      <xdr:nvSpPr>
        <xdr:cNvPr id="19055" name="TextBox 88"/>
        <xdr:cNvSpPr txBox="1"/>
      </xdr:nvSpPr>
      <xdr:spPr>
        <a:xfrm>
          <a:off x="55079265" y="30140910"/>
          <a:ext cx="7915910" cy="602170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TRANSMAR ODYSSEY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25618 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(RES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161 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36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31/1500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01/0900</a:t>
          </a:r>
          <a:endParaRPr lang="en-US" sz="3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02/1600</a:t>
          </a:r>
          <a:endParaRPr lang="en-US" sz="3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920 AET ADA/ADA </a:t>
          </a:r>
          <a:endParaRPr lang="en-US" sz="3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  <a:endParaRPr lang="en-US" sz="3600" b="1" baseline="0">
            <a:solidFill>
              <a:srgbClr val="9933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520 / LOAD 400</a:t>
          </a:r>
          <a:endParaRPr kumimoji="0" lang="en-US" sz="36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58</xdr:col>
      <xdr:colOff>360116</xdr:colOff>
      <xdr:row>38</xdr:row>
      <xdr:rowOff>350716</xdr:rowOff>
    </xdr:from>
    <xdr:to>
      <xdr:col>60</xdr:col>
      <xdr:colOff>112466</xdr:colOff>
      <xdr:row>39</xdr:row>
      <xdr:rowOff>288778</xdr:rowOff>
    </xdr:to>
    <xdr:sp>
      <xdr:nvSpPr>
        <xdr:cNvPr id="19138" name="TextBox 90"/>
        <xdr:cNvSpPr txBox="1"/>
      </xdr:nvSpPr>
      <xdr:spPr>
        <a:xfrm>
          <a:off x="61040010" y="27216735"/>
          <a:ext cx="1907540" cy="6997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219M</a:t>
          </a:r>
          <a:endParaRPr lang="en-US" sz="40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52</xdr:col>
      <xdr:colOff>761998</xdr:colOff>
      <xdr:row>37</xdr:row>
      <xdr:rowOff>495301</xdr:rowOff>
    </xdr:from>
    <xdr:to>
      <xdr:col>55</xdr:col>
      <xdr:colOff>226761</xdr:colOff>
      <xdr:row>39</xdr:row>
      <xdr:rowOff>746921</xdr:rowOff>
    </xdr:to>
    <xdr:sp>
      <xdr:nvSpPr>
        <xdr:cNvPr id="19135" name="TextBox 90"/>
        <xdr:cNvSpPr txBox="1"/>
      </xdr:nvSpPr>
      <xdr:spPr>
        <a:xfrm>
          <a:off x="54975760" y="26599515"/>
          <a:ext cx="2698115" cy="17754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380M</a:t>
          </a:r>
          <a:endParaRPr lang="en-US" sz="40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15</xdr:col>
      <xdr:colOff>876300</xdr:colOff>
      <xdr:row>80</xdr:row>
      <xdr:rowOff>228600</xdr:rowOff>
    </xdr:from>
    <xdr:to>
      <xdr:col>25</xdr:col>
      <xdr:colOff>304800</xdr:colOff>
      <xdr:row>99</xdr:row>
      <xdr:rowOff>266700</xdr:rowOff>
    </xdr:to>
    <xdr:sp>
      <xdr:nvSpPr>
        <xdr:cNvPr id="19998" name="Freeform 118"/>
        <xdr:cNvSpPr/>
      </xdr:nvSpPr>
      <xdr:spPr>
        <a:xfrm>
          <a:off x="15160625" y="59098815"/>
          <a:ext cx="10263505" cy="145161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38100</xdr:colOff>
      <xdr:row>80</xdr:row>
      <xdr:rowOff>207037</xdr:rowOff>
    </xdr:from>
    <xdr:to>
      <xdr:col>18</xdr:col>
      <xdr:colOff>0</xdr:colOff>
      <xdr:row>82</xdr:row>
      <xdr:rowOff>28574</xdr:rowOff>
    </xdr:to>
    <xdr:sp>
      <xdr:nvSpPr>
        <xdr:cNvPr id="20000" name="TextBox 401"/>
        <xdr:cNvSpPr txBox="1"/>
      </xdr:nvSpPr>
      <xdr:spPr>
        <a:xfrm flipH="1">
          <a:off x="15400020" y="59077225"/>
          <a:ext cx="2176145" cy="1344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80M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1028734</xdr:colOff>
      <xdr:row>84</xdr:row>
      <xdr:rowOff>371475</xdr:rowOff>
    </xdr:from>
    <xdr:to>
      <xdr:col>24</xdr:col>
      <xdr:colOff>561976</xdr:colOff>
      <xdr:row>92</xdr:row>
      <xdr:rowOff>295275</xdr:rowOff>
    </xdr:to>
    <xdr:sp>
      <xdr:nvSpPr>
        <xdr:cNvPr id="19997" name="TextBox 400"/>
        <xdr:cNvSpPr txBox="1"/>
      </xdr:nvSpPr>
      <xdr:spPr>
        <a:xfrm flipH="1">
          <a:off x="15313025" y="62289690"/>
          <a:ext cx="9290685" cy="6019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MAPUTO PHXSSSE19 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(MED5)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174M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04/1900 ETB 04/2100 ETD 06/TBC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TBA CMA  MER/NGB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195 / 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104775</xdr:colOff>
      <xdr:row>80</xdr:row>
      <xdr:rowOff>533400</xdr:rowOff>
    </xdr:from>
    <xdr:to>
      <xdr:col>25</xdr:col>
      <xdr:colOff>471772</xdr:colOff>
      <xdr:row>82</xdr:row>
      <xdr:rowOff>254661</xdr:rowOff>
    </xdr:to>
    <xdr:sp>
      <xdr:nvSpPr>
        <xdr:cNvPr id="19999" name="TextBox 402"/>
        <xdr:cNvSpPr txBox="1"/>
      </xdr:nvSpPr>
      <xdr:spPr>
        <a:xfrm flipH="1">
          <a:off x="23068915" y="59403615"/>
          <a:ext cx="2521585" cy="124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254M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30</xdr:col>
      <xdr:colOff>838200</xdr:colOff>
      <xdr:row>96</xdr:row>
      <xdr:rowOff>76200</xdr:rowOff>
    </xdr:from>
    <xdr:to>
      <xdr:col>44</xdr:col>
      <xdr:colOff>209547</xdr:colOff>
      <xdr:row>112</xdr:row>
      <xdr:rowOff>457200</xdr:rowOff>
    </xdr:to>
    <xdr:sp>
      <xdr:nvSpPr>
        <xdr:cNvPr id="20024" name="Freeform 118"/>
        <xdr:cNvSpPr/>
      </xdr:nvSpPr>
      <xdr:spPr>
        <a:xfrm>
          <a:off x="31345505" y="71138415"/>
          <a:ext cx="14457045" cy="125730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30</xdr:col>
      <xdr:colOff>990600</xdr:colOff>
      <xdr:row>96</xdr:row>
      <xdr:rowOff>245137</xdr:rowOff>
    </xdr:from>
    <xdr:to>
      <xdr:col>32</xdr:col>
      <xdr:colOff>990600</xdr:colOff>
      <xdr:row>98</xdr:row>
      <xdr:rowOff>66674</xdr:rowOff>
    </xdr:to>
    <xdr:sp>
      <xdr:nvSpPr>
        <xdr:cNvPr id="20026" name="TextBox 401"/>
        <xdr:cNvSpPr txBox="1"/>
      </xdr:nvSpPr>
      <xdr:spPr>
        <a:xfrm flipH="1">
          <a:off x="31497905" y="71307325"/>
          <a:ext cx="2155190" cy="1344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443M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31</xdr:col>
      <xdr:colOff>809658</xdr:colOff>
      <xdr:row>100</xdr:row>
      <xdr:rowOff>228600</xdr:rowOff>
    </xdr:from>
    <xdr:to>
      <xdr:col>42</xdr:col>
      <xdr:colOff>808925</xdr:colOff>
      <xdr:row>107</xdr:row>
      <xdr:rowOff>333374</xdr:rowOff>
    </xdr:to>
    <xdr:sp>
      <xdr:nvSpPr>
        <xdr:cNvPr id="20334" name="TextBox 400"/>
        <xdr:cNvSpPr txBox="1"/>
      </xdr:nvSpPr>
      <xdr:spPr>
        <a:xfrm flipH="1">
          <a:off x="32394525" y="74338815"/>
          <a:ext cx="11852275" cy="54381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NABUCCO 0PEH2E1MA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334M/43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06/0300 ETB 06/0500 ETD 07/1300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2500 CMA  SOK/DQM 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1000 / LOAD 1000 DRAFT: TBC 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1019175</xdr:colOff>
      <xdr:row>96</xdr:row>
      <xdr:rowOff>228600</xdr:rowOff>
    </xdr:from>
    <xdr:to>
      <xdr:col>44</xdr:col>
      <xdr:colOff>319372</xdr:colOff>
      <xdr:row>97</xdr:row>
      <xdr:rowOff>711861</xdr:rowOff>
    </xdr:to>
    <xdr:sp>
      <xdr:nvSpPr>
        <xdr:cNvPr id="20025" name="TextBox 402"/>
        <xdr:cNvSpPr txBox="1"/>
      </xdr:nvSpPr>
      <xdr:spPr>
        <a:xfrm flipH="1">
          <a:off x="43380025" y="71290815"/>
          <a:ext cx="2532380" cy="124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777M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50</xdr:col>
      <xdr:colOff>1028695</xdr:colOff>
      <xdr:row>75</xdr:row>
      <xdr:rowOff>685800</xdr:rowOff>
    </xdr:from>
    <xdr:to>
      <xdr:col>64</xdr:col>
      <xdr:colOff>419092</xdr:colOff>
      <xdr:row>88</xdr:row>
      <xdr:rowOff>723900</xdr:rowOff>
    </xdr:to>
    <xdr:sp>
      <xdr:nvSpPr>
        <xdr:cNvPr id="5088" name="Freeform 118"/>
        <xdr:cNvSpPr/>
      </xdr:nvSpPr>
      <xdr:spPr>
        <a:xfrm flipH="1">
          <a:off x="53087270" y="55746015"/>
          <a:ext cx="14476730" cy="99441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1028700</xdr:colOff>
      <xdr:row>75</xdr:row>
      <xdr:rowOff>664237</xdr:rowOff>
    </xdr:from>
    <xdr:to>
      <xdr:col>52</xdr:col>
      <xdr:colOff>1028700</xdr:colOff>
      <xdr:row>77</xdr:row>
      <xdr:rowOff>485774</xdr:rowOff>
    </xdr:to>
    <xdr:sp>
      <xdr:nvSpPr>
        <xdr:cNvPr id="16520" name="TextBox 401"/>
        <xdr:cNvSpPr txBox="1"/>
      </xdr:nvSpPr>
      <xdr:spPr>
        <a:xfrm>
          <a:off x="53087905" y="55724425"/>
          <a:ext cx="2155190" cy="1344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52</xdr:col>
      <xdr:colOff>161958</xdr:colOff>
      <xdr:row>79</xdr:row>
      <xdr:rowOff>419100</xdr:rowOff>
    </xdr:from>
    <xdr:to>
      <xdr:col>63</xdr:col>
      <xdr:colOff>161225</xdr:colOff>
      <xdr:row>87</xdr:row>
      <xdr:rowOff>266700</xdr:rowOff>
    </xdr:to>
    <xdr:sp>
      <xdr:nvSpPr>
        <xdr:cNvPr id="20019" name="TextBox 400"/>
        <xdr:cNvSpPr txBox="1"/>
      </xdr:nvSpPr>
      <xdr:spPr>
        <a:xfrm>
          <a:off x="54376320" y="58527315"/>
          <a:ext cx="11852275" cy="5943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PELLEAS 0MXP7W1MA 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(MEDEX-E)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350M/42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04/0700 ETB 04/1200 ETD 05/1400 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2400 CMA  BEY/PSD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1129 / LOAD 1200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LINER REQUEST TO  BERTHED PORT SIDE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62</xdr:col>
      <xdr:colOff>257175</xdr:colOff>
      <xdr:row>75</xdr:row>
      <xdr:rowOff>495300</xdr:rowOff>
    </xdr:from>
    <xdr:to>
      <xdr:col>64</xdr:col>
      <xdr:colOff>624172</xdr:colOff>
      <xdr:row>77</xdr:row>
      <xdr:rowOff>216561</xdr:rowOff>
    </xdr:to>
    <xdr:sp>
      <xdr:nvSpPr>
        <xdr:cNvPr id="16518" name="TextBox 402"/>
        <xdr:cNvSpPr txBox="1"/>
      </xdr:nvSpPr>
      <xdr:spPr>
        <a:xfrm>
          <a:off x="65247520" y="55555515"/>
          <a:ext cx="2521585" cy="124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80M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50</xdr:col>
      <xdr:colOff>762000</xdr:colOff>
      <xdr:row>89</xdr:row>
      <xdr:rowOff>752476</xdr:rowOff>
    </xdr:from>
    <xdr:to>
      <xdr:col>65</xdr:col>
      <xdr:colOff>495300</xdr:colOff>
      <xdr:row>111</xdr:row>
      <xdr:rowOff>723900</xdr:rowOff>
    </xdr:to>
    <xdr:sp>
      <xdr:nvSpPr>
        <xdr:cNvPr id="16474" name="Freeform 118"/>
        <xdr:cNvSpPr/>
      </xdr:nvSpPr>
      <xdr:spPr>
        <a:xfrm flipH="1">
          <a:off x="52821205" y="66480690"/>
          <a:ext cx="15897225" cy="167354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50</xdr:col>
      <xdr:colOff>838200</xdr:colOff>
      <xdr:row>89</xdr:row>
      <xdr:rowOff>723900</xdr:rowOff>
    </xdr:from>
    <xdr:to>
      <xdr:col>54</xdr:col>
      <xdr:colOff>206076</xdr:colOff>
      <xdr:row>92</xdr:row>
      <xdr:rowOff>511731</xdr:rowOff>
    </xdr:to>
    <xdr:sp>
      <xdr:nvSpPr>
        <xdr:cNvPr id="13666" name="TextBox 401"/>
        <xdr:cNvSpPr txBox="1"/>
      </xdr:nvSpPr>
      <xdr:spPr>
        <a:xfrm flipH="1">
          <a:off x="52897405" y="66452115"/>
          <a:ext cx="3677920" cy="20732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52</xdr:col>
      <xdr:colOff>819187</xdr:colOff>
      <xdr:row>92</xdr:row>
      <xdr:rowOff>495300</xdr:rowOff>
    </xdr:from>
    <xdr:to>
      <xdr:col>63</xdr:col>
      <xdr:colOff>818454</xdr:colOff>
      <xdr:row>106</xdr:row>
      <xdr:rowOff>59840</xdr:rowOff>
    </xdr:to>
    <xdr:sp>
      <xdr:nvSpPr>
        <xdr:cNvPr id="16475" name="TextBox 400"/>
        <xdr:cNvSpPr txBox="1"/>
      </xdr:nvSpPr>
      <xdr:spPr>
        <a:xfrm flipH="1">
          <a:off x="55033545" y="68509515"/>
          <a:ext cx="11852275" cy="102323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CASSIOPEIA 0RDOPE1MA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(RES2-WB)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364M/46M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05/0600 ETB 05/1600 ETD 07/1000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4000 CMA  JIB/SOK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1000/ LOAD 3000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TBA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116912</xdr:colOff>
      <xdr:row>90</xdr:row>
      <xdr:rowOff>583539</xdr:rowOff>
    </xdr:from>
    <xdr:to>
      <xdr:col>65</xdr:col>
      <xdr:colOff>128872</xdr:colOff>
      <xdr:row>91</xdr:row>
      <xdr:rowOff>549789</xdr:rowOff>
    </xdr:to>
    <xdr:sp>
      <xdr:nvSpPr>
        <xdr:cNvPr id="16472" name="TextBox 402"/>
        <xdr:cNvSpPr txBox="1"/>
      </xdr:nvSpPr>
      <xdr:spPr>
        <a:xfrm flipH="1">
          <a:off x="66184780" y="67073145"/>
          <a:ext cx="2166620" cy="72834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66M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16</xdr:col>
      <xdr:colOff>342900</xdr:colOff>
      <xdr:row>100</xdr:row>
      <xdr:rowOff>38100</xdr:rowOff>
    </xdr:from>
    <xdr:to>
      <xdr:col>24</xdr:col>
      <xdr:colOff>170113</xdr:colOff>
      <xdr:row>120</xdr:row>
      <xdr:rowOff>152400</xdr:rowOff>
    </xdr:to>
    <xdr:sp>
      <xdr:nvSpPr>
        <xdr:cNvPr id="16512" name="Freeform 118"/>
        <xdr:cNvSpPr/>
      </xdr:nvSpPr>
      <xdr:spPr>
        <a:xfrm>
          <a:off x="15704820" y="74148315"/>
          <a:ext cx="8506460" cy="153543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304802</xdr:colOff>
      <xdr:row>101</xdr:row>
      <xdr:rowOff>445965</xdr:rowOff>
    </xdr:from>
    <xdr:to>
      <xdr:col>23</xdr:col>
      <xdr:colOff>628648</xdr:colOff>
      <xdr:row>116</xdr:row>
      <xdr:rowOff>266700</xdr:rowOff>
    </xdr:to>
    <xdr:sp>
      <xdr:nvSpPr>
        <xdr:cNvPr id="19387" name="TextBox 88"/>
        <xdr:cNvSpPr txBox="1"/>
      </xdr:nvSpPr>
      <xdr:spPr>
        <a:xfrm flipH="1">
          <a:off x="15666720" y="75317985"/>
          <a:ext cx="7925435" cy="1125093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TRANSMAR LEGACY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18624 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(RES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204M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36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06/1000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06/1200</a:t>
          </a:r>
          <a:endParaRPr lang="en-US" sz="3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08/TBA MOVES TBA AET ADA/ADA </a:t>
          </a:r>
          <a:r>
            <a:rPr lang="en-US" sz="36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  <a:endParaRPr lang="en-US" sz="3600" b="1" baseline="0">
            <a:solidFill>
              <a:srgbClr val="9933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TBA / LOAD 900</a:t>
          </a:r>
          <a:endParaRPr kumimoji="0" lang="en-US" sz="36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228602</xdr:colOff>
      <xdr:row>101</xdr:row>
      <xdr:rowOff>26866</xdr:rowOff>
    </xdr:from>
    <xdr:to>
      <xdr:col>23</xdr:col>
      <xdr:colOff>1028702</xdr:colOff>
      <xdr:row>102</xdr:row>
      <xdr:rowOff>169233</xdr:rowOff>
    </xdr:to>
    <xdr:sp>
      <xdr:nvSpPr>
        <xdr:cNvPr id="16514" name="TextBox 90"/>
        <xdr:cNvSpPr txBox="1"/>
      </xdr:nvSpPr>
      <xdr:spPr>
        <a:xfrm flipH="1">
          <a:off x="22115145" y="74898885"/>
          <a:ext cx="1877695" cy="90424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265M</a:t>
          </a:r>
          <a:endParaRPr lang="en-US" sz="40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16</xdr:col>
      <xdr:colOff>573336</xdr:colOff>
      <xdr:row>100</xdr:row>
      <xdr:rowOff>133351</xdr:rowOff>
    </xdr:from>
    <xdr:to>
      <xdr:col>19</xdr:col>
      <xdr:colOff>-1</xdr:colOff>
      <xdr:row>103</xdr:row>
      <xdr:rowOff>141166</xdr:rowOff>
    </xdr:to>
    <xdr:sp>
      <xdr:nvSpPr>
        <xdr:cNvPr id="16515" name="TextBox 90"/>
        <xdr:cNvSpPr txBox="1"/>
      </xdr:nvSpPr>
      <xdr:spPr>
        <a:xfrm flipH="1">
          <a:off x="15934690" y="74243565"/>
          <a:ext cx="2718435" cy="22936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100M</a:t>
          </a:r>
          <a:endParaRPr lang="en-US" sz="40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34</xdr:col>
      <xdr:colOff>190500</xdr:colOff>
      <xdr:row>113</xdr:row>
      <xdr:rowOff>76199</xdr:rowOff>
    </xdr:from>
    <xdr:to>
      <xdr:col>43</xdr:col>
      <xdr:colOff>1028740</xdr:colOff>
      <xdr:row>130</xdr:row>
      <xdr:rowOff>0</xdr:rowOff>
    </xdr:to>
    <xdr:sp>
      <xdr:nvSpPr>
        <xdr:cNvPr id="20049" name="Freeform 118"/>
        <xdr:cNvSpPr/>
      </xdr:nvSpPr>
      <xdr:spPr>
        <a:xfrm>
          <a:off x="35008185" y="84091780"/>
          <a:ext cx="10536555" cy="1287843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914400</xdr:colOff>
      <xdr:row>113</xdr:row>
      <xdr:rowOff>647700</xdr:rowOff>
    </xdr:from>
    <xdr:to>
      <xdr:col>36</xdr:col>
      <xdr:colOff>152400</xdr:colOff>
      <xdr:row>114</xdr:row>
      <xdr:rowOff>707828</xdr:rowOff>
    </xdr:to>
    <xdr:sp>
      <xdr:nvSpPr>
        <xdr:cNvPr id="20047" name="TextBox 401"/>
        <xdr:cNvSpPr txBox="1"/>
      </xdr:nvSpPr>
      <xdr:spPr>
        <a:xfrm flipH="1">
          <a:off x="34654490" y="84663915"/>
          <a:ext cx="2470785" cy="82169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561M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33</xdr:col>
      <xdr:colOff>1066797</xdr:colOff>
      <xdr:row>117</xdr:row>
      <xdr:rowOff>381000</xdr:rowOff>
    </xdr:from>
    <xdr:to>
      <xdr:col>43</xdr:col>
      <xdr:colOff>990599</xdr:colOff>
      <xdr:row>125</xdr:row>
      <xdr:rowOff>609600</xdr:rowOff>
    </xdr:to>
    <xdr:sp>
      <xdr:nvSpPr>
        <xdr:cNvPr id="20371" name="TextBox 400"/>
        <xdr:cNvSpPr txBox="1"/>
      </xdr:nvSpPr>
      <xdr:spPr>
        <a:xfrm flipH="1">
          <a:off x="34806255" y="87445215"/>
          <a:ext cx="10699750" cy="6324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MSC RADIANT III OW631A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(WMED-RS)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209M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07/0800 ETB 07/1400 ETD 09/TBA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TBA MSC BCN/KAP 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TBA/ 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RF:TBA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TBA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41</xdr:col>
      <xdr:colOff>783662</xdr:colOff>
      <xdr:row>113</xdr:row>
      <xdr:rowOff>250163</xdr:rowOff>
    </xdr:from>
    <xdr:to>
      <xdr:col>43</xdr:col>
      <xdr:colOff>795622</xdr:colOff>
      <xdr:row>114</xdr:row>
      <xdr:rowOff>400049</xdr:rowOff>
    </xdr:to>
    <xdr:sp>
      <xdr:nvSpPr>
        <xdr:cNvPr id="20046" name="TextBox 402"/>
        <xdr:cNvSpPr txBox="1"/>
      </xdr:nvSpPr>
      <xdr:spPr>
        <a:xfrm flipH="1">
          <a:off x="43144440" y="84265770"/>
          <a:ext cx="2166620" cy="9118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770M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50</xdr:col>
      <xdr:colOff>990640</xdr:colOff>
      <xdr:row>112</xdr:row>
      <xdr:rowOff>571499</xdr:rowOff>
    </xdr:from>
    <xdr:to>
      <xdr:col>65</xdr:col>
      <xdr:colOff>342940</xdr:colOff>
      <xdr:row>130</xdr:row>
      <xdr:rowOff>0</xdr:rowOff>
    </xdr:to>
    <xdr:sp>
      <xdr:nvSpPr>
        <xdr:cNvPr id="20358" name="Freeform 118"/>
        <xdr:cNvSpPr/>
      </xdr:nvSpPr>
      <xdr:spPr>
        <a:xfrm flipH="1">
          <a:off x="53049805" y="83825080"/>
          <a:ext cx="15516225" cy="1314513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76200</xdr:colOff>
      <xdr:row>113</xdr:row>
      <xdr:rowOff>342900</xdr:rowOff>
    </xdr:from>
    <xdr:to>
      <xdr:col>54</xdr:col>
      <xdr:colOff>381000</xdr:colOff>
      <xdr:row>114</xdr:row>
      <xdr:rowOff>403028</xdr:rowOff>
    </xdr:to>
    <xdr:sp>
      <xdr:nvSpPr>
        <xdr:cNvPr id="20346" name="TextBox 401"/>
        <xdr:cNvSpPr txBox="1"/>
      </xdr:nvSpPr>
      <xdr:spPr>
        <a:xfrm flipH="1">
          <a:off x="54290595" y="84359115"/>
          <a:ext cx="2459990" cy="82169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52</xdr:col>
      <xdr:colOff>428652</xdr:colOff>
      <xdr:row>118</xdr:row>
      <xdr:rowOff>228600</xdr:rowOff>
    </xdr:from>
    <xdr:to>
      <xdr:col>64</xdr:col>
      <xdr:colOff>571497</xdr:colOff>
      <xdr:row>125</xdr:row>
      <xdr:rowOff>304799</xdr:rowOff>
    </xdr:to>
    <xdr:sp>
      <xdr:nvSpPr>
        <xdr:cNvPr id="20365" name="TextBox 400"/>
        <xdr:cNvSpPr txBox="1"/>
      </xdr:nvSpPr>
      <xdr:spPr>
        <a:xfrm flipH="1">
          <a:off x="54643020" y="88054815"/>
          <a:ext cx="13073380" cy="54095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MSC IERANTO IS634R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368M /51M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06/1500 ETB 07/1200 ETD 09/TBA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TBA MSC KAP/NSA  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TBA/ 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RF:130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TBA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63</xdr:col>
      <xdr:colOff>97862</xdr:colOff>
      <xdr:row>112</xdr:row>
      <xdr:rowOff>745463</xdr:rowOff>
    </xdr:from>
    <xdr:to>
      <xdr:col>65</xdr:col>
      <xdr:colOff>109822</xdr:colOff>
      <xdr:row>114</xdr:row>
      <xdr:rowOff>133349</xdr:rowOff>
    </xdr:to>
    <xdr:sp>
      <xdr:nvSpPr>
        <xdr:cNvPr id="20347" name="TextBox 402"/>
        <xdr:cNvSpPr txBox="1"/>
      </xdr:nvSpPr>
      <xdr:spPr>
        <a:xfrm flipH="1">
          <a:off x="66165730" y="83999070"/>
          <a:ext cx="2166620" cy="9118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62M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16</xdr:col>
      <xdr:colOff>36265</xdr:colOff>
      <xdr:row>46</xdr:row>
      <xdr:rowOff>457200</xdr:rowOff>
    </xdr:from>
    <xdr:to>
      <xdr:col>23</xdr:col>
      <xdr:colOff>930278</xdr:colOff>
      <xdr:row>61</xdr:row>
      <xdr:rowOff>228600</xdr:rowOff>
    </xdr:to>
    <xdr:sp>
      <xdr:nvSpPr>
        <xdr:cNvPr id="19786" name="Freeform 118"/>
        <xdr:cNvSpPr/>
      </xdr:nvSpPr>
      <xdr:spPr>
        <a:xfrm>
          <a:off x="15398115" y="33419415"/>
          <a:ext cx="8496300" cy="112014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2">
            <a:lumMod val="7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226767</xdr:colOff>
      <xdr:row>48</xdr:row>
      <xdr:rowOff>426916</xdr:rowOff>
    </xdr:from>
    <xdr:to>
      <xdr:col>23</xdr:col>
      <xdr:colOff>550613</xdr:colOff>
      <xdr:row>55</xdr:row>
      <xdr:rowOff>704850</xdr:rowOff>
    </xdr:to>
    <xdr:sp>
      <xdr:nvSpPr>
        <xdr:cNvPr id="19251" name="TextBox 88"/>
        <xdr:cNvSpPr txBox="1"/>
      </xdr:nvSpPr>
      <xdr:spPr>
        <a:xfrm flipH="1">
          <a:off x="15588615" y="34912935"/>
          <a:ext cx="7926070" cy="561213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DEDE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KORKUT 003 (ADHOC)</a:t>
          </a:r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36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210M</a:t>
          </a: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36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26/1900 </a:t>
          </a: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02/0100</a:t>
          </a:r>
          <a:endParaRPr lang="en-US" sz="3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03/0600 MOVES 1038 ZSL </a:t>
          </a:r>
          <a:endParaRPr lang="en-US" sz="3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DJI / TBC </a:t>
          </a:r>
          <a:endParaRPr lang="en-US" sz="36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36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36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  <a:endParaRPr lang="en-US" sz="3600" b="1" baseline="0">
            <a:solidFill>
              <a:srgbClr val="9933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36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DIS 1038 / LOAD NIL</a:t>
          </a:r>
          <a:endParaRPr kumimoji="0" lang="en-US" sz="36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36267</xdr:colOff>
      <xdr:row>46</xdr:row>
      <xdr:rowOff>741241</xdr:rowOff>
    </xdr:from>
    <xdr:to>
      <xdr:col>23</xdr:col>
      <xdr:colOff>836367</xdr:colOff>
      <xdr:row>47</xdr:row>
      <xdr:rowOff>324156</xdr:rowOff>
    </xdr:to>
    <xdr:sp>
      <xdr:nvSpPr>
        <xdr:cNvPr id="19129" name="TextBox 90"/>
        <xdr:cNvSpPr txBox="1"/>
      </xdr:nvSpPr>
      <xdr:spPr>
        <a:xfrm flipH="1">
          <a:off x="21922740" y="33703260"/>
          <a:ext cx="1877695" cy="34480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310M</a:t>
          </a:r>
          <a:endParaRPr lang="en-US" sz="40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15</xdr:col>
      <xdr:colOff>1000125</xdr:colOff>
      <xdr:row>46</xdr:row>
      <xdr:rowOff>638176</xdr:rowOff>
    </xdr:from>
    <xdr:to>
      <xdr:col>18</xdr:col>
      <xdr:colOff>426788</xdr:colOff>
      <xdr:row>47</xdr:row>
      <xdr:rowOff>751011</xdr:rowOff>
    </xdr:to>
    <xdr:sp>
      <xdr:nvSpPr>
        <xdr:cNvPr id="19130" name="TextBox 90"/>
        <xdr:cNvSpPr txBox="1"/>
      </xdr:nvSpPr>
      <xdr:spPr>
        <a:xfrm flipH="1">
          <a:off x="15284450" y="33600390"/>
          <a:ext cx="2718435" cy="8743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>
              <a:solidFill>
                <a:schemeClr val="tx1"/>
              </a:solidFill>
              <a:latin typeface="+mn-lt"/>
              <a:ea typeface="+mn-lt"/>
              <a:cs typeface="+mn-lt"/>
            </a:rPr>
            <a:t>100M</a:t>
          </a:r>
          <a:endParaRPr lang="en-US" sz="4000" b="1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>
      <xdr:nvSpPr>
        <xdr:cNvPr id="42" name="TextBox 90"/>
        <xdr:cNvSpPr txBox="1"/>
      </xdr:nvSpPr>
      <xdr:spPr>
        <a:xfrm>
          <a:off x="114667665" y="201672190"/>
          <a:ext cx="5726430" cy="251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>
      <xdr:nvSpPr>
        <xdr:cNvPr id="57" name="TextBox 401"/>
        <xdr:cNvSpPr txBox="1"/>
      </xdr:nvSpPr>
      <xdr:spPr>
        <a:xfrm flipH="1">
          <a:off x="84841080" y="219573475"/>
          <a:ext cx="6729730" cy="1747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>
      <xdr:nvSpPr>
        <xdr:cNvPr id="1350" name="TextBox 402"/>
        <xdr:cNvSpPr txBox="1"/>
      </xdr:nvSpPr>
      <xdr:spPr>
        <a:xfrm flipH="1">
          <a:off x="97379155" y="218208225"/>
          <a:ext cx="2118360" cy="23952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9</xdr:col>
      <xdr:colOff>228148</xdr:colOff>
      <xdr:row>64</xdr:row>
      <xdr:rowOff>0</xdr:rowOff>
    </xdr:from>
    <xdr:to>
      <xdr:col>12</xdr:col>
      <xdr:colOff>933451</xdr:colOff>
      <xdr:row>81</xdr:row>
      <xdr:rowOff>142875</xdr:rowOff>
    </xdr:to>
    <xdr:sp>
      <xdr:nvSpPr>
        <xdr:cNvPr id="6" name="Freeform 165"/>
        <xdr:cNvSpPr/>
      </xdr:nvSpPr>
      <xdr:spPr>
        <a:xfrm>
          <a:off x="22739350" y="38681025"/>
          <a:ext cx="7052945" cy="101822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0</xdr:colOff>
      <xdr:row>68</xdr:row>
      <xdr:rowOff>219076</xdr:rowOff>
    </xdr:from>
    <xdr:to>
      <xdr:col>12</xdr:col>
      <xdr:colOff>742951</xdr:colOff>
      <xdr:row>78</xdr:row>
      <xdr:rowOff>542925</xdr:rowOff>
    </xdr:to>
    <xdr:sp>
      <xdr:nvSpPr>
        <xdr:cNvPr id="61" name="TextBox 84"/>
        <xdr:cNvSpPr txBox="1"/>
      </xdr:nvSpPr>
      <xdr:spPr>
        <a:xfrm>
          <a:off x="22511385" y="41262300"/>
          <a:ext cx="7090410" cy="62293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JI ZHE 2 ZHE22606E 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LOA141M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GB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25/0001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13/22 ETD 16/0200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MOVESTBA JHS ADE/PZU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TBA /LOAD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1142207</xdr:colOff>
      <xdr:row>64</xdr:row>
      <xdr:rowOff>197099</xdr:rowOff>
    </xdr:from>
    <xdr:to>
      <xdr:col>12</xdr:col>
      <xdr:colOff>935660</xdr:colOff>
      <xdr:row>65</xdr:row>
      <xdr:rowOff>523959</xdr:rowOff>
    </xdr:to>
    <xdr:sp>
      <xdr:nvSpPr>
        <xdr:cNvPr id="9" name="TextBox 85"/>
        <xdr:cNvSpPr txBox="1"/>
      </xdr:nvSpPr>
      <xdr:spPr>
        <a:xfrm>
          <a:off x="27884755" y="38877875"/>
          <a:ext cx="1909445" cy="9175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580M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98426</xdr:colOff>
      <xdr:row>64</xdr:row>
      <xdr:rowOff>342900</xdr:rowOff>
    </xdr:from>
    <xdr:to>
      <xdr:col>9</xdr:col>
      <xdr:colOff>1878725</xdr:colOff>
      <xdr:row>66</xdr:row>
      <xdr:rowOff>238621</xdr:rowOff>
    </xdr:to>
    <xdr:sp>
      <xdr:nvSpPr>
        <xdr:cNvPr id="60" name="TextBox 86"/>
        <xdr:cNvSpPr txBox="1"/>
      </xdr:nvSpPr>
      <xdr:spPr>
        <a:xfrm>
          <a:off x="22609810" y="39023925"/>
          <a:ext cx="1779905" cy="10763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152400</xdr:colOff>
      <xdr:row>7</xdr:row>
      <xdr:rowOff>228601</xdr:rowOff>
    </xdr:from>
    <xdr:to>
      <xdr:col>41</xdr:col>
      <xdr:colOff>1600200</xdr:colOff>
      <xdr:row>25</xdr:row>
      <xdr:rowOff>533401</xdr:rowOff>
    </xdr:to>
    <xdr:sp>
      <xdr:nvSpPr>
        <xdr:cNvPr id="8" name="Freeform 118"/>
        <xdr:cNvSpPr/>
      </xdr:nvSpPr>
      <xdr:spPr>
        <a:xfrm>
          <a:off x="82562700" y="5248275"/>
          <a:ext cx="5679440" cy="10934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8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266699</xdr:colOff>
      <xdr:row>11</xdr:row>
      <xdr:rowOff>76201</xdr:rowOff>
    </xdr:from>
    <xdr:to>
      <xdr:col>41</xdr:col>
      <xdr:colOff>1463659</xdr:colOff>
      <xdr:row>21</xdr:row>
      <xdr:rowOff>457200</xdr:rowOff>
    </xdr:to>
    <xdr:sp>
      <xdr:nvSpPr>
        <xdr:cNvPr id="10" name="TextBox 145"/>
        <xdr:cNvSpPr txBox="1"/>
      </xdr:nvSpPr>
      <xdr:spPr>
        <a:xfrm flipH="1">
          <a:off x="82676365" y="7458075"/>
          <a:ext cx="5428615" cy="6286500"/>
        </a:xfrm>
        <a:prstGeom prst="rect">
          <a:avLst/>
        </a:prstGeom>
        <a:solidFill>
          <a:schemeClr val="accent6">
            <a:lumMod val="75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SUNNY LYNN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07(ADHOC)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LOA117M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20/1800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24/0400 ETD 25/TBA MOVES TBA GGS  JIB/HOD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NON-CELLULAR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NIL/LOAD TBA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0</xdr:colOff>
      <xdr:row>7</xdr:row>
      <xdr:rowOff>0</xdr:rowOff>
    </xdr:from>
    <xdr:to>
      <xdr:col>40</xdr:col>
      <xdr:colOff>342900</xdr:colOff>
      <xdr:row>9</xdr:row>
      <xdr:rowOff>550033</xdr:rowOff>
    </xdr:to>
    <xdr:sp>
      <xdr:nvSpPr>
        <xdr:cNvPr id="11" name="TextBox 150"/>
        <xdr:cNvSpPr txBox="1"/>
      </xdr:nvSpPr>
      <xdr:spPr>
        <a:xfrm flipH="1">
          <a:off x="82410300" y="5019675"/>
          <a:ext cx="2458720" cy="17310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3600" b="1">
              <a:latin typeface="+mn-lt"/>
            </a:rPr>
            <a:t>977M</a:t>
          </a:r>
          <a:endParaRPr lang="en-US" sz="3600" b="1">
            <a:latin typeface="+mn-lt"/>
          </a:endParaRPr>
        </a:p>
      </xdr:txBody>
    </xdr:sp>
    <xdr:clientData/>
  </xdr:twoCellAnchor>
  <xdr:twoCellAnchor>
    <xdr:from>
      <xdr:col>40</xdr:col>
      <xdr:colOff>1885952</xdr:colOff>
      <xdr:row>7</xdr:row>
      <xdr:rowOff>76200</xdr:rowOff>
    </xdr:from>
    <xdr:to>
      <xdr:col>41</xdr:col>
      <xdr:colOff>1911874</xdr:colOff>
      <xdr:row>9</xdr:row>
      <xdr:rowOff>457200</xdr:rowOff>
    </xdr:to>
    <xdr:sp>
      <xdr:nvSpPr>
        <xdr:cNvPr id="12" name="TextBox 153"/>
        <xdr:cNvSpPr txBox="1"/>
      </xdr:nvSpPr>
      <xdr:spPr>
        <a:xfrm rot="10800000" flipH="1" flipV="1">
          <a:off x="86412070" y="5095875"/>
          <a:ext cx="2141220" cy="15621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GB" sz="3600" b="1">
              <a:latin typeface="+mn-lt"/>
            </a:rPr>
            <a:t>860M</a:t>
          </a:r>
          <a:endParaRPr lang="en-US" sz="3600" b="1">
            <a:latin typeface="+mn-lt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79</xdr:col>
      <xdr:colOff>76198</xdr:colOff>
      <xdr:row>340</xdr:row>
      <xdr:rowOff>-1</xdr:rowOff>
    </xdr:from>
    <xdr:to>
      <xdr:col>88</xdr:col>
      <xdr:colOff>247649</xdr:colOff>
      <xdr:row>344</xdr:row>
      <xdr:rowOff>152400</xdr:rowOff>
    </xdr:to>
    <xdr:sp>
      <xdr:nvSpPr>
        <xdr:cNvPr id="2" name="TextBox 90"/>
        <xdr:cNvSpPr txBox="1"/>
      </xdr:nvSpPr>
      <xdr:spPr>
        <a:xfrm>
          <a:off x="114667665" y="201672190"/>
          <a:ext cx="5726430" cy="251523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40</xdr:col>
      <xdr:colOff>315323</xdr:colOff>
      <xdr:row>370</xdr:row>
      <xdr:rowOff>184150</xdr:rowOff>
    </xdr:from>
    <xdr:to>
      <xdr:col>43</xdr:col>
      <xdr:colOff>697381</xdr:colOff>
      <xdr:row>373</xdr:row>
      <xdr:rowOff>160434</xdr:rowOff>
    </xdr:to>
    <xdr:sp>
      <xdr:nvSpPr>
        <xdr:cNvPr id="3" name="TextBox 401"/>
        <xdr:cNvSpPr txBox="1"/>
      </xdr:nvSpPr>
      <xdr:spPr>
        <a:xfrm flipH="1">
          <a:off x="84841080" y="219573475"/>
          <a:ext cx="6729730" cy="17475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51</xdr:col>
      <xdr:colOff>69600</xdr:colOff>
      <xdr:row>368</xdr:row>
      <xdr:rowOff>0</xdr:rowOff>
    </xdr:from>
    <xdr:to>
      <xdr:col>54</xdr:col>
      <xdr:colOff>336298</xdr:colOff>
      <xdr:row>372</xdr:row>
      <xdr:rowOff>33115</xdr:rowOff>
    </xdr:to>
    <xdr:sp>
      <xdr:nvSpPr>
        <xdr:cNvPr id="4" name="TextBox 402"/>
        <xdr:cNvSpPr txBox="1"/>
      </xdr:nvSpPr>
      <xdr:spPr>
        <a:xfrm flipH="1">
          <a:off x="97379155" y="218208225"/>
          <a:ext cx="2118360" cy="239522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130M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2</xdr:col>
      <xdr:colOff>1895022</xdr:colOff>
      <xdr:row>3</xdr:row>
      <xdr:rowOff>495300</xdr:rowOff>
    </xdr:from>
    <xdr:to>
      <xdr:col>6</xdr:col>
      <xdr:colOff>1768475</xdr:colOff>
      <xdr:row>18</xdr:row>
      <xdr:rowOff>381000</xdr:rowOff>
    </xdr:to>
    <xdr:sp>
      <xdr:nvSpPr>
        <xdr:cNvPr id="45" name="Freeform 165"/>
        <xdr:cNvSpPr/>
      </xdr:nvSpPr>
      <xdr:spPr>
        <a:xfrm>
          <a:off x="9595485" y="3152775"/>
          <a:ext cx="8336915" cy="87439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1500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1562100</xdr:colOff>
      <xdr:row>7</xdr:row>
      <xdr:rowOff>84818</xdr:rowOff>
    </xdr:from>
    <xdr:to>
      <xdr:col>6</xdr:col>
      <xdr:colOff>1629682</xdr:colOff>
      <xdr:row>19</xdr:row>
      <xdr:rowOff>152400</xdr:rowOff>
    </xdr:to>
    <xdr:sp>
      <xdr:nvSpPr>
        <xdr:cNvPr id="46" name="TextBox 84"/>
        <xdr:cNvSpPr txBox="1"/>
      </xdr:nvSpPr>
      <xdr:spPr>
        <a:xfrm>
          <a:off x="9262745" y="5104130"/>
          <a:ext cx="8530590" cy="715454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MV </a:t>
          </a:r>
          <a:r>
            <a:rPr lang="en-GB" sz="4000" b="1">
              <a:solidFill>
                <a:srgbClr val="000000"/>
              </a:solidFill>
              <a:effectLst/>
              <a:latin typeface="Calibri" panose="020F0502020204030204" pitchFamily="34" charset="0"/>
              <a:ea typeface="Aptos" panose="020B0004020202020204" pitchFamily="34" charset="0"/>
            </a:rPr>
            <a:t>TIGER LIANYUNGANG 2608W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LOA192 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ETA 28/1600 ETB 28/2300 ETD 29/2200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333 SLG JEC/SOK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DIS: 333 /LOAD NIL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OMIT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1618456</xdr:colOff>
      <xdr:row>4</xdr:row>
      <xdr:rowOff>539999</xdr:rowOff>
    </xdr:from>
    <xdr:to>
      <xdr:col>6</xdr:col>
      <xdr:colOff>1373809</xdr:colOff>
      <xdr:row>6</xdr:row>
      <xdr:rowOff>18004</xdr:rowOff>
    </xdr:to>
    <xdr:sp>
      <xdr:nvSpPr>
        <xdr:cNvPr id="47" name="TextBox 85"/>
        <xdr:cNvSpPr txBox="1"/>
      </xdr:nvSpPr>
      <xdr:spPr>
        <a:xfrm>
          <a:off x="15666085" y="3787775"/>
          <a:ext cx="1871345" cy="6591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marL="0" indent="0"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528M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136525</xdr:colOff>
      <xdr:row>4</xdr:row>
      <xdr:rowOff>419100</xdr:rowOff>
    </xdr:from>
    <xdr:to>
      <xdr:col>3</xdr:col>
      <xdr:colOff>1907299</xdr:colOff>
      <xdr:row>6</xdr:row>
      <xdr:rowOff>74322</xdr:rowOff>
    </xdr:to>
    <xdr:sp>
      <xdr:nvSpPr>
        <xdr:cNvPr id="48" name="TextBox 86"/>
        <xdr:cNvSpPr txBox="1"/>
      </xdr:nvSpPr>
      <xdr:spPr>
        <a:xfrm>
          <a:off x="9952990" y="3667125"/>
          <a:ext cx="1770380" cy="83629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720M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114300</xdr:colOff>
      <xdr:row>4</xdr:row>
      <xdr:rowOff>381000</xdr:rowOff>
    </xdr:from>
    <xdr:to>
      <xdr:col>12</xdr:col>
      <xdr:colOff>66675</xdr:colOff>
      <xdr:row>38</xdr:row>
      <xdr:rowOff>342900</xdr:rowOff>
    </xdr:to>
    <xdr:sp>
      <xdr:nvSpPr>
        <xdr:cNvPr id="49" name="Freeform 118"/>
        <xdr:cNvSpPr/>
      </xdr:nvSpPr>
      <xdr:spPr>
        <a:xfrm>
          <a:off x="20509865" y="3629025"/>
          <a:ext cx="8415655" cy="200406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438150</xdr:colOff>
      <xdr:row>9</xdr:row>
      <xdr:rowOff>438856</xdr:rowOff>
    </xdr:from>
    <xdr:to>
      <xdr:col>12</xdr:col>
      <xdr:colOff>66675</xdr:colOff>
      <xdr:row>20</xdr:row>
      <xdr:rowOff>228600</xdr:rowOff>
    </xdr:to>
    <xdr:sp>
      <xdr:nvSpPr>
        <xdr:cNvPr id="50" name="TextBox 88"/>
        <xdr:cNvSpPr txBox="1"/>
      </xdr:nvSpPr>
      <xdr:spPr>
        <a:xfrm>
          <a:off x="20833715" y="6639560"/>
          <a:ext cx="8091805" cy="628586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QING XIANG 6 EMX011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167M</a:t>
          </a: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40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30/0700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31/0900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ETD 02/1400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928  KAS  AQJ/PZU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533 /LOAD 395</a:t>
          </a: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4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 10.20 m</a:t>
          </a:r>
          <a:endParaRPr lang="en-US" sz="44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1882315</xdr:colOff>
      <xdr:row>5</xdr:row>
      <xdr:rowOff>334116</xdr:rowOff>
    </xdr:from>
    <xdr:to>
      <xdr:col>12</xdr:col>
      <xdr:colOff>394305</xdr:colOff>
      <xdr:row>7</xdr:row>
      <xdr:rowOff>117286</xdr:rowOff>
    </xdr:to>
    <xdr:sp>
      <xdr:nvSpPr>
        <xdr:cNvPr id="51" name="TextBox 90"/>
        <xdr:cNvSpPr txBox="1"/>
      </xdr:nvSpPr>
      <xdr:spPr>
        <a:xfrm>
          <a:off x="26509345" y="4172585"/>
          <a:ext cx="2743200" cy="963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8</xdr:col>
      <xdr:colOff>180975</xdr:colOff>
      <xdr:row>5</xdr:row>
      <xdr:rowOff>495300</xdr:rowOff>
    </xdr:from>
    <xdr:to>
      <xdr:col>9</xdr:col>
      <xdr:colOff>1370025</xdr:colOff>
      <xdr:row>7</xdr:row>
      <xdr:rowOff>257619</xdr:rowOff>
    </xdr:to>
    <xdr:sp>
      <xdr:nvSpPr>
        <xdr:cNvPr id="52" name="TextBox 90"/>
        <xdr:cNvSpPr txBox="1"/>
      </xdr:nvSpPr>
      <xdr:spPr>
        <a:xfrm>
          <a:off x="20576540" y="4333875"/>
          <a:ext cx="3304540" cy="9429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1027M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12</xdr:col>
      <xdr:colOff>1887311</xdr:colOff>
      <xdr:row>4</xdr:row>
      <xdr:rowOff>571500</xdr:rowOff>
    </xdr:from>
    <xdr:to>
      <xdr:col>16</xdr:col>
      <xdr:colOff>2000572</xdr:colOff>
      <xdr:row>39</xdr:row>
      <xdr:rowOff>485775</xdr:rowOff>
    </xdr:to>
    <xdr:sp>
      <xdr:nvSpPr>
        <xdr:cNvPr id="5" name="Freeform 118"/>
        <xdr:cNvSpPr/>
      </xdr:nvSpPr>
      <xdr:spPr>
        <a:xfrm>
          <a:off x="30746065" y="3819525"/>
          <a:ext cx="8576310" cy="2058352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153763</xdr:colOff>
      <xdr:row>12</xdr:row>
      <xdr:rowOff>419101</xdr:rowOff>
    </xdr:from>
    <xdr:to>
      <xdr:col>16</xdr:col>
      <xdr:colOff>1415063</xdr:colOff>
      <xdr:row>20</xdr:row>
      <xdr:rowOff>533401</xdr:rowOff>
    </xdr:to>
    <xdr:sp>
      <xdr:nvSpPr>
        <xdr:cNvPr id="6" name="TextBox 88"/>
        <xdr:cNvSpPr txBox="1"/>
      </xdr:nvSpPr>
      <xdr:spPr>
        <a:xfrm>
          <a:off x="31128335" y="8391525"/>
          <a:ext cx="7608570" cy="48387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KOTA NILAM KNLM0234S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(IR5)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LOA180M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02/0200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06/0700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08/1400 MOVES 1276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 JIB/PZU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650 / LOAD 626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9933FF"/>
              </a:solidFill>
              <a:effectLst/>
              <a:latin typeface="+mn-lt"/>
              <a:ea typeface="+mn-ea"/>
              <a:cs typeface="+mn-cs"/>
            </a:rPr>
            <a:t>SHIP CRANES</a:t>
          </a:r>
          <a:endParaRPr lang="en-US" sz="4000" b="1" baseline="0">
            <a:solidFill>
              <a:srgbClr val="9933FF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1292020</xdr:colOff>
      <xdr:row>6</xdr:row>
      <xdr:rowOff>95873</xdr:rowOff>
    </xdr:from>
    <xdr:to>
      <xdr:col>16</xdr:col>
      <xdr:colOff>1399013</xdr:colOff>
      <xdr:row>7</xdr:row>
      <xdr:rowOff>204839</xdr:rowOff>
    </xdr:to>
    <xdr:sp>
      <xdr:nvSpPr>
        <xdr:cNvPr id="7" name="TextBox 90"/>
        <xdr:cNvSpPr txBox="1"/>
      </xdr:nvSpPr>
      <xdr:spPr>
        <a:xfrm>
          <a:off x="36497895" y="4524375"/>
          <a:ext cx="2223135" cy="69977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12</xdr:col>
      <xdr:colOff>1600200</xdr:colOff>
      <xdr:row>6</xdr:row>
      <xdr:rowOff>9957</xdr:rowOff>
    </xdr:from>
    <xdr:to>
      <xdr:col>13</xdr:col>
      <xdr:colOff>1669629</xdr:colOff>
      <xdr:row>7</xdr:row>
      <xdr:rowOff>128910</xdr:rowOff>
    </xdr:to>
    <xdr:sp>
      <xdr:nvSpPr>
        <xdr:cNvPr id="8" name="TextBox 90"/>
        <xdr:cNvSpPr txBox="1"/>
      </xdr:nvSpPr>
      <xdr:spPr>
        <a:xfrm>
          <a:off x="30459045" y="4438650"/>
          <a:ext cx="2185035" cy="7099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215M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14</xdr:col>
      <xdr:colOff>1639661</xdr:colOff>
      <xdr:row>6</xdr:row>
      <xdr:rowOff>381001</xdr:rowOff>
    </xdr:from>
    <xdr:to>
      <xdr:col>15</xdr:col>
      <xdr:colOff>163286</xdr:colOff>
      <xdr:row>7</xdr:row>
      <xdr:rowOff>327026</xdr:rowOff>
    </xdr:to>
    <xdr:sp>
      <xdr:nvSpPr>
        <xdr:cNvPr id="9" name="Star: 5 Points 8465"/>
        <xdr:cNvSpPr/>
      </xdr:nvSpPr>
      <xdr:spPr>
        <a:xfrm>
          <a:off x="34730055" y="4810125"/>
          <a:ext cx="639445" cy="5365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55787</xdr:colOff>
      <xdr:row>9</xdr:row>
      <xdr:rowOff>0</xdr:rowOff>
    </xdr:from>
    <xdr:to>
      <xdr:col>24</xdr:col>
      <xdr:colOff>1170536</xdr:colOff>
      <xdr:row>44</xdr:row>
      <xdr:rowOff>542925</xdr:rowOff>
    </xdr:to>
    <xdr:sp>
      <xdr:nvSpPr>
        <xdr:cNvPr id="10" name="Freeform 118"/>
        <xdr:cNvSpPr/>
      </xdr:nvSpPr>
      <xdr:spPr>
        <a:xfrm>
          <a:off x="44077255" y="6200775"/>
          <a:ext cx="7766050" cy="212121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0</xdr:colOff>
      <xdr:row>16</xdr:row>
      <xdr:rowOff>114300</xdr:rowOff>
    </xdr:from>
    <xdr:to>
      <xdr:col>24</xdr:col>
      <xdr:colOff>1051750</xdr:colOff>
      <xdr:row>26</xdr:row>
      <xdr:rowOff>351812</xdr:rowOff>
    </xdr:to>
    <xdr:sp>
      <xdr:nvSpPr>
        <xdr:cNvPr id="11" name="TextBox 88"/>
        <xdr:cNvSpPr txBox="1"/>
      </xdr:nvSpPr>
      <xdr:spPr>
        <a:xfrm>
          <a:off x="44022010" y="10448925"/>
          <a:ext cx="7702550" cy="614299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JEDDAH IR2621E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24/0800 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24/1900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27/0400  MOVES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1949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NSA/MUN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937/LOAD 1012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1147782</xdr:colOff>
      <xdr:row>9</xdr:row>
      <xdr:rowOff>248216</xdr:rowOff>
    </xdr:from>
    <xdr:to>
      <xdr:col>24</xdr:col>
      <xdr:colOff>969025</xdr:colOff>
      <xdr:row>10</xdr:row>
      <xdr:rowOff>190500</xdr:rowOff>
    </xdr:to>
    <xdr:sp>
      <xdr:nvSpPr>
        <xdr:cNvPr id="12" name="TextBox 90"/>
        <xdr:cNvSpPr txBox="1"/>
      </xdr:nvSpPr>
      <xdr:spPr>
        <a:xfrm>
          <a:off x="49401095" y="6448425"/>
          <a:ext cx="2240915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20</xdr:col>
      <xdr:colOff>379637</xdr:colOff>
      <xdr:row>9</xdr:row>
      <xdr:rowOff>361465</xdr:rowOff>
    </xdr:from>
    <xdr:to>
      <xdr:col>21</xdr:col>
      <xdr:colOff>477641</xdr:colOff>
      <xdr:row>9</xdr:row>
      <xdr:rowOff>589304</xdr:rowOff>
    </xdr:to>
    <xdr:sp>
      <xdr:nvSpPr>
        <xdr:cNvPr id="13" name="TextBox 90"/>
        <xdr:cNvSpPr txBox="1"/>
      </xdr:nvSpPr>
      <xdr:spPr>
        <a:xfrm>
          <a:off x="44401105" y="6562090"/>
          <a:ext cx="2214245" cy="2279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207M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25</xdr:col>
      <xdr:colOff>323850</xdr:colOff>
      <xdr:row>19</xdr:row>
      <xdr:rowOff>228600</xdr:rowOff>
    </xdr:from>
    <xdr:to>
      <xdr:col>28</xdr:col>
      <xdr:colOff>1733874</xdr:colOff>
      <xdr:row>48</xdr:row>
      <xdr:rowOff>342900</xdr:rowOff>
    </xdr:to>
    <xdr:sp>
      <xdr:nvSpPr>
        <xdr:cNvPr id="14" name="Freeform 118"/>
        <xdr:cNvSpPr/>
      </xdr:nvSpPr>
      <xdr:spPr>
        <a:xfrm>
          <a:off x="53112670" y="12334875"/>
          <a:ext cx="7757160" cy="1724025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191863</xdr:colOff>
      <xdr:row>25</xdr:row>
      <xdr:rowOff>266699</xdr:rowOff>
    </xdr:from>
    <xdr:to>
      <xdr:col>28</xdr:col>
      <xdr:colOff>1548413</xdr:colOff>
      <xdr:row>35</xdr:row>
      <xdr:rowOff>380999</xdr:rowOff>
    </xdr:to>
    <xdr:sp>
      <xdr:nvSpPr>
        <xdr:cNvPr id="15" name="TextBox 88"/>
        <xdr:cNvSpPr txBox="1"/>
      </xdr:nvSpPr>
      <xdr:spPr>
        <a:xfrm>
          <a:off x="52980590" y="15915640"/>
          <a:ext cx="7703820" cy="60198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JUBAIL RS2627W (RSX)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LOA148M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03/2000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04/TBA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06/TBA MOVES 903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FLK NSA/YNB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DIS414 / LOAD 489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1415845</xdr:colOff>
      <xdr:row>19</xdr:row>
      <xdr:rowOff>591115</xdr:rowOff>
    </xdr:from>
    <xdr:to>
      <xdr:col>28</xdr:col>
      <xdr:colOff>1541888</xdr:colOff>
      <xdr:row>20</xdr:row>
      <xdr:rowOff>533399</xdr:rowOff>
    </xdr:to>
    <xdr:sp>
      <xdr:nvSpPr>
        <xdr:cNvPr id="16" name="TextBox 90"/>
        <xdr:cNvSpPr txBox="1"/>
      </xdr:nvSpPr>
      <xdr:spPr>
        <a:xfrm>
          <a:off x="58435875" y="12696825"/>
          <a:ext cx="2242185" cy="53276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25</xdr:col>
      <xdr:colOff>628650</xdr:colOff>
      <xdr:row>20</xdr:row>
      <xdr:rowOff>94764</xdr:rowOff>
    </xdr:from>
    <xdr:to>
      <xdr:col>26</xdr:col>
      <xdr:colOff>745704</xdr:colOff>
      <xdr:row>21</xdr:row>
      <xdr:rowOff>76199</xdr:rowOff>
    </xdr:to>
    <xdr:sp>
      <xdr:nvSpPr>
        <xdr:cNvPr id="17" name="TextBox 90"/>
        <xdr:cNvSpPr txBox="1"/>
      </xdr:nvSpPr>
      <xdr:spPr>
        <a:xfrm>
          <a:off x="53417470" y="12791440"/>
          <a:ext cx="2232660" cy="5715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1008M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953864</xdr:colOff>
      <xdr:row>10</xdr:row>
      <xdr:rowOff>190500</xdr:rowOff>
    </xdr:from>
    <xdr:to>
      <xdr:col>33</xdr:col>
      <xdr:colOff>649063</xdr:colOff>
      <xdr:row>38</xdr:row>
      <xdr:rowOff>342900</xdr:rowOff>
    </xdr:to>
    <xdr:sp>
      <xdr:nvSpPr>
        <xdr:cNvPr id="18" name="Freeform 118"/>
        <xdr:cNvSpPr/>
      </xdr:nvSpPr>
      <xdr:spPr>
        <a:xfrm>
          <a:off x="62205870" y="6981825"/>
          <a:ext cx="8158480" cy="166878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991963</xdr:colOff>
      <xdr:row>14</xdr:row>
      <xdr:rowOff>152400</xdr:rowOff>
    </xdr:from>
    <xdr:to>
      <xdr:col>33</xdr:col>
      <xdr:colOff>291113</xdr:colOff>
      <xdr:row>26</xdr:row>
      <xdr:rowOff>304800</xdr:rowOff>
    </xdr:to>
    <xdr:sp>
      <xdr:nvSpPr>
        <xdr:cNvPr id="19" name="TextBox 88"/>
        <xdr:cNvSpPr txBox="1"/>
      </xdr:nvSpPr>
      <xdr:spPr>
        <a:xfrm>
          <a:off x="62243970" y="9305925"/>
          <a:ext cx="7762240" cy="7239000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FOLK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DAMMAM IR2622E (IRS)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LOA172M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TBC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01/1000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03/1800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MOVES 1530 FLK NSA/MUN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873 /LOAD 657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32</xdr:col>
      <xdr:colOff>768145</xdr:colOff>
      <xdr:row>11</xdr:row>
      <xdr:rowOff>362516</xdr:rowOff>
    </xdr:from>
    <xdr:to>
      <xdr:col>33</xdr:col>
      <xdr:colOff>894188</xdr:colOff>
      <xdr:row>12</xdr:row>
      <xdr:rowOff>304800</xdr:rowOff>
    </xdr:to>
    <xdr:sp>
      <xdr:nvSpPr>
        <xdr:cNvPr id="20" name="TextBox 90"/>
        <xdr:cNvSpPr txBox="1"/>
      </xdr:nvSpPr>
      <xdr:spPr>
        <a:xfrm>
          <a:off x="68367275" y="7743825"/>
          <a:ext cx="2242185" cy="5334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285M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876300</xdr:colOff>
      <xdr:row>10</xdr:row>
      <xdr:rowOff>551965</xdr:rowOff>
    </xdr:from>
    <xdr:to>
      <xdr:col>30</xdr:col>
      <xdr:colOff>974304</xdr:colOff>
      <xdr:row>12</xdr:row>
      <xdr:rowOff>457200</xdr:rowOff>
    </xdr:to>
    <xdr:sp>
      <xdr:nvSpPr>
        <xdr:cNvPr id="21" name="TextBox 90"/>
        <xdr:cNvSpPr txBox="1"/>
      </xdr:nvSpPr>
      <xdr:spPr>
        <a:xfrm>
          <a:off x="62128400" y="7343140"/>
          <a:ext cx="2213610" cy="108648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457M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4</xdr:col>
      <xdr:colOff>1162090</xdr:colOff>
      <xdr:row>38</xdr:row>
      <xdr:rowOff>495300</xdr:rowOff>
    </xdr:from>
    <xdr:to>
      <xdr:col>10</xdr:col>
      <xdr:colOff>152400</xdr:colOff>
      <xdr:row>54</xdr:row>
      <xdr:rowOff>180975</xdr:rowOff>
    </xdr:to>
    <xdr:sp>
      <xdr:nvSpPr>
        <xdr:cNvPr id="22" name="Freeform 118"/>
        <xdr:cNvSpPr/>
      </xdr:nvSpPr>
      <xdr:spPr>
        <a:xfrm>
          <a:off x="13094335" y="23822025"/>
          <a:ext cx="11685270" cy="91344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1066800</xdr:colOff>
      <xdr:row>38</xdr:row>
      <xdr:rowOff>457200</xdr:rowOff>
    </xdr:from>
    <xdr:to>
      <xdr:col>6</xdr:col>
      <xdr:colOff>587076</xdr:colOff>
      <xdr:row>41</xdr:row>
      <xdr:rowOff>500745</xdr:rowOff>
    </xdr:to>
    <xdr:sp>
      <xdr:nvSpPr>
        <xdr:cNvPr id="23" name="TextBox 401"/>
        <xdr:cNvSpPr txBox="1"/>
      </xdr:nvSpPr>
      <xdr:spPr>
        <a:xfrm>
          <a:off x="12999085" y="23783925"/>
          <a:ext cx="3751580" cy="181483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450M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5</xdr:col>
      <xdr:colOff>247691</xdr:colOff>
      <xdr:row>43</xdr:row>
      <xdr:rowOff>348347</xdr:rowOff>
    </xdr:from>
    <xdr:to>
      <xdr:col>9</xdr:col>
      <xdr:colOff>781051</xdr:colOff>
      <xdr:row>53</xdr:row>
      <xdr:rowOff>76201</xdr:rowOff>
    </xdr:to>
    <xdr:sp>
      <xdr:nvSpPr>
        <xdr:cNvPr id="24" name="TextBox 400"/>
        <xdr:cNvSpPr txBox="1"/>
      </xdr:nvSpPr>
      <xdr:spPr>
        <a:xfrm>
          <a:off x="14295755" y="26627455"/>
          <a:ext cx="8996680" cy="56337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 CMA CGM THAMES  0R10JE1MA </a:t>
          </a: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(ADHOC) 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  300 M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ETA 03/1100 ETB 06/2300 ETD 07/2300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MOVES 1200 CMA  MUN/PSD</a:t>
          </a:r>
          <a:endParaRPr lang="en-US" sz="40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550 / LOAD 550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DRAFT: TBC / TBC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1717112</xdr:colOff>
      <xdr:row>40</xdr:row>
      <xdr:rowOff>126339</xdr:rowOff>
    </xdr:from>
    <xdr:to>
      <xdr:col>9</xdr:col>
      <xdr:colOff>1805272</xdr:colOff>
      <xdr:row>41</xdr:row>
      <xdr:rowOff>174235</xdr:rowOff>
    </xdr:to>
    <xdr:sp>
      <xdr:nvSpPr>
        <xdr:cNvPr id="25" name="TextBox 402"/>
        <xdr:cNvSpPr txBox="1"/>
      </xdr:nvSpPr>
      <xdr:spPr>
        <a:xfrm>
          <a:off x="22112605" y="24633555"/>
          <a:ext cx="2203450" cy="63881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solidFill>
                <a:schemeClr val="tx1"/>
              </a:solidFill>
              <a:latin typeface="+mn-lt"/>
            </a:rPr>
            <a:t>750M</a:t>
          </a:r>
          <a:endParaRPr lang="en-US" sz="4000" b="1">
            <a:solidFill>
              <a:schemeClr val="tx1"/>
            </a:solidFill>
            <a:latin typeface="+mn-lt"/>
          </a:endParaRPr>
        </a:p>
      </xdr:txBody>
    </xdr:sp>
    <xdr:clientData/>
  </xdr:twoCellAnchor>
  <xdr:twoCellAnchor>
    <xdr:from>
      <xdr:col>15</xdr:col>
      <xdr:colOff>96267</xdr:colOff>
      <xdr:row>48</xdr:row>
      <xdr:rowOff>0</xdr:rowOff>
    </xdr:from>
    <xdr:to>
      <xdr:col>19</xdr:col>
      <xdr:colOff>1159328</xdr:colOff>
      <xdr:row>79</xdr:row>
      <xdr:rowOff>581026</xdr:rowOff>
    </xdr:to>
    <xdr:sp>
      <xdr:nvSpPr>
        <xdr:cNvPr id="26" name="Freeform 118"/>
        <xdr:cNvSpPr/>
      </xdr:nvSpPr>
      <xdr:spPr>
        <a:xfrm>
          <a:off x="35302190" y="29232225"/>
          <a:ext cx="7762875" cy="188880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4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55762</xdr:colOff>
      <xdr:row>51</xdr:row>
      <xdr:rowOff>404611</xdr:rowOff>
    </xdr:from>
    <xdr:to>
      <xdr:col>19</xdr:col>
      <xdr:colOff>1122730</xdr:colOff>
      <xdr:row>59</xdr:row>
      <xdr:rowOff>583286</xdr:rowOff>
    </xdr:to>
    <xdr:sp>
      <xdr:nvSpPr>
        <xdr:cNvPr id="27" name="TextBox 88"/>
        <xdr:cNvSpPr txBox="1"/>
      </xdr:nvSpPr>
      <xdr:spPr>
        <a:xfrm flipH="1">
          <a:off x="35261550" y="31408370"/>
          <a:ext cx="7767320" cy="490283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MARSA IVY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2618E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LO167M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ETA 02/1800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06/0500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ETD08/0800 MOVES 1200 GMS MUN/JIB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500/  LOAD 700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906181</xdr:colOff>
      <xdr:row>49</xdr:row>
      <xdr:rowOff>28120</xdr:rowOff>
    </xdr:from>
    <xdr:to>
      <xdr:col>19</xdr:col>
      <xdr:colOff>1008846</xdr:colOff>
      <xdr:row>50</xdr:row>
      <xdr:rowOff>258824</xdr:rowOff>
    </xdr:to>
    <xdr:sp>
      <xdr:nvSpPr>
        <xdr:cNvPr id="28" name="TextBox 90"/>
        <xdr:cNvSpPr txBox="1"/>
      </xdr:nvSpPr>
      <xdr:spPr>
        <a:xfrm flipH="1">
          <a:off x="40696515" y="29850715"/>
          <a:ext cx="2218055" cy="82105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553M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15</xdr:col>
      <xdr:colOff>0</xdr:colOff>
      <xdr:row>49</xdr:row>
      <xdr:rowOff>130623</xdr:rowOff>
    </xdr:from>
    <xdr:to>
      <xdr:col>16</xdr:col>
      <xdr:colOff>84152</xdr:colOff>
      <xdr:row>50</xdr:row>
      <xdr:rowOff>345797</xdr:rowOff>
    </xdr:to>
    <xdr:sp>
      <xdr:nvSpPr>
        <xdr:cNvPr id="29" name="TextBox 90"/>
        <xdr:cNvSpPr txBox="1"/>
      </xdr:nvSpPr>
      <xdr:spPr>
        <a:xfrm flipH="1">
          <a:off x="35206305" y="29952950"/>
          <a:ext cx="2199640" cy="80581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720M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16</xdr:col>
      <xdr:colOff>1525017</xdr:colOff>
      <xdr:row>49</xdr:row>
      <xdr:rowOff>266701</xdr:rowOff>
    </xdr:from>
    <xdr:to>
      <xdr:col>17</xdr:col>
      <xdr:colOff>48642</xdr:colOff>
      <xdr:row>50</xdr:row>
      <xdr:rowOff>212726</xdr:rowOff>
    </xdr:to>
    <xdr:sp>
      <xdr:nvSpPr>
        <xdr:cNvPr id="30" name="Star: 5 Points 8467"/>
        <xdr:cNvSpPr/>
      </xdr:nvSpPr>
      <xdr:spPr>
        <a:xfrm>
          <a:off x="38846760" y="30089475"/>
          <a:ext cx="639445" cy="536575"/>
        </a:xfrm>
        <a:prstGeom prst="star5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29</xdr:col>
      <xdr:colOff>477613</xdr:colOff>
      <xdr:row>27</xdr:row>
      <xdr:rowOff>266700</xdr:rowOff>
    </xdr:from>
    <xdr:to>
      <xdr:col>33</xdr:col>
      <xdr:colOff>58513</xdr:colOff>
      <xdr:row>53</xdr:row>
      <xdr:rowOff>295275</xdr:rowOff>
    </xdr:to>
    <xdr:sp>
      <xdr:nvSpPr>
        <xdr:cNvPr id="35" name="Freeform 118"/>
        <xdr:cNvSpPr/>
      </xdr:nvSpPr>
      <xdr:spPr>
        <a:xfrm>
          <a:off x="61729620" y="17097375"/>
          <a:ext cx="8044180" cy="15382875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bg1">
            <a:lumMod val="85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515713</xdr:colOff>
      <xdr:row>31</xdr:row>
      <xdr:rowOff>152399</xdr:rowOff>
    </xdr:from>
    <xdr:to>
      <xdr:col>32</xdr:col>
      <xdr:colOff>1843688</xdr:colOff>
      <xdr:row>39</xdr:row>
      <xdr:rowOff>28574</xdr:rowOff>
    </xdr:to>
    <xdr:sp>
      <xdr:nvSpPr>
        <xdr:cNvPr id="36" name="TextBox 88"/>
        <xdr:cNvSpPr txBox="1"/>
      </xdr:nvSpPr>
      <xdr:spPr>
        <a:xfrm>
          <a:off x="61767720" y="19344640"/>
          <a:ext cx="7675245" cy="46005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SUMMIT SINGAPORE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26005E (ADHOC)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31/0900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10/0100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11/1800 MOVES  763 SUM SOK /SOK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563/ LOAD 200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1920670</xdr:colOff>
      <xdr:row>27</xdr:row>
      <xdr:rowOff>419100</xdr:rowOff>
    </xdr:from>
    <xdr:to>
      <xdr:col>32</xdr:col>
      <xdr:colOff>1999088</xdr:colOff>
      <xdr:row>29</xdr:row>
      <xdr:rowOff>66675</xdr:rowOff>
    </xdr:to>
    <xdr:sp>
      <xdr:nvSpPr>
        <xdr:cNvPr id="37" name="TextBox 90"/>
        <xdr:cNvSpPr txBox="1"/>
      </xdr:nvSpPr>
      <xdr:spPr>
        <a:xfrm>
          <a:off x="67403980" y="17249775"/>
          <a:ext cx="2194560" cy="82867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860M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29</xdr:col>
      <xdr:colOff>381000</xdr:colOff>
      <xdr:row>27</xdr:row>
      <xdr:rowOff>361465</xdr:rowOff>
    </xdr:from>
    <xdr:to>
      <xdr:col>30</xdr:col>
      <xdr:colOff>498054</xdr:colOff>
      <xdr:row>29</xdr:row>
      <xdr:rowOff>66675</xdr:rowOff>
    </xdr:to>
    <xdr:sp>
      <xdr:nvSpPr>
        <xdr:cNvPr id="38" name="TextBox 90"/>
        <xdr:cNvSpPr txBox="1"/>
      </xdr:nvSpPr>
      <xdr:spPr>
        <a:xfrm>
          <a:off x="61633100" y="17191990"/>
          <a:ext cx="2232660" cy="8864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1013M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36</xdr:col>
      <xdr:colOff>0</xdr:colOff>
      <xdr:row>10</xdr:row>
      <xdr:rowOff>0</xdr:rowOff>
    </xdr:from>
    <xdr:to>
      <xdr:col>40</xdr:col>
      <xdr:colOff>419100</xdr:colOff>
      <xdr:row>62</xdr:row>
      <xdr:rowOff>38100</xdr:rowOff>
    </xdr:to>
    <xdr:sp>
      <xdr:nvSpPr>
        <xdr:cNvPr id="31" name="Freeform 118"/>
        <xdr:cNvSpPr/>
      </xdr:nvSpPr>
      <xdr:spPr>
        <a:xfrm>
          <a:off x="76062840" y="6791325"/>
          <a:ext cx="8882380" cy="30746700"/>
        </a:xfrm>
        <a:custGeom>
          <a:avLst/>
          <a:gdLst>
            <a:gd name="connsiteX0" fmla="*/ 0 w 3033346"/>
            <a:gd name="connsiteY0" fmla="*/ 0 h 783980"/>
            <a:gd name="connsiteX1" fmla="*/ 3033346 w 3033346"/>
            <a:gd name="connsiteY1" fmla="*/ 7326 h 783980"/>
            <a:gd name="connsiteX2" fmla="*/ 2806212 w 3033346"/>
            <a:gd name="connsiteY2" fmla="*/ 439615 h 783980"/>
            <a:gd name="connsiteX3" fmla="*/ 2930770 w 3033346"/>
            <a:gd name="connsiteY3" fmla="*/ 468923 h 783980"/>
            <a:gd name="connsiteX4" fmla="*/ 2996712 w 3033346"/>
            <a:gd name="connsiteY4" fmla="*/ 512884 h 783980"/>
            <a:gd name="connsiteX5" fmla="*/ 3026020 w 3033346"/>
            <a:gd name="connsiteY5" fmla="*/ 564173 h 783980"/>
            <a:gd name="connsiteX6" fmla="*/ 3033346 w 3033346"/>
            <a:gd name="connsiteY6" fmla="*/ 630115 h 783980"/>
            <a:gd name="connsiteX7" fmla="*/ 3004039 w 3033346"/>
            <a:gd name="connsiteY7" fmla="*/ 688730 h 783980"/>
            <a:gd name="connsiteX8" fmla="*/ 2967404 w 3033346"/>
            <a:gd name="connsiteY8" fmla="*/ 725365 h 783980"/>
            <a:gd name="connsiteX9" fmla="*/ 2945423 w 3033346"/>
            <a:gd name="connsiteY9" fmla="*/ 740019 h 783980"/>
            <a:gd name="connsiteX10" fmla="*/ 2901462 w 3033346"/>
            <a:gd name="connsiteY10" fmla="*/ 769326 h 783980"/>
            <a:gd name="connsiteX11" fmla="*/ 2857500 w 3033346"/>
            <a:gd name="connsiteY11" fmla="*/ 783980 h 783980"/>
            <a:gd name="connsiteX12" fmla="*/ 131885 w 3033346"/>
            <a:gd name="connsiteY12" fmla="*/ 776653 h 783980"/>
            <a:gd name="connsiteX13" fmla="*/ 0 w 3033346"/>
            <a:gd name="connsiteY13" fmla="*/ 0 h 7839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</a:cxnLst>
          <a:rect l="l" t="t" r="r" b="b"/>
          <a:pathLst>
            <a:path w="3033346" h="783980">
              <a:moveTo>
                <a:pt x="0" y="0"/>
              </a:moveTo>
              <a:lnTo>
                <a:pt x="3033346" y="7326"/>
              </a:lnTo>
              <a:lnTo>
                <a:pt x="2806212" y="439615"/>
              </a:lnTo>
              <a:lnTo>
                <a:pt x="2930770" y="468923"/>
              </a:lnTo>
              <a:lnTo>
                <a:pt x="2996712" y="512884"/>
              </a:lnTo>
              <a:lnTo>
                <a:pt x="3026020" y="564173"/>
              </a:lnTo>
              <a:lnTo>
                <a:pt x="3033346" y="630115"/>
              </a:lnTo>
              <a:lnTo>
                <a:pt x="3004039" y="688730"/>
              </a:lnTo>
              <a:lnTo>
                <a:pt x="2967404" y="725365"/>
              </a:lnTo>
              <a:lnTo>
                <a:pt x="2945423" y="740019"/>
              </a:lnTo>
              <a:lnTo>
                <a:pt x="2901462" y="769326"/>
              </a:lnTo>
              <a:lnTo>
                <a:pt x="2857500" y="783980"/>
              </a:lnTo>
              <a:lnTo>
                <a:pt x="131885" y="776653"/>
              </a:lnTo>
              <a:lnTo>
                <a:pt x="0" y="0"/>
              </a:lnTo>
              <a:close/>
            </a:path>
          </a:pathLst>
        </a:custGeom>
        <a:solidFill>
          <a:schemeClr val="accent1">
            <a:lumMod val="40000"/>
            <a:lumOff val="60000"/>
          </a:schemeClr>
        </a:solidFill>
        <a:ln w="127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 rtl="0"/>
          <a:endParaRPr lang="en-US" sz="40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36</xdr:col>
      <xdr:colOff>457200</xdr:colOff>
      <xdr:row>16</xdr:row>
      <xdr:rowOff>304799</xdr:rowOff>
    </xdr:from>
    <xdr:to>
      <xdr:col>39</xdr:col>
      <xdr:colOff>1832800</xdr:colOff>
      <xdr:row>31</xdr:row>
      <xdr:rowOff>276224</xdr:rowOff>
    </xdr:to>
    <xdr:sp>
      <xdr:nvSpPr>
        <xdr:cNvPr id="32" name="TextBox 88"/>
        <xdr:cNvSpPr txBox="1"/>
      </xdr:nvSpPr>
      <xdr:spPr>
        <a:xfrm>
          <a:off x="76520040" y="10638790"/>
          <a:ext cx="7722870" cy="8829675"/>
        </a:xfrm>
        <a:prstGeom prst="rect">
          <a:avLst/>
        </a:prstGeom>
        <a:solidFill>
          <a:schemeClr val="accent4">
            <a:lumMod val="20000"/>
            <a:lumOff val="80000"/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MV ELREEDY STAR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1MO0AW1MA  (MONA) </a:t>
          </a:r>
          <a:r>
            <a:rPr lang="en-US" sz="4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LOA153 M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ETA 09/0700 </a:t>
          </a: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ETB 11/0800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ETD 14/1400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MOVES  1700 CMA PZU/MSW </a:t>
          </a:r>
          <a:endParaRPr lang="en-US" sz="4000" b="1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DIS  750/ LOAD 750 </a:t>
          </a:r>
          <a:endParaRPr lang="en-US" sz="4000" b="1" baseline="0">
            <a:solidFill>
              <a:srgbClr val="C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LONG HATCH COVER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C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NON CELLULAR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C0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0" lang="en-US" sz="4000" b="1" i="0" u="none" strike="noStrike" kern="0" cap="none" spc="0" normalizeH="0" baseline="0" noProof="0">
              <a:ln>
                <a:noFill/>
              </a:ln>
              <a:solidFill>
                <a:srgbClr val="9933FF"/>
              </a:solidFill>
              <a:effectLst/>
              <a:uLnTx/>
              <a:uFillTx/>
              <a:latin typeface="+mn-lt"/>
              <a:ea typeface="+mn-ea"/>
              <a:cs typeface="+mn-cs"/>
            </a:rPr>
            <a:t>PORT SIDE SHIP CRANES</a:t>
          </a:r>
          <a:endParaRPr kumimoji="0" lang="en-US" sz="4000" b="1" i="0" u="none" strike="noStrike" kern="0" cap="none" spc="0" normalizeH="0" baseline="0" noProof="0">
            <a:ln>
              <a:noFill/>
            </a:ln>
            <a:solidFill>
              <a:srgbClr val="9933FF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39</xdr:col>
      <xdr:colOff>204807</xdr:colOff>
      <xdr:row>10</xdr:row>
      <xdr:rowOff>533400</xdr:rowOff>
    </xdr:from>
    <xdr:to>
      <xdr:col>40</xdr:col>
      <xdr:colOff>302275</xdr:colOff>
      <xdr:row>11</xdr:row>
      <xdr:rowOff>533400</xdr:rowOff>
    </xdr:to>
    <xdr:sp>
      <xdr:nvSpPr>
        <xdr:cNvPr id="33" name="TextBox 90"/>
        <xdr:cNvSpPr txBox="1"/>
      </xdr:nvSpPr>
      <xdr:spPr>
        <a:xfrm>
          <a:off x="82614770" y="7324725"/>
          <a:ext cx="2213610" cy="5905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227M</a:t>
          </a:r>
          <a:endParaRPr lang="en-US" sz="4000" b="1">
            <a:latin typeface="+mn-lt"/>
          </a:endParaRPr>
        </a:p>
      </xdr:txBody>
    </xdr:sp>
    <xdr:clientData/>
  </xdr:twoCellAnchor>
  <xdr:twoCellAnchor>
    <xdr:from>
      <xdr:col>36</xdr:col>
      <xdr:colOff>474887</xdr:colOff>
      <xdr:row>10</xdr:row>
      <xdr:rowOff>399564</xdr:rowOff>
    </xdr:from>
    <xdr:to>
      <xdr:col>37</xdr:col>
      <xdr:colOff>601466</xdr:colOff>
      <xdr:row>11</xdr:row>
      <xdr:rowOff>457199</xdr:rowOff>
    </xdr:to>
    <xdr:sp>
      <xdr:nvSpPr>
        <xdr:cNvPr id="34" name="TextBox 90"/>
        <xdr:cNvSpPr txBox="1"/>
      </xdr:nvSpPr>
      <xdr:spPr>
        <a:xfrm>
          <a:off x="76537185" y="7190740"/>
          <a:ext cx="2242820" cy="6477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/>
          <a:r>
            <a:rPr lang="en-US" sz="4000" b="1">
              <a:latin typeface="+mn-lt"/>
            </a:rPr>
            <a:t>380M</a:t>
          </a:r>
          <a:endParaRPr lang="en-US" sz="4000" b="1">
            <a:latin typeface="+mn-lt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OWARE\CACHE\&#49688;&#51221;&#50577;&#498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MSOFFICE\EXCEL\&#50641;&#49472;&#51088;&#47308;\&#50900;97&#45380;\12&#50900;\12&#50900;\97-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8337;&#49688;\2004&#45380;&#52628;&#51221;&#49892;\My%20Documents\&#54869;&#44036;\&#53685;&#54633;\&#54637;&#47196;&#48324;%20&#53685;&#54633;%20DB\&#54637;&#47196;&#48324;%20&#53685;&#54633;%20DB(03&#45380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IBDUSER\SINGAPORE\Starburst\Valuation\scv%20projections%20as%20presented%20to%20bankers\Cmb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NEWBUILT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&#44608;&#48124;&#44053;\My%20Documents\&#44592;&#54925;&#54016;\&#51473;&#49548;&#54805;&#49440;&#48149;%20&#54869;&#48372;%20&#48143;%20&#50868;&#50689;%20&#48169;&#50504;\&#52292;&#49328;\WINDOWS\Temporary%20Internet%20Files\Content.IE5\Z5GB42XU\WINDOWS\Temporary%20Internet%20Files\Content.IE5\S04TCKRD\HMMTOA\SENDMAIL\BODY\34DCA34C\&#51068;&#48152;&#48176;&#52572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plpl97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49345;&#49437;\2000&#45236;&#47928;&#49436;\2000&#49324;&#44228;\&#44256;&#51221;&#48708;&#54252;&#54632;%20&#49324;&#44228;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WINDOWS\Local%20Settings\Temporary%20Internet%20Files\Content.IE5\BU7FQSB0\WINDOWS\Local%20Settings\Temporary%20Internet%20Files\Content.IE5\KXEJO5AN\windows\TEMP\windows\TEMP\windows\TEMP\cascading_plan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1116;&#54868;\&#52264;&#50900;&#50696;&#49345;\Documents%20and%20Settings\Administrator\Local%20Settings\Temporary%20Internet%20Files\Content.IE5\7I4FVDG9\Documents%20and%20Settings\Administrator\Local%20Settings\Temporary%20Internet%20Files\Content.IE5\7I4F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DATEN\LAP_CON\NT\Schedule\FSA_SCH\E_PROG\Schedu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IBDUSER\SINGAPORE\Tangent\Coast\Models\DCF\Final%20Models\10-20-00%20CSFB%20Mexico%20Business%20Projection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://203.242.32.170/hioffice/cache/temp/M-&#48708;&#50857;~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Budget_2008\Fixed%20assets\Received\476F%20Fixed%20Assets%20Budget-07-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000706%20CSFB%20DCF%20-%20Revised%20CAPEX%20(Clea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DCA34C\&#51068;&#48152;&#48176;&#52572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WINDOWS\Local%20Settings\Temporary%20Internet%20Files\Content.IE5\BU7FQSB0\WINDOWS\Local%20Settings\Temporary%20Internet%20Files\Content.IE5\KXEJO5AN\DOCUME~1\vlau\LOCALS~1\Temp\02Bgt\Bgt%20Submissn%20V1\Exco22May\CEXSAX2\Version-D-Nov0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FORM\96&#44208;&#49328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WINDOWS\Temporary%20Internet%20Files\Content.IE5\O832F793\Debt\Lonsum_Revised%20Debt%20Structure_010810_%20v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060;&#49457;&#55148;1\Local%20Settings\Temporary%20Internet%20Files\Content.IE5\KLIF2LGZ\&#51060;&#44221;&#50896;&#45824;&#47532;%20Backup\&#51204;&#47029;&#44592;&#54925;&#48512;\SQM&#50629;&#47924;\&#44036;&#49324;&#50629;&#47924;\&#45432;&#49324;&#51109;&#45784;&#52712;&#51076;&#50629;&#47924;&#48372;&#44256;\&#52509;&#44292;\hioffice\cache\temp\M-&#48708;&#50857;~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My%20Data\02Bgt\DG\V2\Bgt%20V2bR2_12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excel\TGA\Book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9.1.118\bdm%20data\Users\AYMAN~1.GAM\AppData\Local\Temp\Rar$DIa0.771\2012-12-25%20RSGT%20Operational%20&amp;%20Financial%20Model%20Draft%20V5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OWARE\CACHE\&#49688;&#51221;&#50577;&#4988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IVO\028\DEP%20COND\WRK%20DEP%20COND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ial%20Settlement\0408-Aug\Voy-Sample-Aug04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user_1\My%20Documents\&#51204;&#47029;&#44592;&#54925;\&#50868;&#54637;&#44032;&#45733;&#49457;%20&amp;%20SC\&#48708;&#50857;&#48516;&#49437;\4.&#50500;&#51452;\JTD\JTD&#54637;&#47196;%20SLOT%20COST(3)%20%2007013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AAA\DONATION\&#51652;&#54665;\&#54617;&#44368;&#44592;&#485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3\FI3F\AAA97\&#49345;&#48152;&#44592;\&#44277;&#52292;\&#48176;&#52824;&#44277;&#47928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Startup" Target="Jobs\LonSum\Valuation\DCF\LSIP Restructuring pl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&#51109;&#44288;&#50689;\Local%20Settings\Temporary%20Internet%20Files\Content.Outlook\BN1847SG\Revenue%202010n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Alliances\N%20Europe\Grand%20Alliance\Monthly%20final%20settlements\January'02\Jan'02%20Voycost%20Sttlmn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IOFFICE\CACHE\TEMP\HMMTOA\SENDMAIL\BODY\32F935C8\&#44277;&#50857;&#47928;&#49436;\PB06A486\PB06A522\327E4215\&#44277;&#50857;&#47928;&#49436;\PB06A486\PB06A522\3279029F\&#44277;&#50857;&#47928;&#49436;\PB06A486\PB06A522\325EB3FF\&#44277;&#50857;&#47928;&#49436;\PB06A486\PB06A522\322483DF\HMMTOA\SENDMAIL\BODY\311EC8EC\EXAMP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HMMTOA\SENDMAIL\BODY\34DCA34C\&#51068;&#48152;&#48176;&#5257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333;&#54596;\&#44256;&#45768;\&#49884;&#47788;\Schedule\Proforma\NewproformaAPR30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windows\TEMP\REX_China_Korea_voycos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://iplaza.hanjin.com/WF200/TMP/~TMP1446.$$$/98_proj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WINDOWS\Local%20Settings\Temporary%20Internet%20Files\Content.IE5\BU7FQSB0\WINDOWS\Local%20Settings\Temporary%20Internet%20Files\Content.IE5\KXEJO5AN\windows\TEMP\WINDOWS\TEMP\~ME0007B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Documents%20and%20Settings\chanch\Local%20Settings\Temporary%20Internet%20Files\OLK5\Book3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My%20Documents\&#48708;&#50857;&#51208;&#44048;\MyDocuments\aes\CEX\AEX-PROF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DHAM42\USER1\LAP_CON\Fgaude\SAEC\TR_CUT\Schedule\Fsa_sch\E_PROG\Schedule1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HocNew%20VS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44277;&#50976;\NEUR%20Stats%202002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WINDOWS\Local%20Settings\Temporary%20Internet%20Files\Content.IE5\BU7FQSB0\WINDOWS\Local%20Settings\Temporary%20Internet%20Files\Content.IE5\KXEJO5AN\WINDOWS\TEMP\APL%20BA%20Global%20Reconciliatio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SOFFICE\EXCEL\&#50900;&#44036;&#51088;&#44552;\&#51088;&#44552;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1076;&#49884;\DSD1\gaduk_y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HMMTOA\SENDMAIL\BODY\34DCA34C\&#51068;&#48152;&#48176;&#52572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'04&#48372;&#44256;\My%20Documents\&#54869;&#44036;\&#53685;&#54633;\&#54869;&#44036;&#53685;&#54633;%20DB(03&#45380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Documents%20and%20Settings\HMM\Local%20Settings\Temporary%20Internet%20Files\Content.IE5\YGWJYXEQ\FORM\96&#4420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4788;&#54616;\EXCEL\HIOFFICE\CACHE\TEMP\99&#49324;&#442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DSDTN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My%20Documents\FDR%20&#49892;&#51201;&#44288;&#47532;\HMM%20&#51204;&#52404;&#49892;&#51201;\2002_9&#50900;&#44620;&#51648;%20&#47932;&#47049;(&#50836;&#50557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976;&#52384;\MY%20DOCUMENTS\hioffice\cache\temp\&#48277;&#51064;&#49688;&#51221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3446c7d\SENDMAIL\BODY\3342F29D\&#49688;&#51221;&#50577;&#4988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3.242.32.184\&#54620;&#49692;&#44396;\jjw\&#53468;&#44397;&#48277;&#51064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&#50577;&#49328;ICD\&#52280;&#44256;&#51088;&#47308;\DSDTN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RSGT%20Volume\HMMTOA\SENDMAIL\BODY\340354CA\&#49324;&#50629;&#44228;&#5492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50689;&#51204;&#4702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221;&#49688;\04&#45380;&#49324;&#44228;&#49324;&#51109;\My%20Documents\&#49324;&#50629;&#44228;&#54925;\&#49324;&#50629;&#44228;&#54925;(2004)\'04&#48372;&#44256;\&#52509;&#44292;&#54364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er\AppData\Roaming\Microsoft\Excel\&#50577;&#49328;ICD\&#52280;&#44256;&#51088;&#47308;\&#47932;&#46041;&#47049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지점비용"/>
      <sheetName val="지급어음"/>
      <sheetName val="Container항차정리"/>
      <sheetName val="수정양식"/>
      <sheetName val="차수"/>
      <sheetName val="Fleet and Orderbo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업무계획1"/>
      <sheetName val="xxxxxx"/>
      <sheetName val="기안"/>
      <sheetName val="data_Page1_1_2"/>
      <sheetName val="data_Page1_1_3"/>
      <sheetName val="data_Page1_1_4"/>
      <sheetName val="port-charges"/>
      <sheetName val="region"/>
      <sheetName val="수입"/>
      <sheetName val="TMM SLOT COST 1,2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▶총괄(03실적)"/>
      <sheetName val="미주(03실적)"/>
      <sheetName val="미주(03실적 EB)"/>
      <sheetName val="미주(03실적 WB)"/>
      <sheetName val="구주(03실적)"/>
      <sheetName val="구주(03실적 WB)"/>
      <sheetName val="구주(03실적 EB)"/>
      <sheetName val="NEU &amp;AMS(03실적 WB)♣"/>
      <sheetName val="NEU &amp; AMS(03실적 EB)♣"/>
      <sheetName val="구주(03실적 대서양+SP WB)"/>
      <sheetName val="구주(03실적 대서양+SP EB)"/>
      <sheetName val="아주(03실적)"/>
      <sheetName val="아주(03실적KMS&amp;GKX)"/>
      <sheetName val="아주(03실적KIS1&amp;2)"/>
      <sheetName val="아주(03 실적KRS&amp;KR2)"/>
      <sheetName val="▶총괄(03예산)"/>
      <sheetName val="미주(03예산)"/>
      <sheetName val="미주(03예산 EB)"/>
      <sheetName val="미주(03예산 WB)"/>
      <sheetName val="구주(03예산) "/>
      <sheetName val="구주(03예산 WB)"/>
      <sheetName val="구주(03예산 EB)"/>
      <sheetName val="구주(03예산 대서양+SP)"/>
      <sheetName val="아주(03예산)"/>
      <sheetName val="아주(03예산KMS&amp;GKX)"/>
      <sheetName val="아주(03예산 KIS1&amp;2)"/>
      <sheetName val="아주(03예산KRS&amp;KR2)"/>
      <sheetName val="※구주운송물량(03예산)"/>
      <sheetName val="MOTOR"/>
      <sheetName val="경제성분석"/>
      <sheetName val="NS"/>
      <sheetName val="Assumptions"/>
      <sheetName val="항로별 통합 DB(03년)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iz-Stat"/>
      <sheetName val="Mkt Analysis"/>
      <sheetName val="Subs"/>
      <sheetName val="PL"/>
      <sheetName val="BS"/>
      <sheetName val="Revenue"/>
      <sheetName val="Exp-Ops"/>
      <sheetName val="Exp-Eng"/>
      <sheetName val="Exp-Mkt"/>
      <sheetName val="Exp-Fin"/>
      <sheetName val="Exp-Gen"/>
      <sheetName val="Grant"/>
      <sheetName val="CAPEX"/>
      <sheetName val="FA&amp;Depn"/>
      <sheetName val="Headct"/>
      <sheetName val="Salaries"/>
      <sheetName val="Assumption"/>
      <sheetName val="정비손익"/>
      <sheetName val="lax"/>
      <sheetName val="pusan"/>
      <sheetName val="Vessel Information"/>
      <sheetName val="의왕"/>
      <sheetName val="argl(1)"/>
      <sheetName val="Cmbp"/>
      <sheetName val="아주(03실적)"/>
      <sheetName val="Scenarios"/>
      <sheetName val="Assumptions"/>
      <sheetName val="DATA"/>
      <sheetName val="NS"/>
      <sheetName val="업무계획1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NB-MKT"/>
      <sheetName val="Revenue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Legend"/>
      <sheetName val="Plan-Actual"/>
      <sheetName val="Vol Plan-Actual"/>
      <sheetName val="Cost"/>
      <sheetName val="Volumes"/>
      <sheetName val="PivotTable $"/>
      <sheetName val="PivotTable Vol "/>
      <sheetName val="Analysis YTD"/>
      <sheetName val="Module1"/>
      <sheetName val="Module2"/>
      <sheetName val="Module3"/>
      <sheetName val="Module4"/>
      <sheetName val="Module5"/>
      <sheetName val="Module6"/>
      <sheetName val="Module7"/>
      <sheetName val="Module8"/>
      <sheetName val="Module10"/>
      <sheetName val="Module9"/>
      <sheetName val="PivotTable _"/>
      <sheetName val="CoA map"/>
      <sheetName val="D1300 자삽"/>
      <sheetName val="지방,해외배부"/>
      <sheetName val="8"/>
      <sheetName val="현지법인 사업계획(총괄)"/>
      <sheetName val="COMPA_AGAS"/>
      <sheetName val="수입"/>
      <sheetName val="경제성분석"/>
      <sheetName val="지급어음"/>
      <sheetName val="지점비용"/>
      <sheetName val="필요면적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x"/>
      <sheetName val="요금객실"/>
      <sheetName val="출력용"/>
      <sheetName val="비용항목"/>
      <sheetName val="년간"/>
      <sheetName val="원안"/>
      <sheetName val="연료"/>
      <sheetName val="월별"/>
      <sheetName val="월별2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ivotTable $"/>
      <sheetName val="Scenario 1 _ with HMM"/>
      <sheetName val="CoA map"/>
      <sheetName val="지점비용"/>
      <sheetName val="8"/>
      <sheetName val="현지법인 사업계획(총괄)"/>
      <sheetName val="^Control^"/>
      <sheetName val="2.대외공문"/>
      <sheetName val="수입"/>
      <sheetName val="OpSum"/>
      <sheetName val="ControlPanel"/>
      <sheetName val="BUNKER 소모량"/>
      <sheetName val="cascading_plan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  <sheetName val="CASE 1 (2)"/>
      <sheetName val="PNW (2)"/>
      <sheetName val="PSW PROF"/>
      <sheetName val="PNW PROF"/>
      <sheetName val="AEX PROF"/>
      <sheetName val="CASE 2"/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CEX PORT"/>
      <sheetName val="CEX VOY"/>
      <sheetName val="AEX SPACE"/>
      <sheetName val="AEX RATIO"/>
      <sheetName val="AEX PORT"/>
      <sheetName val="AEX VOY"/>
      <sheetName val="PSW DF-SPD"/>
      <sheetName val="AEX DF-SPD"/>
      <sheetName val="TPR-PSW"/>
      <sheetName val="TPR-TPS"/>
      <sheetName val="GBP 비교"/>
      <sheetName val="GBP 비교 (2)"/>
      <sheetName val="AEX GBP실적"/>
      <sheetName val="PNW SPACE"/>
      <sheetName val="PNWMVS"/>
      <sheetName val="PNWSPD"/>
      <sheetName val="ECS space"/>
      <sheetName val="BSA현행유지"/>
      <sheetName val="신조선투입시"/>
      <sheetName val="7개년채산 BSA"/>
      <sheetName val="신규선복확보 (연습)"/>
      <sheetName val="MENU"/>
      <sheetName val="OPO"/>
      <sheetName val="REPORT"/>
      <sheetName val="DATA"/>
      <sheetName val="ETA"/>
      <sheetName val="DISTTB"/>
      <sheetName val="INOBTB"/>
      <sheetName val="입력"/>
      <sheetName val="COVER"/>
      <sheetName val="조정"/>
      <sheetName val="조정 (2)"/>
      <sheetName val="보고서"/>
      <sheetName val="REPORT (2)"/>
      <sheetName val="BUNKER 소모량"/>
      <sheetName val="MACRO"/>
      <sheetName val="총괄"/>
      <sheetName val="수급현황 (2)"/>
      <sheetName val="경쟁사"/>
      <sheetName val="운임율"/>
      <sheetName val="경쟁사 원본"/>
      <sheetName val="손익 개선 방안"/>
      <sheetName val="운임추이EB (2)"/>
      <sheetName val="운임추이WB (2)"/>
      <sheetName val="#REF"/>
      <sheetName val="Jul 2001 Interest Repayment"/>
      <sheetName val="Aug 2001 Interest Repayment"/>
      <sheetName val="Sep 2001 Interest Repayment"/>
      <sheetName val="Scenario 1 - with HMM"/>
      <sheetName val="APL Operating Cost-Scenario 1"/>
      <sheetName val="Scenario 2 - without MED"/>
      <sheetName val="APL Operating Cost - Scenario 2"/>
      <sheetName val="SUMMARY"/>
      <sheetName val="Scenario 3 - with HMM"/>
      <sheetName val="APL Operating Cost-Scenario 3"/>
      <sheetName val="Scenario 4 - with HMM, 4 NBs"/>
      <sheetName val="APL Operating Cost - Scenario 4"/>
      <sheetName val="Scenario 1H - without HMM"/>
      <sheetName val="APL Operating Cost-Scenario 1H"/>
      <sheetName val="Scenario 2H - No HMM, No Med"/>
      <sheetName val="APL Operating Cost - 2H"/>
      <sheetName val="Scenario 3H- No HMM&amp;Med&amp;Suez"/>
      <sheetName val="APL Operating Cost - 3H"/>
      <sheetName val="Scenario 4H- No HMM, 4 more NBs"/>
      <sheetName val="APL Operating Cost- Scenario 4H"/>
      <sheetName val="Scenario 5H - 8x66OO teus"/>
      <sheetName val="APL Operating Cost- Scenario 5H"/>
      <sheetName val="APL Only"/>
      <sheetName val="APL Operating Cost - APL Only"/>
      <sheetName val="Voyage Cost"/>
      <sheetName val="WAX-REX"/>
      <sheetName val="Linehaul Budget"/>
      <sheetName val="Sheet10"/>
      <sheetName val="Sheet11"/>
      <sheetName val="Sheet12"/>
      <sheetName val="Sheet13"/>
      <sheetName val="Sheet14"/>
      <sheetName val="Sheet15"/>
      <sheetName val="Sheet16"/>
      <sheetName val="port-charges"/>
      <sheetName val="region"/>
      <sheetName val="NB-MKT"/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Cost0628"/>
      <sheetName val="Eu Compare"/>
      <sheetName val="BSA0628"/>
      <sheetName val="SUM0628"/>
      <sheetName val="SUM0612"/>
      <sheetName val="EUEB0628"/>
      <sheetName val="EUWB0628"/>
      <sheetName val="TP Compare"/>
      <sheetName val="TPWB0628"/>
      <sheetName val="TPEB0628"/>
      <sheetName val="EUEB0612"/>
      <sheetName val="EUWB0612"/>
      <sheetName val="TPWB0612"/>
      <sheetName val="TPEB0612"/>
      <sheetName val="ECS-TAS"/>
      <sheetName val="TRADE"/>
      <sheetName val="TATL"/>
      <sheetName val="TPWB"/>
      <sheetName val="TPEB"/>
      <sheetName val="tnwa optg cost - 2003"/>
      <sheetName val="tnwa optg cost - 2002"/>
      <sheetName val="tnwa optg cost - 2001"/>
      <sheetName val="Bunker"/>
      <sheetName val="CASCADE-SEP-25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Vsl-Cost-Comp"/>
      <sheetName val="Cascade-Oct-18 (X)"/>
      <sheetName val="Jun12-Sep15-Comp"/>
      <sheetName val="cascade-Jun27"/>
      <sheetName val="SHIP-COST"/>
      <sheetName val="Sheet1 (2)"/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SUM COST"/>
      <sheetName val="02 apl bsa sum"/>
      <sheetName val="Cascade"/>
      <sheetName val="02 Profile"/>
      <sheetName val="EUR"/>
      <sheetName val="03 Profile"/>
      <sheetName val="Expl_Var"/>
      <sheetName val="SUZ(TEST)"/>
      <sheetName val="BSA-Comp"/>
      <sheetName val="04 Profile"/>
      <sheetName val="CEXSAX"/>
      <sheetName val="PS1Q1"/>
      <sheetName val="PS2 1Q"/>
      <sheetName val="PS2 2-4Q"/>
      <sheetName val="PS3"/>
      <sheetName val="PSV"/>
      <sheetName val="MAX"/>
      <sheetName val="APXTASq1"/>
      <sheetName val="CEX 1Q"/>
      <sheetName val="CEX 2-4Q"/>
      <sheetName val="REX"/>
      <sheetName val="Compare (2)"/>
      <sheetName val="Summary of Change"/>
      <sheetName val="ShaNgb_FdrCost"/>
      <sheetName val="SHS_VOYAGE"/>
      <sheetName val="APX 13 ship  v2b"/>
      <sheetName val="REX VSP"/>
      <sheetName val="Aker "/>
      <sheetName val="PS1Q1VSP"/>
      <sheetName val="04 Prof"/>
      <sheetName val="Summary_ Slide"/>
      <sheetName val="AAX-LOOP(A)"/>
      <sheetName val="AAX-LOOP(B)"/>
      <sheetName val="앞장"/>
      <sheetName val="보고서1"/>
      <sheetName val="보고서2"/>
      <sheetName val="보고서3"/>
      <sheetName val="보고서4"/>
      <sheetName val="타사선 CAPA"/>
      <sheetName val="타사선 CAPA (2)"/>
      <sheetName val="A"/>
      <sheetName val="B"/>
      <sheetName val="C"/>
      <sheetName val="D"/>
      <sheetName val="MERIT"/>
      <sheetName val="GBP"/>
      <sheetName val="PSW VOY COST"/>
      <sheetName val="항비"/>
      <sheetName val="A (2)"/>
      <sheetName val="요약"/>
      <sheetName val="선형비교"/>
      <sheetName val="PSW GBP"/>
      <sheetName val="BSA case"/>
      <sheetName val="PNW 변경"/>
      <sheetName val="PNW 변경 (2)"/>
      <sheetName val="PNW 항,연비"/>
      <sheetName val="extra"/>
      <sheetName val="extra2"/>
      <sheetName val="reliability"/>
      <sheetName val="PNW 변경 (4)"/>
      <sheetName val="PNW 변경 (5)"/>
      <sheetName val="PNW 변경 (3)"/>
      <sheetName val="saving"/>
      <sheetName val="선복 수급"/>
      <sheetName val="선복 수급 (2)"/>
      <sheetName val="운항가능성"/>
      <sheetName val="TNWA신조계획"/>
      <sheetName val="챠트"/>
      <sheetName val="자본비"/>
      <sheetName val="12월 3주(구주)"/>
      <sheetName val="선박변경"/>
      <sheetName val="물량계획"/>
      <sheetName val="rental charge"/>
      <sheetName val="대만당국"/>
      <sheetName val="KAO물량"/>
      <sheetName val="목차"/>
      <sheetName val="Time Table"/>
      <sheetName val="1"/>
      <sheetName val="2"/>
      <sheetName val="3"/>
      <sheetName val="4"/>
      <sheetName val="5"/>
      <sheetName val="6"/>
      <sheetName val="7"/>
      <sheetName val="이전"/>
      <sheetName val="8"/>
      <sheetName val="9"/>
      <sheetName val="10"/>
      <sheetName val="11"/>
      <sheetName val="임차료"/>
      <sheetName val="참고"/>
      <sheetName val="HMM 임차료"/>
      <sheetName val="총물량근거"/>
      <sheetName val="Cost-Teu"/>
      <sheetName val="항박도"/>
      <sheetName val="가상채산"/>
      <sheetName val="1-3"/>
      <sheetName val="자료1"/>
      <sheetName val="자료2"/>
      <sheetName val="자료3"/>
      <sheetName val="자료4"/>
      <sheetName val="조편성"/>
      <sheetName val="의제"/>
      <sheetName val="양식"/>
      <sheetName val="중장기"/>
      <sheetName val="조직도 (2)"/>
      <sheetName val="TIME (2)"/>
      <sheetName val="AEX 2002"/>
      <sheetName val="AEX EU변경 (2)"/>
      <sheetName val="직원명부"/>
      <sheetName val="수입"/>
      <sheetName val="xxxxxx"/>
      <sheetName val="공문"/>
      <sheetName val="작성지침"/>
      <sheetName val="환율"/>
      <sheetName val="수립기준"/>
      <sheetName val="총괄표(1)"/>
      <sheetName val="총괄표(2)"/>
      <sheetName val="구분손익（１）"/>
      <sheetName val="구분손익 (2)"/>
      <sheetName val="매출"/>
      <sheetName val="수출"/>
      <sheetName val="Suz통항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  <sheetName val="2002_4분기 북구주"/>
      <sheetName val="요약표 (2)"/>
      <sheetName val="현황표"/>
      <sheetName val="요약표"/>
      <sheetName val="AEX(W)"/>
      <sheetName val="AEX(E)"/>
      <sheetName val="JEX(W)"/>
      <sheetName val="JEX(E)"/>
      <sheetName val="CEX(W)"/>
      <sheetName val="CEX(E)"/>
      <sheetName val="APX(W)"/>
      <sheetName val="APX(E)"/>
      <sheetName val="ATS(W)"/>
      <sheetName val="ATS(E)"/>
      <sheetName val="SPS(S)"/>
      <sheetName val="AMS(W)"/>
      <sheetName val="AMS(E)"/>
      <sheetName val="SCX(W)"/>
      <sheetName val="SCX(E)"/>
      <sheetName val="용선료(6.25%)"/>
      <sheetName val="분기별 용선료"/>
      <sheetName val="리스선급부대비계산"/>
      <sheetName val="용선료계산5.25"/>
      <sheetName val="자본비배부"/>
      <sheetName val="영업외비용배부"/>
      <sheetName val="임시손익"/>
      <sheetName val="Sheet7"/>
      <sheetName val="Sheet8"/>
      <sheetName val="Sheet9"/>
      <sheetName val="일정"/>
      <sheetName val="공문 (2)"/>
      <sheetName val="1.통합"/>
      <sheetName val="2-1손익"/>
      <sheetName val="2-2재무"/>
      <sheetName val="2-3차입조건"/>
      <sheetName val="2-5,지분5사업"/>
      <sheetName val="2-6인원"/>
      <sheetName val="3-1과잉생산"/>
      <sheetName val="3-2투자조정"/>
      <sheetName val="3-3재무개선"/>
      <sheetName val="3-2부채감축"/>
      <sheetName val="3-3재무구조개선"/>
      <sheetName val="3-4과잉정비"/>
      <sheetName val="4.대정부"/>
      <sheetName val="1-1손익"/>
      <sheetName val="1-2재무"/>
      <sheetName val="1-3,지분4사업"/>
      <sheetName val="1-5인원"/>
      <sheetName val="2-1과잉생산"/>
      <sheetName val="2-2과잉정비"/>
      <sheetName val="차입금 및 지급보증현황"/>
      <sheetName val="부채"/>
      <sheetName val="차수"/>
      <sheetName val="연료수정"/>
      <sheetName val="2002USDN"/>
      <sheetName val="2002WONN"/>
      <sheetName val="2003USDN"/>
      <sheetName val="2003WONN"/>
      <sheetName val="2004USDN"/>
      <sheetName val="2004WONN"/>
      <sheetName val="2005USDN"/>
      <sheetName val="2005WONN"/>
      <sheetName val="2002USDN (2)"/>
      <sheetName val="2003USDN (2)"/>
      <sheetName val="2004USDN (2)"/>
      <sheetName val="2005USDN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akro1"/>
      <sheetName val="MAS Sched Sling 1"/>
      <sheetName val="Modul2"/>
      <sheetName val="Modul1"/>
      <sheetName val="Modul5"/>
      <sheetName val="Modul3"/>
      <sheetName val="Schedule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Scenario 1 - with HMM"/>
      <sheetName val="PivotTable $"/>
      <sheetName val="8"/>
      <sheetName val="COMPA_AGAS"/>
      <sheetName val="비용항목"/>
      <sheetName val="Sum Slots"/>
      <sheetName val="차수"/>
      <sheetName val="MAS_Sched_Sling_1"/>
      <sheetName val="Scenario_1_-_with_HMM"/>
      <sheetName val="PivotTable_$"/>
      <sheetName val="Sum_Slo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ontrolPanel"/>
      <sheetName val="Print Area-&gt;"/>
      <sheetName val="Cover"/>
      <sheetName val="Notice"/>
      <sheetName val="UFCF"/>
      <sheetName val="Charlie Sheet"/>
      <sheetName val="A"/>
      <sheetName val="SSA Mexico Others"/>
      <sheetName val="OpSum"/>
      <sheetName val="WC"/>
      <sheetName val="Capex&amp;Depn"/>
      <sheetName val="PVM (15yrs-TV=0)"/>
      <sheetName val="PVMatrix (35yrs-AdjFCF)"/>
      <sheetName val="PGMatrix (15yrs-AdjFCF)"/>
      <sheetName val="&lt;-Print Area"/>
      <sheetName val="OPG"/>
      <sheetName val="TMS"/>
      <sheetName val="API "/>
      <sheetName val="Charlie Sheet II"/>
      <sheetName val="Capex Details"/>
      <sheetName val="Consol"/>
      <sheetName val="Consol (2)"/>
      <sheetName val="Consol (3)"/>
      <sheetName val="Consol (4)"/>
      <sheetName val="Consol (5)"/>
      <sheetName val="Graphs"/>
      <sheetName val="MacroA"/>
      <sheetName val="Control Panel"/>
      <sheetName val="Voucher"/>
      <sheetName val="경제성분석"/>
      <sheetName val="Scenario 1 - with HMM"/>
      <sheetName val="Makro1"/>
      <sheetName val="PivotTable $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선령"/>
      <sheetName val="9-1차이내역"/>
      <sheetName val="Assumptions"/>
      <sheetName val="지방,해외배부"/>
      <sheetName val="pmx"/>
      <sheetName val="DATA"/>
      <sheetName val="Capex"/>
      <sheetName val="BUNKER 소모량"/>
      <sheetName val="F.TYPE PNW"/>
      <sheetName val="Scenarios"/>
      <sheetName val="04 Profile"/>
      <sheetName val="8"/>
      <sheetName val="현지법인 사업계획(총괄)"/>
      <sheetName val="수입"/>
      <sheetName val="지급어음"/>
      <sheetName val="출금실적"/>
      <sheetName val="재공품기초자료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OpSum"/>
      <sheetName val="ControlPanel"/>
      <sheetName val="Makro1"/>
      <sheetName val="AEX(E)"/>
      <sheetName val="AEX(W)"/>
      <sheetName val="AMS(E)"/>
      <sheetName val="AMS(W)"/>
      <sheetName val="APX(E)"/>
      <sheetName val="APX(W)"/>
      <sheetName val="ATS(E)"/>
      <sheetName val="ATS(W)"/>
      <sheetName val="CEX(E)"/>
      <sheetName val="CEX(W)"/>
      <sheetName val="JEX(E)"/>
      <sheetName val="JEX(W)"/>
      <sheetName val="SCX(E)"/>
      <sheetName val="SCX(W)"/>
      <sheetName val="SPS(S)"/>
      <sheetName val="APX BSA"/>
      <sheetName val="Lookup - W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Help"/>
      <sheetName val="Asset Plan 476F"/>
      <sheetName val="Asset Plan 656A"/>
      <sheetName val="FA Plan Summary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Materials"/>
      <sheetName val="Sensitivity"/>
      <sheetName val="Scenarios"/>
      <sheetName val="Valuation"/>
      <sheetName val="Debt Schedule"/>
      <sheetName val="Cash Flow"/>
      <sheetName val="Capex"/>
      <sheetName val="Assumptions"/>
      <sheetName val="Balance sheet"/>
      <sheetName val="Profit and Loss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UNKER 소모량"/>
      <sheetName val="OpSum"/>
      <sheetName val="ControlPanel"/>
      <sheetName val="TMM SLOT COST 1,2"/>
      <sheetName val="적용환율"/>
      <sheetName val="9-1차이내역"/>
      <sheetName val="Scenario 1 - with HMM"/>
      <sheetName val="Revenue"/>
      <sheetName val="Makro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Voyage cost"/>
      <sheetName val="CASCADE-SEP-25"/>
      <sheetName val="DATA"/>
      <sheetName val="SUMMARY"/>
      <sheetName val="MED"/>
      <sheetName val="SAX"/>
      <sheetName val="WAX"/>
      <sheetName val="SAXWAX"/>
      <sheetName val="PS1"/>
      <sheetName val="PS2"/>
      <sheetName val="GCX"/>
      <sheetName val="APX"/>
      <sheetName val="APXTAS"/>
      <sheetName val="PNW2"/>
      <sheetName val="JEX-VSP"/>
      <sheetName val="PNX"/>
      <sheetName val="PNXWAX"/>
      <sheetName val="JEX"/>
      <sheetName val="CEX-VSP"/>
      <sheetName val="JEXP"/>
      <sheetName val="CEX"/>
      <sheetName val="AEX-VSP"/>
      <sheetName val="AEX"/>
      <sheetName val="EU4"/>
      <sheetName val="Provision-Summary-Comparison"/>
      <sheetName val="Prov-Summ-Detail"/>
      <sheetName val="Var-Explanation"/>
      <sheetName val="SUMM-CAPACITY-COST"/>
      <sheetName val="SUMMARY-CAPACITY"/>
      <sheetName val="SEP15-SEP25-PROV-COMP"/>
      <sheetName val="2001 - tnwa"/>
      <sheetName val="2002 - tnwa"/>
      <sheetName val="2003 - tnwa"/>
      <sheetName val="BSA-Compare"/>
      <sheetName val="Summary-Cost-Teu"/>
      <sheetName val="Compare-EU-TP"/>
      <sheetName val="Compare-APX-TAS"/>
      <sheetName val="BuySell-4Yr"/>
      <sheetName val="Cascade-Nov20-NB-Rescheduled"/>
      <sheetName val="Var-Explanation (2)"/>
      <sheetName val="Cascade-Oct-18"/>
      <sheetName val="CASCADE-SEP-25(R)"/>
      <sheetName val="Bunker"/>
      <sheetName val="Vsl-Cost-Comp"/>
      <sheetName val="Cascade-Oct-18 (X)"/>
      <sheetName val="Jun12-Sep15-Comp"/>
      <sheetName val="cascade-Jun27"/>
      <sheetName val="SHIP-COST"/>
      <sheetName val="지방,해외배부"/>
      <sheetName val="Assumptions"/>
      <sheetName val="차수"/>
      <sheetName val="CoA map"/>
      <sheetName val="OpSum"/>
      <sheetName val="ControlPanel"/>
      <sheetName val="MacroA"/>
      <sheetName val="pmx"/>
      <sheetName val="region"/>
      <sheetName val="경제성분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9-1차이내역"/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8-1순자산액계산서"/>
      <sheetName val="8-2평가차액계산명세서"/>
      <sheetName val="8-3순손익액계산서"/>
      <sheetName val="8-4영업권평가조서"/>
      <sheetName val="9확정실적"/>
      <sheetName val="9_1차이내역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sentation Materials"/>
      <sheetName val="Valuation"/>
      <sheetName val="Financials"/>
      <sheetName val="Output"/>
      <sheetName val="Debt Output"/>
      <sheetName val="&lt;=Output    Input=&gt;"/>
      <sheetName val="Scenarios"/>
      <sheetName val="Summary Info"/>
      <sheetName val="Debt Servicing"/>
      <sheetName val="Capex"/>
      <sheetName val="Assumptions"/>
      <sheetName val="Profit and Loss"/>
      <sheetName val="Balance sheet"/>
      <sheetName val="Cash Flow"/>
      <sheetName val="Operating Exp"/>
      <sheetName val="Cons"/>
      <sheetName val="Nth Sum"/>
      <sheetName val="Sth Sum"/>
      <sheetName val="Kali"/>
      <sheetName val="Plasma - Not handed over"/>
      <sheetName val="Plasma - Handed over"/>
      <sheetName val="Balanc聥 sheet"/>
      <sheetName val="차수"/>
      <sheetName val="DATA"/>
      <sheetName val="BOLLARDS"/>
      <sheetName val="수입"/>
      <sheetName val="9-1차이내역"/>
      <sheetName val="연간점유"/>
      <sheetName val="지방,해외배부"/>
      <sheetName val="OpSum"/>
      <sheetName val="Control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입력"/>
      <sheetName val="COVER"/>
      <sheetName val="조정"/>
      <sheetName val="조정 (2)"/>
      <sheetName val="보고서"/>
      <sheetName val="REPORT"/>
      <sheetName val="REPORT (2)"/>
      <sheetName val="BUNKER 소모량"/>
      <sheetName val="DISTTB"/>
      <sheetName val="INOBTB"/>
      <sheetName val="MACRO"/>
      <sheetName val="Capex"/>
      <sheetName val="Scenarios"/>
      <sheetName val="Assumptio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pxCost"/>
      <sheetName val="NOTES"/>
      <sheetName val="Trade Allocatn"/>
      <sheetName val="NEX Layup"/>
      <sheetName val="AllianceSensitivity"/>
      <sheetName val="Presentation"/>
      <sheetName val="SUM vs CO"/>
      <sheetName val="DATA"/>
      <sheetName val="SUM COST"/>
      <sheetName val="02 apl bsa sum"/>
      <sheetName val="SUMMARY-CAPACITY"/>
      <sheetName val="Cascade"/>
      <sheetName val="02 Profile"/>
      <sheetName val="EUR"/>
      <sheetName val="03 Profile"/>
      <sheetName val="SUMM-CAPACITY-COST"/>
      <sheetName val="Expl_Var"/>
      <sheetName val="Summary-Cost-Teu"/>
      <sheetName val="SAXWAX"/>
      <sheetName val="JEXP"/>
      <sheetName val="SUZ(TEST)"/>
      <sheetName val="BSA-Comp"/>
      <sheetName val="04 Profile"/>
      <sheetName val="CEXSAX"/>
      <sheetName val="SAX"/>
      <sheetName val="PS1Q1"/>
      <sheetName val="PS1"/>
      <sheetName val="PS2 1Q"/>
      <sheetName val="PS2 2-4Q"/>
      <sheetName val="PS3"/>
      <sheetName val="GCX"/>
      <sheetName val="PSV"/>
      <sheetName val="PNW"/>
      <sheetName val="PNX"/>
      <sheetName val="PNXWAX"/>
      <sheetName val="MAX"/>
      <sheetName val="APX"/>
      <sheetName val="APXTASq1"/>
      <sheetName val="APXTAS"/>
      <sheetName val="AEX"/>
      <sheetName val="CEX 1Q"/>
      <sheetName val="CEX 2-4Q"/>
      <sheetName val="JEX"/>
      <sheetName val="EU4"/>
      <sheetName val="MED"/>
      <sheetName val="WAX"/>
      <sheetName val="REX"/>
      <sheetName val="Compare (2)"/>
      <sheetName val="Summary of Change"/>
      <sheetName val="ShaNgb_FdrCost"/>
      <sheetName val="SHS_VOYAGE"/>
      <sheetName val="Bunker"/>
      <sheetName val="APX 13 ship  v2b"/>
      <sheetName val="REX VSP"/>
      <sheetName val="Aker "/>
      <sheetName val="PS1Q1VSP"/>
      <sheetName val="04 Prof"/>
      <sheetName val="Compare-EU-TP"/>
      <sheetName val="Compare-APX-TAS"/>
      <sheetName val="Summary_ Slide"/>
      <sheetName val="AAX-LOOP(A)"/>
      <sheetName val="AAX-LOOP(B)"/>
      <sheetName val="BUNKER 소모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ECK"/>
      <sheetName val="개요1"/>
      <sheetName val="개요2"/>
      <sheetName val="CASE 1"/>
      <sheetName val="PNW"/>
      <sheetName val="5 (Eng)"/>
      <sheetName val="20년"/>
      <sheetName val="T.T 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B_CHART"/>
      <sheetName val="AL창호(기현-일성)"/>
      <sheetName val="방수(씨텍)"/>
      <sheetName val="인테리어(바우하우스전체)"/>
      <sheetName val="주철2공장 "/>
      <sheetName val="Sheet3"/>
      <sheetName val="Sheet1"/>
      <sheetName val="2002년이후(02.08)"/>
      <sheetName val="Sheet2"/>
      <sheetName val="여건별집계(1)"/>
      <sheetName val="기존측(춘천)"/>
      <sheetName val="기존측(대구)"/>
      <sheetName val="철골작업절차(을)"/>
      <sheetName val="철골작업절차(갑)"/>
      <sheetName val="집계"/>
      <sheetName val="장비동원 "/>
      <sheetName val="WORK FLOW"/>
      <sheetName val="4.1 동성(설치공정)"/>
      <sheetName val="work flow 동성"/>
      <sheetName val="4.2 동성"/>
      <sheetName val="4.1 동신(설치공정)"/>
      <sheetName val="work flow 동신"/>
      <sheetName val="4.2 동신"/>
      <sheetName val="표지원본"/>
      <sheetName val="기성내역예정량제출"/>
      <sheetName val="전체현황"/>
      <sheetName val="Sheet1 (2)"/>
      <sheetName val="1029-3 (4)"/>
      <sheetName val="AJE"/>
      <sheetName val="매출"/>
      <sheetName val="재고-제품과재공"/>
      <sheetName val="손익제시"/>
      <sheetName val="대차제시"/>
      <sheetName val="수정사항집계표"/>
      <sheetName val="재고자산 롤백"/>
      <sheetName val="지분법평가손익"/>
      <sheetName val="B1대차B4"/>
      <sheetName val="B1손익B4"/>
      <sheetName val="당기월별판관비"/>
      <sheetName val="#REF"/>
      <sheetName val="현금흐름표"/>
      <sheetName val="draft보고"/>
      <sheetName val="중간plan"/>
      <sheetName val="기초한정"/>
      <sheetName val="용선료"/>
      <sheetName val="전기오류"/>
      <sheetName val="기획팀"/>
      <sheetName val="이사회의사록정리"/>
      <sheetName val="제조경비"/>
      <sheetName val="손익계산서"/>
      <sheetName val="부가세대사 (2)"/>
      <sheetName val="통화스왑"/>
      <sheetName val="매출채권"/>
      <sheetName val="EPS (2)"/>
      <sheetName val="시스템용역"/>
      <sheetName val="DATA"/>
      <sheetName val="04 Profile"/>
      <sheetName val="F.TYPE PNW"/>
      <sheetName val="Numbers"/>
      <sheetName val="BUE-VAN"/>
      <sheetName val="Capex"/>
      <sheetName val="Scenarios"/>
      <sheetName val="Assumptions"/>
      <sheetName val="Q1"/>
      <sheetName val="Bonus"/>
      <sheetName val="Payroll"/>
      <sheetName val="Car"/>
      <sheetName val="Rental"/>
      <sheetName val="HT overseas 0207xls.xl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AEX CAPA (2)"/>
      <sheetName val="F.TYPE PNW"/>
      <sheetName val="Sheet1"/>
      <sheetName val="Sheet2"/>
      <sheetName val="Sheet3"/>
      <sheetName val="Chart6"/>
      <sheetName val="B_CHART"/>
      <sheetName val="일위집계"/>
      <sheetName val="일위대가 (3)"/>
      <sheetName val="자재가격"/>
      <sheetName val="현황"/>
      <sheetName val="준설내역"/>
      <sheetName val="준설재료"/>
      <sheetName val="철근"/>
      <sheetName val="뽑기"/>
      <sheetName val="ㅂㅂ"/>
      <sheetName val="ㅂㅂ (2)"/>
      <sheetName val="ㅂㅂ (3)"/>
      <sheetName val="ㅂㅂ (4)"/>
      <sheetName val="간지"/>
      <sheetName val="1.설조"/>
      <sheetName val="2.단면가정"/>
      <sheetName val="3.MO "/>
      <sheetName val="4.하중"/>
      <sheetName val="5.내진"/>
      <sheetName val="6.부재력"/>
      <sheetName val="INPUT(상시)"/>
      <sheetName val="USD"/>
      <sheetName val="WSD"/>
      <sheetName val="반력"/>
      <sheetName val="TIRED"/>
      <sheetName val="INPUT(지진시)"/>
      <sheetName val="내진"/>
      <sheetName val="내진반력"/>
      <sheetName val="7.단면력"/>
      <sheetName val="10.1.1 footing 계산"/>
      <sheetName val="10.1.2 footing 계산"/>
      <sheetName val="10.2.1 단면력 산정"/>
      <sheetName val="10.2.1 단면력 산정 (2)"/>
      <sheetName val="단면력 (2)"/>
      <sheetName val="5. Pile검토"/>
      <sheetName val="수량산출서 (2)"/>
      <sheetName val="#REF"/>
      <sheetName val="공종자재집계 (2)"/>
      <sheetName val="재료집계표  (2)"/>
      <sheetName val="변경이유서"/>
      <sheetName val="접"/>
      <sheetName val="단가내부"/>
      <sheetName val="단가외부 "/>
      <sheetName val="지급자재명세서 (3)"/>
      <sheetName val="단가산출서(SS)"/>
      <sheetName val="출입로"/>
      <sheetName val="증감내역"/>
      <sheetName val="현황 (3)"/>
      <sheetName val="수량산출"/>
      <sheetName val="공제량"/>
      <sheetName val="검토안"/>
      <sheetName val="공사비증감현황(A3)"/>
      <sheetName val="6공구(당초)"/>
      <sheetName val="비목군분류내역"/>
      <sheetName val="수산출"/>
      <sheetName val="Book2"/>
      <sheetName val="가도공 수량 집계표"/>
      <sheetName val="가도차도부 수량산출"/>
      <sheetName val="가도길어깨현황1"/>
      <sheetName val="제잡비전체건축(2001)"/>
      <sheetName val="제잡비현황 (건축)"/>
      <sheetName val="5"/>
      <sheetName val="지급자재명세서 (2)"/>
      <sheetName val="최종내역"/>
      <sheetName val="집계표"/>
      <sheetName val="변경수량집계"/>
      <sheetName val="철.콘 수량산출 (적용)"/>
      <sheetName val="계약내역 (1)"/>
      <sheetName val="견적갑"/>
      <sheetName val="bm내역서(B공구)"/>
      <sheetName val="변경내역"/>
      <sheetName val="신규단가(A)제작"/>
      <sheetName val="신규단가(B)물가정보"/>
      <sheetName val="견적갑&quot;A&quot;공구"/>
      <sheetName val="견적조건보고서&quot;A&quot;공구"/>
      <sheetName val="A비엠"/>
      <sheetName val="공율산출"/>
      <sheetName val="장안(01.05.30)(2)"/>
      <sheetName val="내쇼날 (01.05.30)"/>
      <sheetName val="장안(01.05.30)"/>
      <sheetName val="진성(01.05.30)"/>
      <sheetName val="3Week(4-3)(보안)"/>
      <sheetName val="전기공정표"/>
      <sheetName val="CABLE(MAIN)"/>
      <sheetName val="전선관수량산출표 (4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수량명세서-구"/>
      <sheetName val="적용"/>
      <sheetName val="예정공정표-SK (2)"/>
      <sheetName val="Sheet4"/>
      <sheetName val="평면도"/>
      <sheetName val="딱지"/>
      <sheetName val="산출내역"/>
      <sheetName val="집계표 (2)"/>
      <sheetName val="명림건설"/>
      <sheetName val="비탈면 돌붙임(형식2)단가산출근거"/>
      <sheetName val="신규단가산출(2002m)"/>
      <sheetName val="변경사유서"/>
      <sheetName val="보조기층현황"/>
      <sheetName val="SHEARKEY검토 (2)"/>
      <sheetName val="세부내역서 "/>
      <sheetName val="제잡비산출근거 (전체)"/>
      <sheetName val="발주제잡비산근(2)"/>
      <sheetName val="보강원심력철근콘크리트관"/>
      <sheetName val="원심력철근콘크리트관하차비"/>
      <sheetName val="표지"/>
      <sheetName val="목차"/>
      <sheetName val="여건사유"/>
      <sheetName val="2001설계예정9.17 (3)"/>
      <sheetName val="사진대지 (5)"/>
      <sheetName val="(방음벽반사형)"/>
      <sheetName val="제잡비현황"/>
      <sheetName val="물가변동액(전체분)"/>
      <sheetName val="제출내역 (2)"/>
      <sheetName val="70%"/>
      <sheetName val="공사비집계"/>
      <sheetName val="부대내역"/>
      <sheetName val="준검 내역서"/>
      <sheetName val="지급자재"/>
      <sheetName val="계"/>
      <sheetName val="이월"/>
      <sheetName val="배수자집계"/>
      <sheetName val="전체수량집계"/>
      <sheetName val="투찰"/>
      <sheetName val="식재인부"/>
      <sheetName val="데이타"/>
      <sheetName val="1공구산출내역서"/>
      <sheetName val="1,2공구원가계산서"/>
      <sheetName val="2공구산출내역"/>
      <sheetName val="Macro1"/>
      <sheetName val="Macro2"/>
      <sheetName val="세골재  T2 변경 현황"/>
      <sheetName val="106C0300"/>
      <sheetName val="수량집계"/>
      <sheetName val="토공"/>
      <sheetName val="배수공"/>
      <sheetName val="구조물공"/>
      <sheetName val="포장공"/>
      <sheetName val="부대공"/>
      <sheetName val="3차설계"/>
      <sheetName val="방음벽집계"/>
      <sheetName val="공사내역"/>
      <sheetName val="깨기집계"/>
      <sheetName val="줄파기집"/>
      <sheetName val="전체설계서"/>
      <sheetName val="공사비증감"/>
      <sheetName val="results"/>
      <sheetName val="중기노임"/>
      <sheetName val="8.시공현황"/>
      <sheetName val="보고"/>
      <sheetName val="예산서"/>
      <sheetName val="집계표 "/>
      <sheetName val="통신설계서"/>
      <sheetName val="철거집계표(전체)"/>
      <sheetName val="철거집계표(토공)"/>
      <sheetName val="공사량현황"/>
      <sheetName val="지급자재명세서"/>
      <sheetName val="2002년설계서"/>
      <sheetName val="갑지"/>
      <sheetName val="암거집계"/>
      <sheetName val="전체 (2)"/>
      <sheetName val="몰탈"/>
      <sheetName val="부곡교"/>
      <sheetName val="교대철근"/>
      <sheetName val="단가비교표"/>
      <sheetName val="제잡비('02)"/>
      <sheetName val="기타집계"/>
      <sheetName val="2.08"/>
      <sheetName val="단계처리참고"/>
      <sheetName val="C관집"/>
      <sheetName val="타이기"/>
      <sheetName val="변경집계장"/>
      <sheetName val="변경설계서"/>
      <sheetName val="3개분류내역"/>
      <sheetName val="2.10"/>
      <sheetName val="앞집계"/>
      <sheetName val="수량명세서"/>
      <sheetName val="수량집계표"/>
      <sheetName val="단계차선 16-8"/>
      <sheetName val="적용외집계장"/>
      <sheetName val="비목분류 "/>
      <sheetName val="비목별물가지수변동현황"/>
      <sheetName val="k치 "/>
      <sheetName val="BOOK7"/>
      <sheetName val="T2"/>
      <sheetName val="상부공"/>
      <sheetName val="주요자재"/>
      <sheetName val="교각수량"/>
      <sheetName val="측구수량집계"/>
      <sheetName val="배수이월"/>
      <sheetName val="유용유동"/>
      <sheetName val="타공정앞장"/>
      <sheetName val="공구리"/>
      <sheetName val="구미전체집계"/>
      <sheetName val="영업소집계"/>
      <sheetName val="가도집계"/>
      <sheetName val="건축비목분류"/>
      <sheetName val="비목별물가지수"/>
      <sheetName val="교량접속수"/>
      <sheetName val="전체(광21)"/>
      <sheetName val="신광상부"/>
      <sheetName val="타공정"/>
      <sheetName val="5.08차광망"/>
      <sheetName val="방음출입문"/>
      <sheetName val="5.14경계표주"/>
      <sheetName val="5.09가드휀스"/>
      <sheetName val="5.12비탈보호"/>
      <sheetName val="마감면집"/>
      <sheetName val="시추조사"/>
      <sheetName val="5.11방음벽수량집"/>
      <sheetName val="길어깨부"/>
      <sheetName val="5.13보도(구미천)"/>
      <sheetName val="가도공집계"/>
      <sheetName val="강가시설전체"/>
      <sheetName val="sheetpile"/>
      <sheetName val="5.23안전시설목"/>
      <sheetName val="5.26낙하물방지"/>
      <sheetName val="5.29철근"/>
      <sheetName val="5.30시멘트"/>
      <sheetName val="도색산출"/>
      <sheetName val="월드컵안전"/>
      <sheetName val="폐기물"/>
      <sheetName val="사업소보고"/>
      <sheetName val="사진대지"/>
      <sheetName val="사진대지 (2)"/>
      <sheetName val="설계변경 제출(10.5극동)"/>
      <sheetName val="쏠레땅쉬-1월"/>
      <sheetName val="설계변경 제출(4차이후미적용)"/>
      <sheetName val="감사지적"/>
      <sheetName val="방침사항5"/>
      <sheetName val="설계변경 제출(근거서류)-참고"/>
      <sheetName val="타공종이기수량집계"/>
      <sheetName val="Sheet5"/>
      <sheetName val="Sheet6"/>
      <sheetName val="Sheet7"/>
      <sheetName val="Sheet8"/>
      <sheetName val="Sheet9"/>
      <sheetName val="Sheet10"/>
      <sheetName val="내역비교 (2)"/>
      <sheetName val="내역비교 (3)"/>
      <sheetName val="단가산출(적용20)단가적정성"/>
      <sheetName val="단가산출(적용25)단가적정성"/>
      <sheetName val="범양"/>
      <sheetName val="간접비분개"/>
      <sheetName val="전체실행예산(본사양식) (2)"/>
      <sheetName val="감독실현황"/>
      <sheetName val="2001.12"/>
      <sheetName val="장고개내역서"/>
      <sheetName val="SK+극동"/>
      <sheetName val="702"/>
      <sheetName val="직영시행공사비"/>
      <sheetName val="VXXXXX"/>
      <sheetName val="JUP2000"/>
      <sheetName val="laroux"/>
      <sheetName val="2000장비이동현황"/>
      <sheetName val="3-5.인원 수급 계획"/>
      <sheetName val="JUP2001"/>
      <sheetName val="그림"/>
      <sheetName val="2001매출현황"/>
      <sheetName val="2001기성현황"/>
      <sheetName val="2001JUP vs 기성"/>
      <sheetName val="2001년도TO비교"/>
      <sheetName val="쏠레땅쉬원가(02)"/>
      <sheetName val="내역서-sk"/>
      <sheetName val="증감내역서"/>
      <sheetName val="집계표(당초,변경) (2)"/>
      <sheetName val="7차공사4회기성(직공비)"/>
      <sheetName val="7차공사3회기성(직공비)"/>
      <sheetName val="원가계산서(설계변경-세로)"/>
      <sheetName val="수량증감현황 (2)"/>
      <sheetName val="사유서 "/>
      <sheetName val="예정공정표"/>
      <sheetName val="변경사유 (변경)"/>
      <sheetName val="730x500"/>
      <sheetName val="운반2 (2)"/>
      <sheetName val="본사청구1"/>
      <sheetName val="0103"/>
      <sheetName val="강교작업일보용"/>
      <sheetName val="PC2.9 4.142"/>
      <sheetName val="앵카 (33.5)"/>
      <sheetName val="내민식"/>
      <sheetName val="수평배수공(L=3M)"/>
      <sheetName val="수평배수공(L=10M)"/>
      <sheetName val="모래구입(7000)"/>
      <sheetName val="모래구입(6700)"/>
      <sheetName val="포대시멘트"/>
      <sheetName val="차로이탈인식시설"/>
      <sheetName val="계약내내역"/>
      <sheetName val="6차분13회기성요약표"/>
      <sheetName val="토공견적"/>
      <sheetName val="철콘 견적"/>
      <sheetName val="증감대비"/>
      <sheetName val="총괄"/>
      <sheetName val="금차분"/>
      <sheetName val="전체분"/>
      <sheetName val="최종 (2)"/>
      <sheetName val="갑지(가로)"/>
      <sheetName val="나"/>
      <sheetName val="CB건축(신) (2)"/>
      <sheetName val="CB건축(신)"/>
      <sheetName val="기초일위집게표(7)"/>
      <sheetName val="기초일위대가(8)"/>
      <sheetName val=" 단가대비표"/>
      <sheetName val="인력"/>
      <sheetName val="운반비"/>
      <sheetName val="H빔"/>
      <sheetName val="파일항타"/>
      <sheetName val="암파쇄"/>
      <sheetName val="자재집계표"/>
      <sheetName val="옹벽토공량"/>
      <sheetName val="철근집계표"/>
      <sheetName val="기계시간당경비"/>
      <sheetName val="끝-이하출력(x)"/>
      <sheetName val="옹벽수량표."/>
      <sheetName val="전체3회변경"/>
      <sheetName val="DATA"/>
      <sheetName val="04 Profile"/>
      <sheetName val="BUE-VAN"/>
      <sheetName val="Number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 refreshError="1"/>
      <sheetData sheetId="302" refreshError="1"/>
      <sheetData sheetId="303" refreshError="1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/>
      <sheetData sheetId="313"/>
      <sheetData sheetId="314" refreshError="1"/>
      <sheetData sheetId="315"/>
      <sheetData sheetId="316" refreshError="1"/>
      <sheetData sheetId="317" refreshError="1"/>
      <sheetData sheetId="318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Key Results"/>
      <sheetName val="Assumptions"/>
      <sheetName val="Time Based Assumptions"/>
      <sheetName val="Project Costs &amp; Funding"/>
      <sheetName val="Financing Assumptions"/>
      <sheetName val="Revenues"/>
      <sheetName val="Cash Cascade"/>
      <sheetName val="CapexNew"/>
      <sheetName val="Depreciation"/>
      <sheetName val="Financials"/>
      <sheetName val="Tax"/>
      <sheetName val="Ratios"/>
      <sheetName val="Equity Val"/>
      <sheetName val="Operating Costs"/>
      <sheetName val="Sensitivities"/>
      <sheetName val="Capex-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xxxxxx"/>
      <sheetName val="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DG"/>
      <sheetName val="TNKS"/>
      <sheetName val="TRIM"/>
      <sheetName val="DATA"/>
      <sheetName val="TLX"/>
      <sheetName val="APL TRS"/>
      <sheetName val="APL"/>
      <sheetName val="HYN"/>
      <sheetName val="HYN (2)"/>
      <sheetName val="DEP-CON"/>
      <sheetName val="DEP-CON MECA"/>
      <sheetName val="DEP-CON STIFF"/>
      <sheetName val="BAY PLN"/>
      <sheetName val="OB"/>
      <sheetName val="OB(2)"/>
      <sheetName val="CAL-DEP"/>
      <sheetName val="LOAD'DISCH"/>
      <sheetName val="OAK FRM"/>
      <sheetName val="DIST"/>
      <sheetName val="HDM"/>
      <sheetName val="HDM (2)"/>
      <sheetName val="FRE 13 FORM"/>
      <sheetName val="vsl-data"/>
      <sheetName val="HYDRO"/>
      <sheetName val="drafts"/>
      <sheetName val="draft corr"/>
      <sheetName val="DRAFTSURVEY 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ipdata"/>
      <sheetName val="BunkerPrice"/>
      <sheetName val="PortCost-GA"/>
      <sheetName val="PortCost-ASGA"/>
      <sheetName val="Exchange Rates-GA"/>
      <sheetName val="Exchange Rates-AS"/>
      <sheetName val="Bunker&amp;Port_Alloc_XN"/>
      <sheetName val="Bunker&amp;Port_Alloc_PAX"/>
      <sheetName val="Bunker&amp;Port_Alloc_VW"/>
      <sheetName val="Unit cost"/>
      <sheetName val="Data"/>
      <sheetName val="A (102)"/>
      <sheetName val="B (113)"/>
      <sheetName val="B (140)"/>
      <sheetName val="C (127)"/>
      <sheetName val="C (129)"/>
      <sheetName val="C (133)"/>
      <sheetName val="D (115)"/>
      <sheetName val="E (124)"/>
      <sheetName val="G (112)"/>
      <sheetName val="G (130)"/>
      <sheetName val="G (139)"/>
      <sheetName val="G (147)"/>
      <sheetName val="M (110)"/>
      <sheetName val="S (117)"/>
      <sheetName val="S (137)"/>
      <sheetName val="S (138)"/>
      <sheetName val="F (121)"/>
      <sheetName val="J (123)"/>
      <sheetName val="K (118)"/>
      <sheetName val="K (131)"/>
      <sheetName val="K (148)"/>
      <sheetName val="H (114)"/>
      <sheetName val="H (132)"/>
      <sheetName val="N (106)"/>
      <sheetName val="N (128)"/>
      <sheetName val="N (143)"/>
      <sheetName val="N (149)"/>
      <sheetName val="X (106)"/>
      <sheetName val="X (128)"/>
      <sheetName val="X (144)"/>
      <sheetName val="P1 (125)"/>
      <sheetName val="P2 (125)"/>
      <sheetName val="P3 (125)"/>
      <sheetName val="Q (126)"/>
      <sheetName val="ECN - Q (145)"/>
      <sheetName val="ECS-R (146)"/>
      <sheetName val="V (49)"/>
      <sheetName val="W (49)"/>
      <sheetName val="V (134)"/>
      <sheetName val="W (134)"/>
      <sheetName val="Y (74)"/>
      <sheetName val="Y (135)"/>
      <sheetName val="GASS"/>
      <sheetName val="A-E"/>
      <sheetName val="T-P West Coast"/>
      <sheetName val="T-P All Water"/>
      <sheetName val="수입"/>
      <sheetName val="DRAFTSURVEY "/>
      <sheetName val="Capex"/>
      <sheetName val="Scenarios"/>
      <sheetName val="Assumptions"/>
      <sheetName val="DISTANZ3"/>
      <sheetName val="Lookup - E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C (2)"/>
      <sheetName val="운항가능 (3)"/>
      <sheetName val="현행 VSP"/>
      <sheetName val="VSL PARTICULARS"/>
      <sheetName val="SC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고대공문"/>
      <sheetName val="학교기부"/>
      <sheetName val="xxxxxx"/>
      <sheetName val="0327∼"/>
      <sheetName val="0406∼0414"/>
      <sheetName val="0415∼"/>
      <sheetName val="0424-0504"/>
      <sheetName val="0506-0514"/>
      <sheetName val="0515-0523"/>
      <sheetName val="0524-0602"/>
      <sheetName val="0603-0614"/>
      <sheetName val="0615-"/>
      <sheetName val="회장님"/>
      <sheetName val="시장동향 (4)"/>
      <sheetName val="카메라"/>
      <sheetName val="경제성분석"/>
      <sheetName val="한계원가"/>
      <sheetName val="출자한도"/>
      <sheetName val="유화"/>
      <sheetName val="3110-2"/>
      <sheetName val="Exchange Rates-GA"/>
      <sheetName val="Shipdata"/>
      <sheetName val="수입"/>
      <sheetName val="VSL PARTICULARS"/>
      <sheetName val="검사현황"/>
      <sheetName val="년도별실"/>
      <sheetName val="업무계획1"/>
      <sheetName val="제품현황"/>
      <sheetName val="차수"/>
      <sheetName val="B_CHART"/>
      <sheetName val="DRAFTSURVEY "/>
      <sheetName val="지사"/>
      <sheetName val="생  산"/>
      <sheetName val="재료비"/>
      <sheetName val="년도별 매출"/>
      <sheetName val="9-1차이내역"/>
      <sheetName val="MacroA"/>
      <sheetName val="상반기손익차2총괄"/>
      <sheetName val="DISTANZ3"/>
      <sheetName val="출자현황"/>
      <sheetName val="F.TYPE PNW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차수"/>
      <sheetName val="학교기부"/>
      <sheetName val="VSL PARTICULARS"/>
      <sheetName val="유화"/>
      <sheetName val="Exchange Rates-GA"/>
      <sheetName val="Ship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NS"/>
      <sheetName val="**"/>
      <sheetName val="Restructuring plan"/>
      <sheetName val="PV Matrix - Exit X"/>
      <sheetName val="i&amp;a"/>
      <sheetName val="BS"/>
      <sheetName val="CF"/>
      <sheetName val="P&amp;L"/>
      <sheetName val="Mgt Ac"/>
      <sheetName val="SS-I"/>
      <sheetName val="KL-I"/>
      <sheetName val="Debt Schedule"/>
      <sheetName val="Debt Output "/>
      <sheetName val="FX &amp; Int Allocation"/>
      <sheetName val="HO&amp;GC"/>
      <sheetName val="Capex&amp;Tax"/>
      <sheetName val="SS-P"/>
      <sheetName val="Plsm"/>
      <sheetName val="KL-P"/>
      <sheetName val="Data area"/>
      <sheetName val="1999 Dev. Est Prod"/>
      <sheetName val="Revenue Calc"/>
      <sheetName val="Net swap "/>
      <sheetName val="Ha Summary"/>
      <sheetName val="Production"/>
      <sheetName val="Index"/>
      <sheetName val="Ratios"/>
      <sheetName val="Net worth"/>
      <sheetName val="debt"/>
      <sheetName val="DISTTB"/>
      <sheetName val="INOBTB"/>
      <sheetName val="LSIP Restructuring plan"/>
      <sheetName val="data_Page1_1_2"/>
      <sheetName val="data_Page1_1_3"/>
      <sheetName val="data_Page1_1_4"/>
      <sheetName val="유통망계획"/>
      <sheetName val="차수"/>
      <sheetName val="학교기부"/>
      <sheetName val=" 견적서"/>
      <sheetName val="ins"/>
      <sheetName val="FRT_O"/>
      <sheetName val="FAB_I"/>
      <sheetName val="전제"/>
      <sheetName val="Exchange Rates-GA"/>
      <sheetName val="Shipdata"/>
      <sheetName val="Capex"/>
      <sheetName val="Scenarios"/>
      <sheetName val="Assumptions"/>
      <sheetName val="유화"/>
      <sheetName val="MacroA"/>
      <sheetName val="VSL PARTICULARS"/>
      <sheetName val="신고서.전"/>
      <sheetName val="B_CHAR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GRT"/>
      <sheetName val="Month-wise TEUS"/>
      <sheetName val="TEUs 2010"/>
      <sheetName val="2010  Revenue Analysis"/>
      <sheetName val="Revenue 2010"/>
      <sheetName val="Assumption Summary"/>
      <sheetName val="Fin Tests &amp; KPI's"/>
      <sheetName val="Inf Cost"/>
      <sheetName val="Graphs"/>
      <sheetName val="P&amp;L"/>
      <sheetName val="P&amp;L GCT"/>
      <sheetName val="Balance Sheet"/>
      <sheetName val="Cash Flow"/>
      <sheetName val="Fin Returns Cumulative"/>
      <sheetName val="Fin Returns Inc'l (CT)"/>
      <sheetName val="Fin Returns Inc'l (SPS)"/>
      <sheetName val="Personnel Costs"/>
      <sheetName val="Validation lists"/>
      <sheetName val="CT Personnel Costs"/>
      <sheetName val="CT Salary Costs"/>
      <sheetName val="CT Staff Costs"/>
      <sheetName val="SPS Salary Levels"/>
      <sheetName val="CT Head Count"/>
      <sheetName val="CT Variable Model"/>
      <sheetName val="GCT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Settlement"/>
      <sheetName val="SUMMARY"/>
      <sheetName val="PortCost"/>
      <sheetName val="Shipdata"/>
      <sheetName val="BunkerPrice"/>
      <sheetName val="Exchange Rates"/>
      <sheetName val="LAS"/>
      <sheetName val="ATX"/>
      <sheetName val="SGX"/>
      <sheetName val="GMXA"/>
      <sheetName val="GMXH"/>
      <sheetName val="GAX"/>
      <sheetName val="PA1"/>
      <sheetName val="PA2"/>
      <sheetName val="P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MENU"/>
      <sheetName val="OPO"/>
      <sheetName val="REPORT"/>
      <sheetName val="DATA"/>
      <sheetName val="ETA"/>
      <sheetName val="DISTTB"/>
      <sheetName val="INOBTB"/>
      <sheetName val="EXAMPLE"/>
    </sheetNames>
    <definedNames>
      <definedName name="OPO"/>
      <definedName name="RTN"/>
    </defined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  <sheetName val="민감도분석"/>
      <sheetName val="연간데이터"/>
      <sheetName val="불변현금흐름표"/>
      <sheetName val="지방_해외배부"/>
      <sheetName val="변제"/>
      <sheetName val="환율"/>
      <sheetName val="일반배최"/>
      <sheetName val="외화채권"/>
      <sheetName val="구주(03실적)"/>
      <sheetName val="미주(03실적))"/>
      <sheetName val="아주(03실적)"/>
      <sheetName val="공문"/>
      <sheetName val="차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VXXXX"/>
      <sheetName val="Plan"/>
      <sheetName val="Plan3"/>
      <sheetName val="Plan2"/>
      <sheetName val="검토결과"/>
      <sheetName val="Proforma"/>
      <sheetName val="Proforma3"/>
      <sheetName val="TNWA FORMAT"/>
      <sheetName val="ETA"/>
      <sheetName val="DISTTB"/>
      <sheetName val="INOBTB"/>
      <sheetName val="NewproformaAPR30"/>
      <sheetName val="지방,해외배부"/>
      <sheetName val="lax"/>
      <sheetName val="pusan"/>
      <sheetName val="Vessel Information"/>
      <sheetName val="LAS"/>
      <sheetName val="NB-MKT"/>
      <sheetName val="학교기부"/>
      <sheetName val="Revenue"/>
      <sheetName val="NS"/>
      <sheetName val="EB BSA"/>
      <sheetName val="Scenarios"/>
      <sheetName val="DECP1"/>
      <sheetName val="FEBP1"/>
      <sheetName val="JANP1"/>
      <sheetName val="FEBP2"/>
      <sheetName val="MARP2"/>
      <sheetName val="APRP3"/>
      <sheetName val="MARP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port-charges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모델"/>
      <sheetName val="FSHPL"/>
      <sheetName val="전체"/>
      <sheetName val="전용선"/>
      <sheetName val="부정기선"/>
      <sheetName val="대리점"/>
      <sheetName val="21선박별예산"/>
      <sheetName val="비교 (2)"/>
      <sheetName val="전체 (2)"/>
      <sheetName val="전용선 (2)"/>
      <sheetName val="부정기선 (2)"/>
      <sheetName val="대리점 (2)"/>
      <sheetName val="21선박별예산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region"/>
      <sheetName val="port-charges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OSC 2004"/>
      <sheetName val="Shipdata 2004"/>
      <sheetName val="OSC 2005"/>
      <sheetName val="Shipdata 2005"/>
    </sheetNames>
    <sheetDataSet>
      <sheetData sheetId="0"/>
      <sheetData sheetId="1"/>
      <sheetData sheetId="2" refreshError="1"/>
      <sheetData sheetId="3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EX-PROF"/>
    </sheetNames>
    <definedNames>
      <definedName name="SIM"/>
    </defined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Hsbnb_2"/>
      <sheetName val="Modul2"/>
      <sheetName val="Makro1"/>
      <sheetName val="Weekday"/>
      <sheetName val="Modul1"/>
      <sheetName val="Modul5"/>
      <sheetName val="Modul3"/>
      <sheetName val="Schedule11"/>
      <sheetName val="Shipdata 2005"/>
      <sheetName val="BSA"/>
      <sheetName val="Macro1"/>
      <sheetName val="Lookup"/>
      <sheetName val="region"/>
      <sheetName val="8"/>
      <sheetName val="현지법인 사업계획(총괄)"/>
      <sheetName val="ANALYSE"/>
      <sheetName val="Shipdata_2005"/>
      <sheetName val="현지법인_사업계획(총괄)"/>
      <sheetName val="Sheet4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CL_AL-PON"/>
      <sheetName val="BSA"/>
      <sheetName val="Tab CBD"/>
      <sheetName val="AD HOC_New VSA"/>
      <sheetName val="Qtty_New VSA"/>
      <sheetName val="BSA_New VSA"/>
      <sheetName val="AHsbnb_2"/>
      <sheetName val="AdHocNew VSA"/>
      <sheetName val="Shipdata 2005"/>
      <sheetName val="region"/>
      <sheetName val="수입"/>
      <sheetName val="Tab_CBD"/>
      <sheetName val="AD_HOC_New_VSA"/>
      <sheetName val="Qtty_New_VSA"/>
      <sheetName val="BSA_New_VSA"/>
      <sheetName val="AdHocNew_VSA"/>
      <sheetName val="Shipdata_2005"/>
      <sheetName val="FSH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aster Data"/>
      <sheetName val="Master Pivot"/>
      <sheetName val="neu"/>
      <sheetName val="상반기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Vessel Information"/>
      <sheetName val="pusan"/>
      <sheetName val="lax"/>
      <sheetName val="Bunker %"/>
      <sheetName val="Bunker % (2)"/>
      <sheetName val="Exhibit 1"/>
      <sheetName val="accural vs actual"/>
      <sheetName val="CYCLE 7 "/>
      <sheetName val="CYCLE 8"/>
      <sheetName val="CYCLE 9"/>
      <sheetName val="CYCLE 10 to begin in May"/>
      <sheetName val="additional space"/>
      <sheetName val="Summary"/>
      <sheetName val="경제성분석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출금실적"/>
      <sheetName val="입금실적"/>
      <sheetName val="수입"/>
      <sheetName val="업무계획1"/>
      <sheetName val="Summary"/>
      <sheetName val="합손"/>
      <sheetName val="도급"/>
      <sheetName val="Master Data"/>
      <sheetName val="자금실적"/>
      <sheetName val="갑지"/>
      <sheetName val="NB-MKT"/>
      <sheetName val="2.대외공문"/>
      <sheetName val="차수"/>
      <sheetName val="구주(03실적)"/>
      <sheetName val="미주(03실적))"/>
      <sheetName val="아주(03실적)"/>
      <sheetName val="INOBTB"/>
      <sheetName val="지방,해외배부"/>
      <sheetName val="민감도분석"/>
      <sheetName val="연간데이터"/>
      <sheetName val="불변현금흐름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경상투자비명세 (3)"/>
      <sheetName val="불변사업비명세 (3)"/>
      <sheetName val="경상투자비명세 (2)"/>
      <sheetName val="불변사업비명세 (2)"/>
      <sheetName val="고정자산"/>
      <sheetName val="불변사업비명세"/>
      <sheetName val="총투자비산정"/>
      <sheetName val="경상투자비명세"/>
      <sheetName val="경상손익계산서"/>
      <sheetName val="경상현금흐름표"/>
      <sheetName val="불변현금흐름표"/>
      <sheetName val="민감도분석"/>
      <sheetName val="테이블표"/>
      <sheetName val="년간데이타"/>
      <sheetName val="gaduk_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표지2"/>
      <sheetName val="배부기준"/>
      <sheetName val="지방,해외 배부비율"/>
      <sheetName val="콘테이너배부기준"/>
      <sheetName val="콘테이너유관부서사전배부"/>
      <sheetName val="영업부배부비율"/>
      <sheetName val="본사배부"/>
      <sheetName val="광고비"/>
      <sheetName val="전산비"/>
      <sheetName val="지방,해외배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▶총괄(03실적)"/>
      <sheetName val="미주(03실적))"/>
      <sheetName val="구주(03실적)"/>
      <sheetName val="아주(03실적)"/>
      <sheetName val="▶총괄(03예산)"/>
      <sheetName val="미주(03예산)"/>
      <sheetName val="구주(03예산) "/>
      <sheetName val="아주(03예산)"/>
      <sheetName val="▶총괄(02실적)"/>
      <sheetName val="미주(02실적) "/>
      <sheetName val="구주(02실적)"/>
      <sheetName val="아주(02실적)"/>
      <sheetName val="※구주운송물량(03예산)"/>
      <sheetName val="년간데이타"/>
      <sheetName val="지방,해외배부"/>
      <sheetName val="미국지도II"/>
      <sheetName val="출금실적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공문1"/>
      <sheetName val="표지"/>
      <sheetName val="1총괄(上)"/>
      <sheetName val="1총괄(下)"/>
      <sheetName val="2손익"/>
      <sheetName val="3대차"/>
      <sheetName val="4법인세(上)"/>
      <sheetName val="4법인세(下)"/>
      <sheetName val="5잉여금"/>
      <sheetName val="6준비금"/>
      <sheetName val="6부가"/>
      <sheetName val="7여신"/>
      <sheetName val="8주평"/>
      <sheetName val="9확정실적"/>
      <sheetName val="9-1차이내역"/>
      <sheetName val="8-1순자산액계산서"/>
      <sheetName val="8-2평가차액계산명세서"/>
      <sheetName val="8-3순손익액계산서"/>
      <sheetName val="8-4영업권평가조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월별보고표"/>
      <sheetName val="광양연간수(BASE)"/>
      <sheetName val="서류전형"/>
      <sheetName val="현금흐름(SPC)"/>
      <sheetName val="9-1차이내역"/>
      <sheetName val="필요면적"/>
      <sheetName val="2000년1차"/>
      <sheetName val="배선계획"/>
      <sheetName val="DATA"/>
      <sheetName val="REF"/>
      <sheetName val="구주(03실적)"/>
      <sheetName val="미주(03실적))"/>
      <sheetName val="아주(03실적)"/>
      <sheetName val="기별월별손익"/>
      <sheetName val="종기실공문"/>
      <sheetName val="수입"/>
      <sheetName val="PivotTable $"/>
      <sheetName val="년간데이타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전체_월별"/>
      <sheetName val="홍콩_월별"/>
      <sheetName val="지중해_월별"/>
      <sheetName val="합계_월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종기실공문"/>
      <sheetName val="전신전화가입권"/>
      <sheetName val="2000년"/>
      <sheetName val="2001년"/>
      <sheetName val="법인수정"/>
      <sheetName val="Config"/>
      <sheetName val="조회서"/>
      <sheetName val="주소"/>
      <sheetName val="9-1차이내역"/>
      <sheetName val="전체_월별"/>
      <sheetName val="회사정보"/>
      <sheetName val="RECIMAKE"/>
      <sheetName val="지방,해외배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수입"/>
      <sheetName val="종기실공문"/>
      <sheetName val="작성지침"/>
      <sheetName val="환율"/>
      <sheetName val="목차"/>
      <sheetName val="수립기준"/>
      <sheetName val="총괄표(1)"/>
      <sheetName val="총괄표(2)"/>
      <sheetName val="구분손익（１）"/>
      <sheetName val="구분손익 (2)"/>
      <sheetName val="매출"/>
      <sheetName val="수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비용정산"/>
      <sheetName val="비용정산 (2)"/>
      <sheetName val="지점비용"/>
      <sheetName val="수입"/>
      <sheetName val="인원계획"/>
      <sheetName val="태국법인"/>
      <sheetName val="9-1차이내역"/>
      <sheetName val="첨부1"/>
      <sheetName val="필요면적"/>
      <sheetName val="TOEIC기준점수"/>
      <sheetName val="출금실적"/>
      <sheetName val="종기실공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비용적용요율"/>
      <sheetName val="민감도분석"/>
      <sheetName val="투자비"/>
      <sheetName val="불변현금흐름표"/>
      <sheetName val="차입금상환"/>
      <sheetName val="경상현금흐름표"/>
      <sheetName val="경상손익계산서"/>
      <sheetName val="공사비"/>
      <sheetName val="Sheet1"/>
      <sheetName val="장비"/>
      <sheetName val="불변사업비"/>
      <sheetName val="경상사업비"/>
      <sheetName val="연간데이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비용정산"/>
      <sheetName val="비용정산 (2)"/>
      <sheetName val="지점비용"/>
      <sheetName val="#REF"/>
      <sheetName val="2.대외공문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표지 (2)"/>
      <sheetName val="현지법인현황"/>
      <sheetName val="인원계획"/>
      <sheetName val="COMM 현황"/>
      <sheetName val="일반관리비 분석"/>
      <sheetName val="현지법인 사업계획(총괄)"/>
      <sheetName val="수입"/>
      <sheetName val="현지법인 사업계획_총괄_"/>
      <sheetName val="지급어음"/>
      <sheetName val="지점비용"/>
      <sheetName val="경영전략"/>
      <sheetName val="템플릿"/>
      <sheetName val="#REF"/>
      <sheetName val="2.대외공문"/>
      <sheetName val="필요면적"/>
      <sheetName val="불변현금흐름표"/>
      <sheetName val="감독1130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총괄표"/>
      <sheetName val="1"/>
      <sheetName val="21"/>
      <sheetName val="22"/>
      <sheetName val="31"/>
      <sheetName val="32"/>
      <sheetName val="41"/>
      <sheetName val="42"/>
      <sheetName val="43"/>
      <sheetName val="51"/>
      <sheetName val="5111"/>
      <sheetName val="5112"/>
      <sheetName val="5113"/>
      <sheetName val="5114"/>
      <sheetName val="5121"/>
      <sheetName val="5122"/>
      <sheetName val="5131"/>
      <sheetName val="5132"/>
      <sheetName val="5141"/>
      <sheetName val="5142"/>
      <sheetName val="515"/>
      <sheetName val="516"/>
      <sheetName val="517"/>
      <sheetName val="52"/>
      <sheetName val="521"/>
      <sheetName val="522"/>
      <sheetName val="5231"/>
      <sheetName val="5232"/>
      <sheetName val="524"/>
      <sheetName val="525"/>
      <sheetName val="526"/>
      <sheetName val="527"/>
      <sheetName val="53"/>
      <sheetName val="531"/>
      <sheetName val="532"/>
      <sheetName val="5331"/>
      <sheetName val="5332"/>
      <sheetName val="534"/>
      <sheetName val="535"/>
      <sheetName val="536"/>
      <sheetName val="537"/>
      <sheetName val="54"/>
      <sheetName val="61"/>
      <sheetName val="62"/>
      <sheetName val="63"/>
      <sheetName val="64"/>
      <sheetName val="71"/>
      <sheetName val="72"/>
      <sheetName val="73"/>
      <sheetName val="8"/>
      <sheetName val="9"/>
      <sheetName val="10"/>
      <sheetName val="미주운송비"/>
      <sheetName val="미주용대선료"/>
      <sheetName val="구주용대선수입"/>
      <sheetName val="5341(대리점비)"/>
      <sheetName val="5342(대리점비)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물동량"/>
      <sheetName val="CFS물동량"/>
      <sheetName val="CFS면적60"/>
      <sheetName val="광양"/>
      <sheetName val="CFS면적100"/>
      <sheetName val="감만"/>
      <sheetName val="양산전용"/>
      <sheetName val="처리능력"/>
      <sheetName val="현황"/>
      <sheetName val="필요면적"/>
      <sheetName val="9-1차이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ables/table1.xml><?xml version="1.0" encoding="utf-8"?>
<table xmlns="http://schemas.openxmlformats.org/spreadsheetml/2006/main" id="1" name="Table2" displayName="Table2" ref="R135:R142" totalsRowShown="0">
  <tableColumns count="1">
    <tableColumn id="1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  <outlinePr summaryRight="0"/>
  </sheetPr>
  <dimension ref="A1:BP163"/>
  <sheetViews>
    <sheetView tabSelected="1" zoomScale="13" zoomScaleNormal="13" zoomScaleSheetLayoutView="25" workbookViewId="0">
      <pane xSplit="13" ySplit="10" topLeftCell="N14" activePane="bottomRight" state="frozen"/>
      <selection/>
      <selection pane="topRight"/>
      <selection pane="bottomLeft"/>
      <selection pane="bottomRight" activeCell="K113" sqref="K113:K118"/>
    </sheetView>
  </sheetViews>
  <sheetFormatPr defaultColWidth="9" defaultRowHeight="36.6"/>
  <cols>
    <col min="1" max="7" width="9" style="60" customWidth="1"/>
    <col min="8" max="9" width="11.287037037037" style="61" customWidth="1"/>
    <col min="10" max="10" width="32.712962962963" style="61" customWidth="1" outlineLevel="1"/>
    <col min="11" max="11" width="42.5740740740741" style="62" customWidth="1" outlineLevel="1"/>
    <col min="12" max="12" width="13" style="63" customWidth="1" outlineLevel="1"/>
    <col min="13" max="13" width="3" style="59" customWidth="1" outlineLevel="1"/>
    <col min="14" max="17" width="15.712962962963" style="59" customWidth="1" outlineLevel="1"/>
    <col min="18" max="18" width="16.5740740740741" style="59" customWidth="1" outlineLevel="1"/>
    <col min="19" max="68" width="15.712962962963" style="59" customWidth="1" outlineLevel="1"/>
    <col min="69" max="16327" width="9.13888888888889" style="59"/>
    <col min="16328" max="16384" width="9" style="59"/>
  </cols>
  <sheetData>
    <row r="1" ht="30.75" customHeight="1" spans="1:68">
      <c r="A1" s="64"/>
      <c r="B1" s="65"/>
      <c r="C1" s="65"/>
      <c r="D1" s="65"/>
      <c r="E1" s="65"/>
      <c r="F1" s="65"/>
      <c r="G1" s="65"/>
      <c r="H1" s="66"/>
      <c r="I1" s="66"/>
      <c r="J1" s="66"/>
      <c r="K1" s="67"/>
      <c r="L1" s="68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</row>
    <row r="2" ht="30.75" customHeight="1" spans="1:68">
      <c r="A2" s="70"/>
    </row>
    <row r="3" ht="41.55" spans="1:68">
      <c r="A3" s="70"/>
      <c r="I3" s="71"/>
      <c r="J3" s="71"/>
      <c r="K3" s="72"/>
      <c r="L3" s="73"/>
      <c r="M3" s="74"/>
      <c r="N3" s="75" t="s">
        <v>0</v>
      </c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</row>
    <row r="4" ht="41.55" spans="1:68">
      <c r="A4" s="70"/>
      <c r="I4" s="71"/>
      <c r="J4" s="71"/>
      <c r="K4" s="72" t="s">
        <v>1</v>
      </c>
      <c r="L4" s="73"/>
      <c r="M4" s="74"/>
      <c r="N4" s="76">
        <f ca="1">NOW()</f>
        <v>46267.9787152778</v>
      </c>
      <c r="O4" s="76"/>
      <c r="P4" s="76"/>
      <c r="Q4" s="76"/>
      <c r="R4" s="77" t="s">
        <v>2</v>
      </c>
      <c r="S4" s="77"/>
      <c r="T4" s="77"/>
      <c r="U4" s="77"/>
      <c r="V4" s="78"/>
      <c r="W4" s="78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77" t="s">
        <v>3</v>
      </c>
      <c r="AJ4" s="77"/>
      <c r="AK4" s="77"/>
      <c r="AL4" s="77"/>
      <c r="AZ4" s="79"/>
      <c r="BA4" s="79"/>
      <c r="BB4" s="79"/>
      <c r="BC4" s="79"/>
      <c r="BD4" s="80" t="s">
        <v>4</v>
      </c>
      <c r="BE4" s="80"/>
      <c r="BF4" s="80"/>
      <c r="BG4" s="80"/>
      <c r="BL4" s="74"/>
      <c r="BM4" s="74"/>
      <c r="BN4" s="74"/>
      <c r="BO4" s="74"/>
      <c r="BP4" s="81"/>
    </row>
    <row r="5" ht="41.55" spans="1:68">
      <c r="A5" s="70"/>
      <c r="I5" s="71"/>
      <c r="J5" s="71"/>
      <c r="K5" s="72"/>
      <c r="L5" s="73"/>
      <c r="M5" s="74"/>
      <c r="N5" s="76"/>
      <c r="O5" s="76"/>
      <c r="P5" s="76"/>
      <c r="Q5" s="76"/>
      <c r="R5" s="82" t="s">
        <v>5</v>
      </c>
      <c r="S5" s="82"/>
      <c r="T5" s="82"/>
      <c r="U5" s="82"/>
      <c r="V5" s="82"/>
      <c r="X5" s="83"/>
      <c r="Y5" s="84" t="s">
        <v>6</v>
      </c>
      <c r="Z5" s="85"/>
      <c r="AA5" s="86" t="s">
        <v>7</v>
      </c>
      <c r="AB5" s="87"/>
      <c r="AC5" s="84" t="s">
        <v>8</v>
      </c>
      <c r="AD5" s="88"/>
      <c r="AE5" s="89" t="s">
        <v>9</v>
      </c>
      <c r="AF5" s="90"/>
      <c r="AG5" s="91" t="s">
        <v>10</v>
      </c>
      <c r="AH5" s="82" t="s">
        <v>11</v>
      </c>
      <c r="AI5" s="82"/>
      <c r="AJ5" s="82"/>
      <c r="AK5" s="82"/>
      <c r="AL5" s="82"/>
      <c r="AM5" s="92"/>
      <c r="AN5" s="93" t="s">
        <v>12</v>
      </c>
      <c r="AO5" s="94"/>
      <c r="AR5" s="94"/>
      <c r="AS5" s="89" t="s">
        <v>13</v>
      </c>
      <c r="AT5" s="89"/>
      <c r="AU5" s="89"/>
      <c r="AV5" s="94"/>
      <c r="AW5" s="95"/>
      <c r="AX5" s="93" t="s">
        <v>14</v>
      </c>
      <c r="AY5" s="94"/>
      <c r="AZ5" s="94"/>
      <c r="BA5" s="94"/>
      <c r="BC5" s="96"/>
      <c r="BD5" s="97" t="s">
        <v>15</v>
      </c>
      <c r="BE5" s="97"/>
      <c r="BF5" s="97"/>
      <c r="BG5" s="97"/>
      <c r="BH5" s="97"/>
      <c r="BI5" s="98"/>
      <c r="BJ5" s="93" t="s">
        <v>16</v>
      </c>
      <c r="BK5" s="99"/>
      <c r="BL5" s="74"/>
      <c r="BM5" s="100"/>
      <c r="BN5" s="93" t="s">
        <v>17</v>
      </c>
      <c r="BO5" s="74"/>
      <c r="BP5" s="81"/>
    </row>
    <row r="6" ht="50.1" customHeight="1" spans="1:68">
      <c r="A6" s="101" t="s">
        <v>18</v>
      </c>
      <c r="B6" s="101" t="s">
        <v>19</v>
      </c>
      <c r="C6" s="101" t="s">
        <v>20</v>
      </c>
      <c r="D6" s="101" t="s">
        <v>21</v>
      </c>
      <c r="E6" s="101" t="s">
        <v>22</v>
      </c>
      <c r="F6" s="101" t="s">
        <v>23</v>
      </c>
      <c r="G6" s="102" t="s">
        <v>24</v>
      </c>
      <c r="H6" s="103" t="s">
        <v>25</v>
      </c>
      <c r="I6" s="104" t="s">
        <v>26</v>
      </c>
      <c r="J6" s="105" t="s">
        <v>27</v>
      </c>
      <c r="K6" s="105"/>
      <c r="L6" s="105"/>
      <c r="M6" s="105"/>
      <c r="N6" s="106" t="s">
        <v>18</v>
      </c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7" t="s">
        <v>19</v>
      </c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 t="s">
        <v>20</v>
      </c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8" t="s">
        <v>21</v>
      </c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</row>
    <row r="7" ht="49.5" customHeight="1" spans="1:68">
      <c r="A7" s="101"/>
      <c r="B7" s="101"/>
      <c r="C7" s="101"/>
      <c r="D7" s="101"/>
      <c r="E7" s="101"/>
      <c r="F7" s="101"/>
      <c r="G7" s="102"/>
      <c r="H7" s="103"/>
      <c r="I7" s="104"/>
      <c r="J7" s="105"/>
      <c r="K7" s="105"/>
      <c r="L7" s="105"/>
      <c r="M7" s="105"/>
      <c r="N7" s="106" t="s">
        <v>28</v>
      </c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7" t="s">
        <v>29</v>
      </c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 t="s">
        <v>30</v>
      </c>
      <c r="AK7" s="107"/>
      <c r="AL7" s="107"/>
      <c r="AM7" s="107"/>
      <c r="AN7" s="107"/>
      <c r="AO7" s="107"/>
      <c r="AP7" s="107"/>
      <c r="AQ7" s="107"/>
      <c r="AR7" s="107"/>
      <c r="AS7" s="107"/>
      <c r="AT7" s="107"/>
      <c r="AU7" s="107"/>
      <c r="AV7" s="107"/>
      <c r="AW7" s="106" t="s">
        <v>31</v>
      </c>
      <c r="AX7" s="106"/>
      <c r="AY7" s="106"/>
      <c r="AZ7" s="106"/>
      <c r="BA7" s="106"/>
      <c r="BB7" s="106"/>
      <c r="BC7" s="106"/>
      <c r="BD7" s="106"/>
      <c r="BE7" s="106"/>
      <c r="BF7" s="106"/>
      <c r="BG7" s="106"/>
      <c r="BH7" s="106"/>
      <c r="BI7" s="106"/>
      <c r="BJ7" s="106"/>
      <c r="BK7" s="106"/>
      <c r="BL7" s="106"/>
      <c r="BM7" s="106"/>
      <c r="BN7" s="106"/>
      <c r="BO7" s="106"/>
      <c r="BP7" s="106"/>
    </row>
    <row r="8" ht="50.1" customHeight="1" spans="1:68">
      <c r="A8" s="101"/>
      <c r="B8" s="101"/>
      <c r="C8" s="101"/>
      <c r="D8" s="101"/>
      <c r="E8" s="101"/>
      <c r="F8" s="101"/>
      <c r="G8" s="102"/>
      <c r="H8" s="103"/>
      <c r="I8" s="104"/>
      <c r="J8" s="105"/>
      <c r="K8" s="105"/>
      <c r="L8" s="105"/>
      <c r="M8" s="105"/>
      <c r="N8" s="109"/>
      <c r="O8" s="110"/>
      <c r="P8" s="110"/>
      <c r="Q8" s="110"/>
      <c r="R8" s="110"/>
      <c r="S8" s="110"/>
      <c r="T8" s="110"/>
      <c r="U8" s="110"/>
      <c r="V8" s="110"/>
      <c r="W8" s="110"/>
      <c r="X8" s="111"/>
      <c r="Y8" s="112"/>
      <c r="Z8" s="110"/>
      <c r="AA8" s="110"/>
      <c r="AB8" s="110"/>
      <c r="AC8" s="110"/>
      <c r="AD8" s="113"/>
      <c r="AE8" s="110"/>
      <c r="AF8" s="110"/>
      <c r="AG8" s="110"/>
      <c r="AH8" s="110"/>
      <c r="AI8" s="111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4"/>
      <c r="AW8" s="109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110"/>
      <c r="BN8" s="110"/>
      <c r="BO8" s="110"/>
      <c r="BP8" s="110"/>
    </row>
    <row r="9" ht="50.1" customHeight="1" spans="1:68">
      <c r="A9" s="101"/>
      <c r="B9" s="101"/>
      <c r="C9" s="101"/>
      <c r="D9" s="101"/>
      <c r="E9" s="101"/>
      <c r="F9" s="101"/>
      <c r="G9" s="102"/>
      <c r="H9" s="103"/>
      <c r="I9" s="104"/>
      <c r="J9" s="105"/>
      <c r="K9" s="105"/>
      <c r="L9" s="105"/>
      <c r="M9" s="105"/>
      <c r="N9" s="109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3"/>
      <c r="AE9" s="110"/>
      <c r="AF9" s="110"/>
      <c r="AG9" s="110"/>
      <c r="AH9" s="110"/>
      <c r="AI9" s="110"/>
      <c r="AJ9" s="110"/>
      <c r="AK9" s="110"/>
      <c r="AL9" s="110"/>
      <c r="AM9" s="110"/>
      <c r="AN9" s="110"/>
      <c r="AO9" s="110"/>
      <c r="AP9" s="110"/>
      <c r="AQ9" s="110"/>
      <c r="AR9" s="110"/>
      <c r="AS9" s="110"/>
      <c r="AT9" s="110"/>
      <c r="AU9" s="110"/>
      <c r="AV9" s="114"/>
      <c r="AW9" s="109"/>
      <c r="AX9" s="110"/>
      <c r="AY9" s="110"/>
      <c r="AZ9" s="110"/>
      <c r="BA9" s="110"/>
      <c r="BB9" s="110"/>
      <c r="BC9" s="110"/>
      <c r="BD9" s="110"/>
      <c r="BE9" s="110"/>
      <c r="BF9" s="110"/>
      <c r="BG9" s="110"/>
      <c r="BH9" s="110"/>
      <c r="BI9" s="110"/>
      <c r="BJ9" s="110"/>
      <c r="BK9" s="110"/>
      <c r="BL9" s="110"/>
      <c r="BM9" s="110"/>
      <c r="BN9" s="110"/>
      <c r="BO9" s="110"/>
      <c r="BP9" s="110"/>
    </row>
    <row r="10" ht="49.5" customHeight="1" spans="1:68">
      <c r="A10" s="101"/>
      <c r="B10" s="101"/>
      <c r="C10" s="101"/>
      <c r="D10" s="101"/>
      <c r="E10" s="101"/>
      <c r="F10" s="101"/>
      <c r="G10" s="102"/>
      <c r="H10" s="103"/>
      <c r="I10" s="104"/>
      <c r="J10" s="105"/>
      <c r="K10" s="105"/>
      <c r="L10" s="105"/>
      <c r="M10" s="105"/>
      <c r="N10" s="115">
        <v>25</v>
      </c>
      <c r="O10" s="116">
        <v>50</v>
      </c>
      <c r="P10" s="116">
        <v>75</v>
      </c>
      <c r="Q10" s="116">
        <v>100</v>
      </c>
      <c r="R10" s="116">
        <v>125</v>
      </c>
      <c r="S10" s="116">
        <v>150</v>
      </c>
      <c r="T10" s="116">
        <v>175</v>
      </c>
      <c r="U10" s="116">
        <v>200</v>
      </c>
      <c r="V10" s="116">
        <v>225</v>
      </c>
      <c r="W10" s="116">
        <v>250</v>
      </c>
      <c r="X10" s="116">
        <v>275</v>
      </c>
      <c r="Y10" s="116">
        <v>300</v>
      </c>
      <c r="Z10" s="116">
        <v>325</v>
      </c>
      <c r="AA10" s="116">
        <v>350</v>
      </c>
      <c r="AB10" s="116">
        <v>375</v>
      </c>
      <c r="AC10" s="116">
        <v>400</v>
      </c>
      <c r="AD10" s="116">
        <v>425</v>
      </c>
      <c r="AE10" s="116">
        <v>450</v>
      </c>
      <c r="AF10" s="116">
        <v>475</v>
      </c>
      <c r="AG10" s="116">
        <v>500</v>
      </c>
      <c r="AH10" s="116">
        <v>525</v>
      </c>
      <c r="AI10" s="116">
        <v>550</v>
      </c>
      <c r="AJ10" s="116">
        <v>575</v>
      </c>
      <c r="AK10" s="116">
        <v>600</v>
      </c>
      <c r="AL10" s="116">
        <v>625</v>
      </c>
      <c r="AM10" s="116">
        <v>650</v>
      </c>
      <c r="AN10" s="116">
        <v>675</v>
      </c>
      <c r="AO10" s="116">
        <v>700</v>
      </c>
      <c r="AP10" s="116">
        <v>725</v>
      </c>
      <c r="AQ10" s="116">
        <v>750</v>
      </c>
      <c r="AR10" s="117">
        <v>775</v>
      </c>
      <c r="AS10" s="117">
        <v>800</v>
      </c>
      <c r="AT10" s="117">
        <v>825</v>
      </c>
      <c r="AU10" s="117">
        <v>850</v>
      </c>
      <c r="AV10" s="118">
        <v>865</v>
      </c>
      <c r="AW10" s="119">
        <v>495</v>
      </c>
      <c r="AX10" s="116">
        <v>475</v>
      </c>
      <c r="AY10" s="116">
        <v>450</v>
      </c>
      <c r="AZ10" s="116">
        <v>425</v>
      </c>
      <c r="BA10" s="116">
        <v>400</v>
      </c>
      <c r="BB10" s="116">
        <v>375</v>
      </c>
      <c r="BC10" s="116">
        <v>350</v>
      </c>
      <c r="BD10" s="116">
        <v>325</v>
      </c>
      <c r="BE10" s="116">
        <v>300</v>
      </c>
      <c r="BF10" s="116">
        <v>275</v>
      </c>
      <c r="BG10" s="116">
        <v>250</v>
      </c>
      <c r="BH10" s="116">
        <v>225</v>
      </c>
      <c r="BI10" s="116">
        <v>200</v>
      </c>
      <c r="BJ10" s="116">
        <v>175</v>
      </c>
      <c r="BK10" s="116">
        <v>150</v>
      </c>
      <c r="BL10" s="116">
        <v>125</v>
      </c>
      <c r="BM10" s="116">
        <v>100</v>
      </c>
      <c r="BN10" s="116">
        <v>75</v>
      </c>
      <c r="BO10" s="116">
        <v>50</v>
      </c>
      <c r="BP10" s="120">
        <v>25</v>
      </c>
    </row>
    <row r="11" ht="60" customHeight="1" spans="1:68">
      <c r="A11" s="121" t="s">
        <v>32</v>
      </c>
      <c r="B11" s="122"/>
      <c r="C11" s="122"/>
      <c r="D11" s="123"/>
      <c r="E11" s="124" t="s">
        <v>33</v>
      </c>
      <c r="F11" s="125"/>
      <c r="G11" s="126" t="s">
        <v>34</v>
      </c>
      <c r="H11" s="127">
        <v>13</v>
      </c>
      <c r="I11" s="128">
        <f t="shared" ref="I11:I16" si="0">SUM(M11:BP11)</f>
        <v>8</v>
      </c>
      <c r="J11" s="129" t="s">
        <v>35</v>
      </c>
      <c r="K11" s="130">
        <f ca="1">TODAY()</f>
        <v>46267</v>
      </c>
      <c r="L11" s="131" t="s">
        <v>36</v>
      </c>
      <c r="M11" s="132"/>
      <c r="N11" s="133">
        <v>2</v>
      </c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>
        <v>5</v>
      </c>
      <c r="AW11" s="134">
        <v>1</v>
      </c>
      <c r="AX11" s="133"/>
      <c r="AY11" s="135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6"/>
    </row>
    <row r="12" ht="60" customHeight="1" spans="1:68">
      <c r="A12" s="137"/>
      <c r="B12" s="138"/>
      <c r="C12" s="138"/>
      <c r="D12" s="123"/>
      <c r="E12" s="139"/>
      <c r="F12" s="140"/>
      <c r="G12" s="141"/>
      <c r="H12" s="142">
        <v>13</v>
      </c>
      <c r="I12" s="128">
        <f t="shared" si="0"/>
        <v>8</v>
      </c>
      <c r="J12" s="129" t="s">
        <v>37</v>
      </c>
      <c r="K12" s="130"/>
      <c r="L12" s="131"/>
      <c r="M12" s="132"/>
      <c r="N12" s="133">
        <v>3</v>
      </c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>
        <v>5</v>
      </c>
      <c r="AW12" s="134"/>
      <c r="AX12" s="133"/>
      <c r="AY12" s="135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6"/>
    </row>
    <row r="13" ht="60" customHeight="1" spans="1:68">
      <c r="A13" s="137"/>
      <c r="B13" s="138"/>
      <c r="C13" s="138"/>
      <c r="D13" s="123"/>
      <c r="E13" s="139"/>
      <c r="F13" s="143"/>
      <c r="G13" s="144"/>
      <c r="H13" s="142">
        <v>11</v>
      </c>
      <c r="I13" s="128">
        <f t="shared" si="0"/>
        <v>8</v>
      </c>
      <c r="J13" s="129" t="s">
        <v>38</v>
      </c>
      <c r="K13" s="130"/>
      <c r="L13" s="131"/>
      <c r="M13" s="132"/>
      <c r="N13" s="133">
        <v>3</v>
      </c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>
        <v>5</v>
      </c>
      <c r="AW13" s="145"/>
      <c r="AX13" s="133"/>
      <c r="AY13" s="135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6"/>
    </row>
    <row r="14" ht="60" customHeight="1" spans="1:68">
      <c r="A14" s="137"/>
      <c r="B14" s="138"/>
      <c r="C14" s="138"/>
      <c r="D14" s="123"/>
      <c r="E14" s="139"/>
      <c r="F14" s="146" t="s">
        <v>39</v>
      </c>
      <c r="G14" s="147"/>
      <c r="H14" s="142">
        <v>12</v>
      </c>
      <c r="I14" s="128">
        <f t="shared" si="0"/>
        <v>8</v>
      </c>
      <c r="J14" s="129" t="s">
        <v>40</v>
      </c>
      <c r="K14" s="130"/>
      <c r="L14" s="131"/>
      <c r="M14" s="132"/>
      <c r="N14" s="133">
        <v>3</v>
      </c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>
        <v>5</v>
      </c>
      <c r="AW14" s="145"/>
      <c r="AX14" s="133"/>
      <c r="AY14" s="135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6"/>
    </row>
    <row r="15" ht="60" customHeight="1" spans="1:68">
      <c r="A15" s="148"/>
      <c r="B15" s="138"/>
      <c r="C15" s="138"/>
      <c r="D15" s="123"/>
      <c r="E15" s="139"/>
      <c r="F15" s="149"/>
      <c r="G15" s="147"/>
      <c r="H15" s="142">
        <v>12</v>
      </c>
      <c r="I15" s="128">
        <f t="shared" si="0"/>
        <v>10</v>
      </c>
      <c r="J15" s="129" t="s">
        <v>41</v>
      </c>
      <c r="K15" s="130"/>
      <c r="L15" s="131"/>
      <c r="M15" s="132"/>
      <c r="N15" s="133">
        <v>2</v>
      </c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>
        <v>5</v>
      </c>
      <c r="AW15" s="145">
        <v>3</v>
      </c>
      <c r="AX15" s="133"/>
      <c r="AY15" s="135"/>
      <c r="AZ15" s="133"/>
      <c r="BA15" s="150"/>
      <c r="BB15" s="150"/>
      <c r="BC15" s="150"/>
      <c r="BD15" s="150"/>
      <c r="BE15" s="150"/>
      <c r="BF15" s="150"/>
      <c r="BG15" s="150"/>
      <c r="BH15" s="150"/>
      <c r="BI15" s="150"/>
      <c r="BJ15" s="150"/>
      <c r="BK15" s="150"/>
      <c r="BL15" s="150"/>
      <c r="BM15" s="150"/>
      <c r="BN15" s="150"/>
      <c r="BO15" s="133"/>
      <c r="BP15" s="151"/>
    </row>
    <row r="16" ht="60" customHeight="1" spans="1:68">
      <c r="A16" s="152"/>
      <c r="B16" s="138"/>
      <c r="C16" s="138"/>
      <c r="D16" s="123"/>
      <c r="E16" s="139"/>
      <c r="F16" s="149"/>
      <c r="G16" s="147"/>
      <c r="H16" s="142">
        <v>8</v>
      </c>
      <c r="I16" s="128">
        <f t="shared" si="0"/>
        <v>10</v>
      </c>
      <c r="J16" s="129" t="s">
        <v>42</v>
      </c>
      <c r="K16" s="130"/>
      <c r="L16" s="131"/>
      <c r="M16" s="132"/>
      <c r="N16" s="133">
        <v>2</v>
      </c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>
        <v>5</v>
      </c>
      <c r="AW16" s="145">
        <v>3</v>
      </c>
      <c r="AX16" s="133"/>
      <c r="AY16" s="135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51"/>
    </row>
    <row r="17" ht="60" customHeight="1" spans="1:68">
      <c r="A17" s="153"/>
      <c r="B17" s="154" t="s">
        <v>43</v>
      </c>
      <c r="C17" s="155"/>
      <c r="D17" s="123"/>
      <c r="E17" s="139"/>
      <c r="F17" s="149"/>
      <c r="G17" s="147"/>
      <c r="H17" s="142">
        <v>14</v>
      </c>
      <c r="I17" s="128">
        <f t="shared" ref="I11:I34" si="1">SUM(M17:BP17)</f>
        <v>10</v>
      </c>
      <c r="J17" s="129" t="s">
        <v>44</v>
      </c>
      <c r="K17" s="156">
        <f ca="1">TODAY()</f>
        <v>46267</v>
      </c>
      <c r="L17" s="131"/>
      <c r="M17" s="157"/>
      <c r="N17" s="150">
        <v>2</v>
      </c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>
        <v>5</v>
      </c>
      <c r="AW17" s="145">
        <v>3</v>
      </c>
      <c r="AX17" s="150"/>
      <c r="AY17" s="158"/>
      <c r="AZ17" s="150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51"/>
    </row>
    <row r="18" ht="60" customHeight="1" spans="1:68">
      <c r="A18" s="153"/>
      <c r="B18" s="159"/>
      <c r="C18" s="160"/>
      <c r="D18" s="123"/>
      <c r="E18" s="139"/>
      <c r="F18" s="149"/>
      <c r="G18" s="147"/>
      <c r="H18" s="142">
        <v>14</v>
      </c>
      <c r="I18" s="128">
        <f t="shared" si="1"/>
        <v>10</v>
      </c>
      <c r="J18" s="129" t="s">
        <v>45</v>
      </c>
      <c r="K18" s="156"/>
      <c r="L18" s="131"/>
      <c r="M18" s="157"/>
      <c r="N18" s="150">
        <v>2</v>
      </c>
      <c r="O18" s="150"/>
      <c r="P18" s="150"/>
      <c r="Q18" s="133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>
        <v>5</v>
      </c>
      <c r="AW18" s="145">
        <v>3</v>
      </c>
      <c r="AX18" s="150"/>
      <c r="AY18" s="158"/>
      <c r="AZ18" s="150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51"/>
    </row>
    <row r="19" ht="60" customHeight="1" spans="1:68">
      <c r="A19" s="153"/>
      <c r="B19" s="159"/>
      <c r="C19" s="160"/>
      <c r="D19" s="123"/>
      <c r="E19" s="139"/>
      <c r="F19" s="149"/>
      <c r="G19" s="147"/>
      <c r="H19" s="142">
        <v>14</v>
      </c>
      <c r="I19" s="128">
        <f t="shared" si="1"/>
        <v>10</v>
      </c>
      <c r="J19" s="129" t="s">
        <v>46</v>
      </c>
      <c r="K19" s="156"/>
      <c r="L19" s="131"/>
      <c r="M19" s="157"/>
      <c r="N19" s="150">
        <v>2</v>
      </c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>
        <v>4</v>
      </c>
      <c r="AW19" s="145">
        <v>4</v>
      </c>
      <c r="AX19" s="150"/>
      <c r="AY19" s="158"/>
      <c r="AZ19" s="150"/>
      <c r="BA19" s="150"/>
      <c r="BB19" s="150"/>
      <c r="BC19" s="150"/>
      <c r="BD19" s="150"/>
      <c r="BE19" s="150"/>
      <c r="BF19" s="150"/>
      <c r="BG19" s="150"/>
      <c r="BH19" s="150"/>
      <c r="BI19" s="150"/>
      <c r="BJ19" s="150"/>
      <c r="BK19" s="150"/>
      <c r="BL19" s="150"/>
      <c r="BM19" s="150"/>
      <c r="BN19" s="150"/>
      <c r="BO19" s="133"/>
      <c r="BP19" s="151"/>
    </row>
    <row r="20" ht="60" customHeight="1" spans="1:68">
      <c r="A20" s="153"/>
      <c r="B20" s="159"/>
      <c r="C20" s="160"/>
      <c r="D20" s="123"/>
      <c r="E20" s="139"/>
      <c r="F20" s="149"/>
      <c r="G20" s="147"/>
      <c r="H20" s="142">
        <v>14</v>
      </c>
      <c r="I20" s="128">
        <f t="shared" si="1"/>
        <v>10</v>
      </c>
      <c r="J20" s="129" t="s">
        <v>47</v>
      </c>
      <c r="K20" s="156"/>
      <c r="L20" s="131"/>
      <c r="M20" s="157"/>
      <c r="N20" s="161">
        <v>2</v>
      </c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>
        <v>4</v>
      </c>
      <c r="AW20" s="162">
        <v>4</v>
      </c>
      <c r="AX20" s="161"/>
      <c r="AY20" s="163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33"/>
      <c r="BP20" s="164"/>
    </row>
    <row r="21" ht="60" customHeight="1" spans="1:68">
      <c r="A21" s="153"/>
      <c r="B21" s="159"/>
      <c r="C21" s="160"/>
      <c r="D21" s="123"/>
      <c r="E21" s="139"/>
      <c r="F21" s="149"/>
      <c r="G21" s="147"/>
      <c r="H21" s="142">
        <v>14</v>
      </c>
      <c r="I21" s="128">
        <f t="shared" si="1"/>
        <v>9</v>
      </c>
      <c r="J21" s="129" t="s">
        <v>48</v>
      </c>
      <c r="K21" s="156"/>
      <c r="L21" s="131"/>
      <c r="M21" s="157"/>
      <c r="N21" s="161">
        <v>2</v>
      </c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>
        <v>2</v>
      </c>
      <c r="AW21" s="162">
        <v>5</v>
      </c>
      <c r="AX21" s="161"/>
      <c r="AY21" s="163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33"/>
      <c r="BP21" s="164"/>
    </row>
    <row r="22" ht="60" customHeight="1" spans="1:68">
      <c r="A22" s="153"/>
      <c r="B22" s="159"/>
      <c r="C22" s="160"/>
      <c r="D22" s="123"/>
      <c r="E22" s="165"/>
      <c r="F22" s="149"/>
      <c r="G22" s="147"/>
      <c r="H22" s="166">
        <v>14</v>
      </c>
      <c r="I22" s="128">
        <f t="shared" si="1"/>
        <v>9</v>
      </c>
      <c r="J22" s="129" t="s">
        <v>49</v>
      </c>
      <c r="K22" s="156"/>
      <c r="L22" s="131"/>
      <c r="M22" s="157"/>
      <c r="N22" s="167">
        <v>2</v>
      </c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>
        <v>2</v>
      </c>
      <c r="AW22" s="168">
        <v>5</v>
      </c>
      <c r="AX22" s="167"/>
      <c r="AY22" s="167"/>
      <c r="AZ22" s="167"/>
      <c r="BA22" s="167"/>
      <c r="BB22" s="167"/>
      <c r="BC22" s="167"/>
      <c r="BD22" s="167"/>
      <c r="BE22" s="167"/>
      <c r="BF22" s="167"/>
      <c r="BG22" s="167"/>
      <c r="BH22" s="167"/>
      <c r="BI22" s="167"/>
      <c r="BJ22" s="167"/>
      <c r="BK22" s="167"/>
      <c r="BL22" s="167"/>
      <c r="BM22" s="167"/>
      <c r="BN22" s="167"/>
      <c r="BO22" s="167"/>
      <c r="BP22" s="169"/>
    </row>
    <row r="23" ht="60" customHeight="1" spans="1:68">
      <c r="A23" s="153"/>
      <c r="B23" s="159"/>
      <c r="C23" s="160"/>
      <c r="D23" s="123"/>
      <c r="E23" s="170" t="s">
        <v>50</v>
      </c>
      <c r="F23" s="149"/>
      <c r="G23" s="147"/>
      <c r="H23" s="127">
        <v>13</v>
      </c>
      <c r="I23" s="128">
        <f t="shared" si="1"/>
        <v>9</v>
      </c>
      <c r="J23" s="129" t="s">
        <v>35</v>
      </c>
      <c r="K23" s="130">
        <f ca="1">+K29</f>
        <v>46268</v>
      </c>
      <c r="L23" s="131" t="s">
        <v>36</v>
      </c>
      <c r="M23" s="157"/>
      <c r="N23" s="133">
        <v>2</v>
      </c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>
        <v>2</v>
      </c>
      <c r="AW23" s="134">
        <v>5</v>
      </c>
      <c r="AX23" s="133"/>
      <c r="AY23" s="135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6"/>
    </row>
    <row r="24" ht="60" customHeight="1" spans="1:68">
      <c r="A24" s="153"/>
      <c r="B24" s="159"/>
      <c r="C24" s="160"/>
      <c r="D24" s="123"/>
      <c r="E24" s="171"/>
      <c r="F24" s="149"/>
      <c r="G24" s="147"/>
      <c r="H24" s="142">
        <v>13</v>
      </c>
      <c r="I24" s="128">
        <f t="shared" si="1"/>
        <v>9</v>
      </c>
      <c r="J24" s="129" t="s">
        <v>37</v>
      </c>
      <c r="K24" s="130"/>
      <c r="L24" s="131"/>
      <c r="M24" s="157"/>
      <c r="N24" s="133">
        <v>2</v>
      </c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133"/>
      <c r="AO24" s="133"/>
      <c r="AP24" s="133"/>
      <c r="AQ24" s="133"/>
      <c r="AR24" s="133"/>
      <c r="AS24" s="133"/>
      <c r="AT24" s="133"/>
      <c r="AU24" s="133"/>
      <c r="AV24" s="133">
        <v>2</v>
      </c>
      <c r="AW24" s="134">
        <v>5</v>
      </c>
      <c r="AX24" s="133"/>
      <c r="AY24" s="135"/>
      <c r="AZ24" s="133"/>
      <c r="BA24" s="133"/>
      <c r="BB24" s="133"/>
      <c r="BC24" s="133"/>
      <c r="BD24" s="133"/>
      <c r="BE24" s="133"/>
      <c r="BF24" s="133"/>
      <c r="BG24" s="133"/>
      <c r="BH24" s="133"/>
      <c r="BI24" s="133"/>
      <c r="BJ24" s="133"/>
      <c r="BK24" s="133"/>
      <c r="BL24" s="133"/>
      <c r="BM24" s="133"/>
      <c r="BN24" s="133"/>
      <c r="BO24" s="133"/>
      <c r="BP24" s="136"/>
    </row>
    <row r="25" ht="60" customHeight="1" spans="1:68">
      <c r="A25" s="153"/>
      <c r="B25" s="159"/>
      <c r="C25" s="160"/>
      <c r="D25" s="123"/>
      <c r="E25" s="171"/>
      <c r="F25" s="149"/>
      <c r="G25" s="147"/>
      <c r="H25" s="142">
        <v>10</v>
      </c>
      <c r="I25" s="128">
        <f t="shared" si="1"/>
        <v>8</v>
      </c>
      <c r="J25" s="129" t="s">
        <v>38</v>
      </c>
      <c r="K25" s="130"/>
      <c r="L25" s="131"/>
      <c r="M25" s="157"/>
      <c r="N25" s="133">
        <v>2</v>
      </c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133"/>
      <c r="AO25" s="133"/>
      <c r="AP25" s="133"/>
      <c r="AQ25" s="133"/>
      <c r="AR25" s="133"/>
      <c r="AS25" s="133"/>
      <c r="AT25" s="133"/>
      <c r="AU25" s="133"/>
      <c r="AV25" s="133">
        <v>2</v>
      </c>
      <c r="AW25" s="145">
        <v>4</v>
      </c>
      <c r="AX25" s="133"/>
      <c r="AY25" s="135"/>
      <c r="AZ25" s="133"/>
      <c r="BA25" s="133"/>
      <c r="BB25" s="133"/>
      <c r="BC25" s="133"/>
      <c r="BD25" s="133"/>
      <c r="BE25" s="133"/>
      <c r="BF25" s="133"/>
      <c r="BG25" s="133"/>
      <c r="BH25" s="133"/>
      <c r="BI25" s="133"/>
      <c r="BJ25" s="133"/>
      <c r="BK25" s="133"/>
      <c r="BL25" s="133"/>
      <c r="BM25" s="133"/>
      <c r="BN25" s="133"/>
      <c r="BO25" s="133"/>
      <c r="BP25" s="136"/>
    </row>
    <row r="26" ht="60" customHeight="1" spans="1:68">
      <c r="A26" s="153"/>
      <c r="B26" s="159"/>
      <c r="C26" s="160"/>
      <c r="D26" s="123"/>
      <c r="E26" s="171"/>
      <c r="F26" s="149"/>
      <c r="G26" s="147"/>
      <c r="H26" s="142">
        <v>10</v>
      </c>
      <c r="I26" s="128">
        <f t="shared" si="1"/>
        <v>8</v>
      </c>
      <c r="J26" s="129" t="s">
        <v>40</v>
      </c>
      <c r="K26" s="130"/>
      <c r="L26" s="131"/>
      <c r="M26" s="157"/>
      <c r="N26" s="133">
        <v>2</v>
      </c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>
        <v>2</v>
      </c>
      <c r="AW26" s="145">
        <v>4</v>
      </c>
      <c r="AX26" s="133"/>
      <c r="AY26" s="135"/>
      <c r="AZ26" s="133"/>
      <c r="BA26" s="133"/>
      <c r="BB26" s="133"/>
      <c r="BC26" s="133"/>
      <c r="BD26" s="133"/>
      <c r="BE26" s="133"/>
      <c r="BF26" s="133"/>
      <c r="BG26" s="133"/>
      <c r="BH26" s="133"/>
      <c r="BI26" s="133"/>
      <c r="BJ26" s="133"/>
      <c r="BK26" s="133"/>
      <c r="BL26" s="133"/>
      <c r="BM26" s="133"/>
      <c r="BN26" s="133"/>
      <c r="BO26" s="133"/>
      <c r="BP26" s="136"/>
    </row>
    <row r="27" ht="60" customHeight="1" spans="1:68">
      <c r="A27" s="172" t="s">
        <v>51</v>
      </c>
      <c r="B27" s="159"/>
      <c r="C27" s="160"/>
      <c r="D27" s="123"/>
      <c r="E27" s="171"/>
      <c r="F27" s="149"/>
      <c r="G27" s="173"/>
      <c r="H27" s="142">
        <v>10</v>
      </c>
      <c r="I27" s="128">
        <f t="shared" si="1"/>
        <v>8</v>
      </c>
      <c r="J27" s="129" t="s">
        <v>41</v>
      </c>
      <c r="K27" s="130"/>
      <c r="L27" s="131"/>
      <c r="M27" s="157"/>
      <c r="N27" s="133">
        <v>2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>
        <v>2</v>
      </c>
      <c r="AW27" s="145">
        <v>4</v>
      </c>
      <c r="AX27" s="133"/>
      <c r="AY27" s="135"/>
      <c r="AZ27" s="133"/>
      <c r="BA27" s="150"/>
      <c r="BB27" s="150"/>
      <c r="BC27" s="150"/>
      <c r="BD27" s="150"/>
      <c r="BE27" s="150"/>
      <c r="BF27" s="150"/>
      <c r="BG27" s="150"/>
      <c r="BH27" s="150"/>
      <c r="BI27" s="150"/>
      <c r="BJ27" s="150"/>
      <c r="BK27" s="150"/>
      <c r="BL27" s="150"/>
      <c r="BM27" s="150"/>
      <c r="BN27" s="150"/>
      <c r="BO27" s="133"/>
      <c r="BP27" s="151"/>
    </row>
    <row r="28" ht="60" customHeight="1" spans="1:68">
      <c r="A28" s="174"/>
      <c r="B28" s="159"/>
      <c r="C28" s="160"/>
      <c r="D28" s="123"/>
      <c r="E28" s="171"/>
      <c r="F28" s="149"/>
      <c r="G28" s="147"/>
      <c r="H28" s="142">
        <v>14</v>
      </c>
      <c r="I28" s="128">
        <f t="shared" si="1"/>
        <v>8</v>
      </c>
      <c r="J28" s="129" t="s">
        <v>42</v>
      </c>
      <c r="K28" s="130"/>
      <c r="L28" s="131"/>
      <c r="M28" s="157"/>
      <c r="N28" s="133">
        <v>2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>
        <v>2</v>
      </c>
      <c r="AW28" s="145">
        <v>4</v>
      </c>
      <c r="AX28" s="133"/>
      <c r="AY28" s="135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51"/>
    </row>
    <row r="29" ht="60" customHeight="1" spans="1:68">
      <c r="A29" s="174"/>
      <c r="B29" s="159"/>
      <c r="C29" s="160"/>
      <c r="D29" s="123"/>
      <c r="E29" s="171"/>
      <c r="F29" s="149"/>
      <c r="G29" s="147"/>
      <c r="H29" s="142">
        <v>14</v>
      </c>
      <c r="I29" s="128">
        <f t="shared" si="1"/>
        <v>8</v>
      </c>
      <c r="J29" s="129" t="s">
        <v>44</v>
      </c>
      <c r="K29" s="156">
        <f ca="1">K17+1</f>
        <v>46268</v>
      </c>
      <c r="L29" s="131"/>
      <c r="M29" s="157"/>
      <c r="N29" s="150">
        <v>2</v>
      </c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  <c r="AA29" s="150"/>
      <c r="AB29" s="150"/>
      <c r="AC29" s="150"/>
      <c r="AD29" s="150"/>
      <c r="AE29" s="150"/>
      <c r="AF29" s="150"/>
      <c r="AG29" s="150"/>
      <c r="AH29" s="150"/>
      <c r="AI29" s="150"/>
      <c r="AJ29" s="150"/>
      <c r="AK29" s="150"/>
      <c r="AL29" s="150"/>
      <c r="AM29" s="150"/>
      <c r="AN29" s="150"/>
      <c r="AO29" s="150"/>
      <c r="AP29" s="150"/>
      <c r="AQ29" s="150"/>
      <c r="AR29" s="150"/>
      <c r="AS29" s="150"/>
      <c r="AT29" s="150"/>
      <c r="AU29" s="150"/>
      <c r="AV29" s="150">
        <v>2</v>
      </c>
      <c r="AW29" s="145">
        <v>4</v>
      </c>
      <c r="AX29" s="150"/>
      <c r="AY29" s="158"/>
      <c r="AZ29" s="150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51"/>
    </row>
    <row r="30" ht="60" customHeight="1" spans="1:68">
      <c r="A30" s="174"/>
      <c r="B30" s="159"/>
      <c r="C30" s="160"/>
      <c r="D30" s="123"/>
      <c r="E30" s="171"/>
      <c r="F30" s="149"/>
      <c r="G30" s="147"/>
      <c r="H30" s="142">
        <v>14</v>
      </c>
      <c r="I30" s="128">
        <f t="shared" si="1"/>
        <v>8</v>
      </c>
      <c r="J30" s="129" t="s">
        <v>45</v>
      </c>
      <c r="K30" s="156"/>
      <c r="L30" s="131"/>
      <c r="M30" s="157"/>
      <c r="N30" s="150">
        <v>2</v>
      </c>
      <c r="O30" s="150"/>
      <c r="P30" s="150"/>
      <c r="Q30" s="133"/>
      <c r="R30" s="150"/>
      <c r="S30" s="150"/>
      <c r="T30" s="150"/>
      <c r="U30" s="150"/>
      <c r="V30" s="150"/>
      <c r="W30" s="150"/>
      <c r="X30" s="150"/>
      <c r="Y30" s="150"/>
      <c r="Z30" s="150"/>
      <c r="AA30" s="150"/>
      <c r="AB30" s="150"/>
      <c r="AC30" s="150"/>
      <c r="AD30" s="150"/>
      <c r="AE30" s="150"/>
      <c r="AF30" s="150"/>
      <c r="AG30" s="150"/>
      <c r="AH30" s="150"/>
      <c r="AI30" s="150"/>
      <c r="AJ30" s="150"/>
      <c r="AK30" s="150"/>
      <c r="AL30" s="150"/>
      <c r="AM30" s="150"/>
      <c r="AN30" s="150"/>
      <c r="AO30" s="150"/>
      <c r="AP30" s="150"/>
      <c r="AQ30" s="150"/>
      <c r="AR30" s="150"/>
      <c r="AS30" s="150"/>
      <c r="AT30" s="150"/>
      <c r="AU30" s="150"/>
      <c r="AV30" s="150">
        <v>2</v>
      </c>
      <c r="AW30" s="145">
        <v>4</v>
      </c>
      <c r="AX30" s="150"/>
      <c r="AY30" s="158"/>
      <c r="AZ30" s="150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51"/>
    </row>
    <row r="31" ht="60" customHeight="1" spans="1:68">
      <c r="A31" s="174"/>
      <c r="B31" s="159"/>
      <c r="C31" s="160"/>
      <c r="D31" s="124" t="s">
        <v>52</v>
      </c>
      <c r="E31" s="175"/>
      <c r="F31" s="149"/>
      <c r="G31" s="147"/>
      <c r="H31" s="142">
        <v>15</v>
      </c>
      <c r="I31" s="128">
        <f t="shared" si="1"/>
        <v>8</v>
      </c>
      <c r="J31" s="129" t="s">
        <v>46</v>
      </c>
      <c r="K31" s="156"/>
      <c r="L31" s="131"/>
      <c r="M31" s="157"/>
      <c r="N31" s="150">
        <v>1</v>
      </c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  <c r="AA31" s="150"/>
      <c r="AB31" s="150"/>
      <c r="AC31" s="150"/>
      <c r="AD31" s="150"/>
      <c r="AE31" s="150"/>
      <c r="AF31" s="150"/>
      <c r="AG31" s="150"/>
      <c r="AH31" s="150"/>
      <c r="AI31" s="150"/>
      <c r="AJ31" s="150"/>
      <c r="AK31" s="150"/>
      <c r="AL31" s="150"/>
      <c r="AM31" s="150"/>
      <c r="AN31" s="150"/>
      <c r="AO31" s="150"/>
      <c r="AP31" s="150"/>
      <c r="AQ31" s="150"/>
      <c r="AR31" s="150"/>
      <c r="AS31" s="150"/>
      <c r="AT31" s="150"/>
      <c r="AU31" s="150"/>
      <c r="AV31" s="150">
        <v>3</v>
      </c>
      <c r="AW31" s="145">
        <v>4</v>
      </c>
      <c r="AX31" s="150"/>
      <c r="AY31" s="158"/>
      <c r="AZ31" s="150"/>
      <c r="BA31" s="150"/>
      <c r="BB31" s="150"/>
      <c r="BC31" s="150"/>
      <c r="BD31" s="150"/>
      <c r="BE31" s="150"/>
      <c r="BF31" s="150"/>
      <c r="BG31" s="150"/>
      <c r="BH31" s="150"/>
      <c r="BI31" s="150"/>
      <c r="BJ31" s="150"/>
      <c r="BK31" s="150"/>
      <c r="BL31" s="150"/>
      <c r="BM31" s="150"/>
      <c r="BN31" s="150"/>
      <c r="BO31" s="133"/>
      <c r="BP31" s="151"/>
    </row>
    <row r="32" ht="60" customHeight="1" spans="1:68">
      <c r="A32" s="174"/>
      <c r="B32" s="176"/>
      <c r="C32" s="177"/>
      <c r="D32" s="139"/>
      <c r="E32" s="178" t="s">
        <v>53</v>
      </c>
      <c r="F32" s="149"/>
      <c r="G32" s="147"/>
      <c r="H32" s="142">
        <v>13</v>
      </c>
      <c r="I32" s="128">
        <f t="shared" si="1"/>
        <v>9</v>
      </c>
      <c r="J32" s="129" t="s">
        <v>47</v>
      </c>
      <c r="K32" s="156"/>
      <c r="L32" s="131"/>
      <c r="M32" s="157"/>
      <c r="N32" s="161">
        <v>1</v>
      </c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>
        <v>4</v>
      </c>
      <c r="AW32" s="162">
        <v>4</v>
      </c>
      <c r="AX32" s="161"/>
      <c r="AY32" s="163"/>
      <c r="AZ32" s="161"/>
      <c r="BA32" s="161"/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1"/>
      <c r="BM32" s="161"/>
      <c r="BN32" s="161"/>
      <c r="BO32" s="133"/>
      <c r="BP32" s="164"/>
    </row>
    <row r="33" ht="60" customHeight="1" spans="1:68">
      <c r="A33" s="174"/>
      <c r="B33" s="179"/>
      <c r="C33" s="180"/>
      <c r="D33" s="139"/>
      <c r="E33" s="181"/>
      <c r="F33" s="149"/>
      <c r="G33" s="147"/>
      <c r="H33" s="142">
        <v>9</v>
      </c>
      <c r="I33" s="128">
        <f t="shared" si="1"/>
        <v>9</v>
      </c>
      <c r="J33" s="129" t="s">
        <v>48</v>
      </c>
      <c r="K33" s="156"/>
      <c r="L33" s="131"/>
      <c r="M33" s="157"/>
      <c r="N33" s="161">
        <v>1</v>
      </c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>
        <v>4</v>
      </c>
      <c r="AW33" s="162">
        <v>4</v>
      </c>
      <c r="AX33" s="161"/>
      <c r="AY33" s="163"/>
      <c r="AZ33" s="161"/>
      <c r="BA33" s="161"/>
      <c r="BB33" s="161"/>
      <c r="BC33" s="161"/>
      <c r="BD33" s="161"/>
      <c r="BE33" s="161"/>
      <c r="BF33" s="161"/>
      <c r="BG33" s="161"/>
      <c r="BH33" s="161"/>
      <c r="BI33" s="161"/>
      <c r="BJ33" s="161"/>
      <c r="BK33" s="161"/>
      <c r="BL33" s="161"/>
      <c r="BM33" s="161"/>
      <c r="BN33" s="161"/>
      <c r="BO33" s="133"/>
      <c r="BP33" s="164"/>
    </row>
    <row r="34" ht="60" customHeight="1" spans="1:68">
      <c r="A34" s="174"/>
      <c r="B34" s="138"/>
      <c r="C34" s="138"/>
      <c r="D34" s="139"/>
      <c r="E34" s="181"/>
      <c r="F34" s="149"/>
      <c r="G34" s="147"/>
      <c r="H34" s="166">
        <v>9</v>
      </c>
      <c r="I34" s="128">
        <f t="shared" si="1"/>
        <v>11</v>
      </c>
      <c r="J34" s="129" t="s">
        <v>49</v>
      </c>
      <c r="K34" s="156"/>
      <c r="L34" s="131"/>
      <c r="M34" s="157"/>
      <c r="N34" s="167">
        <v>2</v>
      </c>
      <c r="O34" s="167"/>
      <c r="P34" s="167"/>
      <c r="Q34" s="167"/>
      <c r="R34" s="167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>
        <v>5</v>
      </c>
      <c r="AW34" s="168">
        <v>4</v>
      </c>
      <c r="AX34" s="167"/>
      <c r="AY34" s="167"/>
      <c r="AZ34" s="167"/>
      <c r="BA34" s="167"/>
      <c r="BB34" s="167"/>
      <c r="BC34" s="167"/>
      <c r="BD34" s="167"/>
      <c r="BE34" s="167"/>
      <c r="BF34" s="167"/>
      <c r="BG34" s="167"/>
      <c r="BH34" s="167"/>
      <c r="BI34" s="167"/>
      <c r="BJ34" s="167"/>
      <c r="BK34" s="167"/>
      <c r="BL34" s="167"/>
      <c r="BM34" s="167"/>
      <c r="BN34" s="167"/>
      <c r="BO34" s="167"/>
      <c r="BP34" s="169"/>
    </row>
    <row r="35" ht="60" customHeight="1" spans="1:68">
      <c r="A35" s="174"/>
      <c r="B35" s="138"/>
      <c r="C35" s="138"/>
      <c r="D35" s="139"/>
      <c r="E35" s="181"/>
      <c r="F35" s="149"/>
      <c r="G35" s="170" t="s">
        <v>54</v>
      </c>
      <c r="H35" s="127">
        <v>13</v>
      </c>
      <c r="I35" s="128">
        <f t="shared" ref="I35:I46" si="2">SUM(M35:BP35)</f>
        <v>12</v>
      </c>
      <c r="J35" s="129" t="s">
        <v>35</v>
      </c>
      <c r="K35" s="130">
        <f ca="1">+K41</f>
        <v>46269</v>
      </c>
      <c r="L35" s="131" t="s">
        <v>36</v>
      </c>
      <c r="M35" s="157"/>
      <c r="N35" s="133">
        <v>2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>
        <v>6</v>
      </c>
      <c r="AW35" s="134">
        <v>4</v>
      </c>
      <c r="AX35" s="133"/>
      <c r="AY35" s="135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6"/>
    </row>
    <row r="36" ht="60" customHeight="1" spans="1:68">
      <c r="A36" s="174"/>
      <c r="B36" s="138"/>
      <c r="C36" s="138"/>
      <c r="D36" s="139"/>
      <c r="E36" s="181"/>
      <c r="F36" s="149"/>
      <c r="G36" s="171"/>
      <c r="H36" s="142">
        <v>13</v>
      </c>
      <c r="I36" s="128">
        <f t="shared" si="2"/>
        <v>12</v>
      </c>
      <c r="J36" s="129" t="s">
        <v>37</v>
      </c>
      <c r="K36" s="130"/>
      <c r="L36" s="131"/>
      <c r="M36" s="157"/>
      <c r="N36" s="133">
        <v>2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>
        <v>6</v>
      </c>
      <c r="AW36" s="134">
        <v>4</v>
      </c>
      <c r="AX36" s="133"/>
      <c r="AY36" s="135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6"/>
    </row>
    <row r="37" ht="60" customHeight="1" spans="1:68">
      <c r="A37" s="174"/>
      <c r="B37" s="138"/>
      <c r="C37" s="138"/>
      <c r="D37" s="139"/>
      <c r="E37" s="181"/>
      <c r="F37" s="149"/>
      <c r="G37" s="171"/>
      <c r="H37" s="142">
        <v>10</v>
      </c>
      <c r="I37" s="128">
        <f t="shared" si="2"/>
        <v>11</v>
      </c>
      <c r="J37" s="129" t="s">
        <v>38</v>
      </c>
      <c r="K37" s="130"/>
      <c r="L37" s="131"/>
      <c r="M37" s="157"/>
      <c r="N37" s="133">
        <v>2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>
        <v>6</v>
      </c>
      <c r="AW37" s="145">
        <v>3</v>
      </c>
      <c r="AX37" s="133"/>
      <c r="AY37" s="135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6"/>
    </row>
    <row r="38" ht="60" customHeight="1" spans="1:68">
      <c r="A38" s="174"/>
      <c r="B38" s="182"/>
      <c r="C38" s="182"/>
      <c r="D38" s="165"/>
      <c r="E38" s="183"/>
      <c r="F38" s="184"/>
      <c r="G38" s="171"/>
      <c r="H38" s="142">
        <v>10</v>
      </c>
      <c r="I38" s="128">
        <f t="shared" si="2"/>
        <v>11</v>
      </c>
      <c r="J38" s="129" t="s">
        <v>40</v>
      </c>
      <c r="K38" s="130"/>
      <c r="L38" s="131"/>
      <c r="M38" s="157"/>
      <c r="N38" s="133">
        <v>2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>
        <v>6</v>
      </c>
      <c r="AW38" s="145">
        <v>3</v>
      </c>
      <c r="AX38" s="133"/>
      <c r="AY38" s="135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6"/>
    </row>
    <row r="39" ht="60" customHeight="1" spans="1:68">
      <c r="A39" s="174"/>
      <c r="B39" s="138"/>
      <c r="C39" s="138"/>
      <c r="D39" s="185" t="s">
        <v>55</v>
      </c>
      <c r="E39" s="186"/>
      <c r="F39" s="180"/>
      <c r="G39" s="171"/>
      <c r="H39" s="142">
        <v>10</v>
      </c>
      <c r="I39" s="128">
        <f t="shared" si="2"/>
        <v>10</v>
      </c>
      <c r="J39" s="129" t="s">
        <v>41</v>
      </c>
      <c r="K39" s="130"/>
      <c r="L39" s="131"/>
      <c r="M39" s="157"/>
      <c r="N39" s="133">
        <v>2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>
        <v>6</v>
      </c>
      <c r="AW39" s="145">
        <v>2</v>
      </c>
      <c r="AX39" s="133"/>
      <c r="AY39" s="135"/>
      <c r="AZ39" s="133"/>
      <c r="BA39" s="150"/>
      <c r="BB39" s="150"/>
      <c r="BC39" s="150"/>
      <c r="BD39" s="150"/>
      <c r="BE39" s="150"/>
      <c r="BF39" s="150"/>
      <c r="BG39" s="150"/>
      <c r="BH39" s="150"/>
      <c r="BI39" s="150"/>
      <c r="BJ39" s="150"/>
      <c r="BK39" s="150"/>
      <c r="BL39" s="150"/>
      <c r="BM39" s="150"/>
      <c r="BN39" s="150"/>
      <c r="BO39" s="133"/>
      <c r="BP39" s="151"/>
    </row>
    <row r="40" ht="60" customHeight="1" spans="1:68">
      <c r="A40" s="174"/>
      <c r="B40" s="138"/>
      <c r="C40" s="138"/>
      <c r="D40" s="187"/>
      <c r="E40" s="186"/>
      <c r="F40" s="186"/>
      <c r="G40" s="171"/>
      <c r="H40" s="142">
        <v>14</v>
      </c>
      <c r="I40" s="128">
        <f t="shared" si="2"/>
        <v>10</v>
      </c>
      <c r="J40" s="129" t="s">
        <v>42</v>
      </c>
      <c r="K40" s="130"/>
      <c r="L40" s="131"/>
      <c r="M40" s="157"/>
      <c r="N40" s="133">
        <v>2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>
        <v>6</v>
      </c>
      <c r="AW40" s="145">
        <v>2</v>
      </c>
      <c r="AX40" s="133"/>
      <c r="AY40" s="135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51"/>
    </row>
    <row r="41" ht="60" customHeight="1" spans="1:68">
      <c r="A41" s="174"/>
      <c r="B41" s="138"/>
      <c r="C41" s="138"/>
      <c r="D41" s="187"/>
      <c r="E41" s="186"/>
      <c r="F41" s="186"/>
      <c r="G41" s="175"/>
      <c r="H41" s="142">
        <v>14</v>
      </c>
      <c r="I41" s="128">
        <f t="shared" si="2"/>
        <v>10</v>
      </c>
      <c r="J41" s="129" t="s">
        <v>44</v>
      </c>
      <c r="K41" s="156">
        <f ca="1">K29+1</f>
        <v>46269</v>
      </c>
      <c r="L41" s="131"/>
      <c r="M41" s="157"/>
      <c r="N41" s="150">
        <v>2</v>
      </c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  <c r="AA41" s="150"/>
      <c r="AB41" s="150"/>
      <c r="AC41" s="150"/>
      <c r="AD41" s="150"/>
      <c r="AE41" s="150"/>
      <c r="AF41" s="150"/>
      <c r="AG41" s="150"/>
      <c r="AH41" s="150"/>
      <c r="AI41" s="150"/>
      <c r="AJ41" s="150"/>
      <c r="AK41" s="150"/>
      <c r="AL41" s="150"/>
      <c r="AM41" s="150"/>
      <c r="AN41" s="150"/>
      <c r="AO41" s="150"/>
      <c r="AP41" s="150"/>
      <c r="AQ41" s="150"/>
      <c r="AR41" s="150"/>
      <c r="AS41" s="150"/>
      <c r="AT41" s="150"/>
      <c r="AU41" s="150"/>
      <c r="AV41" s="150">
        <v>6</v>
      </c>
      <c r="AW41" s="145">
        <v>2</v>
      </c>
      <c r="AX41" s="150"/>
      <c r="AY41" s="158"/>
      <c r="AZ41" s="150"/>
      <c r="BA41" s="133"/>
      <c r="BB41" s="133"/>
      <c r="BC41" s="133"/>
      <c r="BD41" s="133"/>
      <c r="BE41" s="133"/>
      <c r="BF41" s="133"/>
      <c r="BG41" s="133"/>
      <c r="BH41" s="133"/>
      <c r="BI41" s="133"/>
      <c r="BJ41" s="133"/>
      <c r="BK41" s="133"/>
      <c r="BL41" s="133"/>
      <c r="BM41" s="133"/>
      <c r="BN41" s="133"/>
      <c r="BO41" s="133"/>
      <c r="BP41" s="151"/>
    </row>
    <row r="42" ht="60" customHeight="1" spans="1:68">
      <c r="A42" s="188"/>
      <c r="B42" s="138"/>
      <c r="C42" s="138"/>
      <c r="D42" s="187"/>
      <c r="E42" s="186"/>
      <c r="F42" s="138"/>
      <c r="G42" s="189"/>
      <c r="H42" s="142">
        <v>14</v>
      </c>
      <c r="I42" s="128">
        <f t="shared" si="2"/>
        <v>10</v>
      </c>
      <c r="J42" s="129" t="s">
        <v>45</v>
      </c>
      <c r="K42" s="156"/>
      <c r="L42" s="131"/>
      <c r="M42" s="157"/>
      <c r="N42" s="150">
        <v>2</v>
      </c>
      <c r="O42" s="150"/>
      <c r="P42" s="150"/>
      <c r="Q42" s="133"/>
      <c r="R42" s="150"/>
      <c r="S42" s="150"/>
      <c r="T42" s="150"/>
      <c r="U42" s="150"/>
      <c r="V42" s="150"/>
      <c r="W42" s="150"/>
      <c r="X42" s="150"/>
      <c r="Y42" s="150"/>
      <c r="Z42" s="150"/>
      <c r="AA42" s="150"/>
      <c r="AB42" s="150"/>
      <c r="AC42" s="150"/>
      <c r="AD42" s="150"/>
      <c r="AE42" s="150"/>
      <c r="AF42" s="150"/>
      <c r="AG42" s="150"/>
      <c r="AH42" s="150"/>
      <c r="AI42" s="150"/>
      <c r="AJ42" s="150"/>
      <c r="AK42" s="150"/>
      <c r="AL42" s="150"/>
      <c r="AM42" s="150"/>
      <c r="AN42" s="150"/>
      <c r="AO42" s="150"/>
      <c r="AP42" s="150"/>
      <c r="AQ42" s="150"/>
      <c r="AR42" s="150"/>
      <c r="AS42" s="150"/>
      <c r="AT42" s="150"/>
      <c r="AU42" s="150"/>
      <c r="AV42" s="150">
        <v>6</v>
      </c>
      <c r="AW42" s="145">
        <v>2</v>
      </c>
      <c r="AX42" s="150"/>
      <c r="AY42" s="158"/>
      <c r="AZ42" s="150"/>
      <c r="BA42" s="133"/>
      <c r="BB42" s="133"/>
      <c r="BC42" s="133"/>
      <c r="BD42" s="133"/>
      <c r="BE42" s="133"/>
      <c r="BF42" s="133"/>
      <c r="BG42" s="133"/>
      <c r="BH42" s="133"/>
      <c r="BI42" s="133"/>
      <c r="BJ42" s="133"/>
      <c r="BK42" s="133"/>
      <c r="BL42" s="133"/>
      <c r="BM42" s="133"/>
      <c r="BN42" s="133"/>
      <c r="BO42" s="133"/>
      <c r="BP42" s="151"/>
    </row>
    <row r="43" ht="60" customHeight="1" spans="1:68">
      <c r="A43" s="190"/>
      <c r="B43" s="138"/>
      <c r="C43" s="138"/>
      <c r="D43" s="187"/>
      <c r="E43" s="186"/>
      <c r="F43" s="138"/>
      <c r="G43" s="191"/>
      <c r="H43" s="142">
        <v>15</v>
      </c>
      <c r="I43" s="128">
        <f t="shared" si="2"/>
        <v>10</v>
      </c>
      <c r="J43" s="129" t="s">
        <v>46</v>
      </c>
      <c r="K43" s="156"/>
      <c r="L43" s="131"/>
      <c r="M43" s="157"/>
      <c r="N43" s="150">
        <v>2</v>
      </c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  <c r="AA43" s="150"/>
      <c r="AB43" s="150"/>
      <c r="AC43" s="150"/>
      <c r="AD43" s="150"/>
      <c r="AE43" s="150"/>
      <c r="AF43" s="150"/>
      <c r="AG43" s="150"/>
      <c r="AH43" s="150"/>
      <c r="AI43" s="150"/>
      <c r="AJ43" s="150"/>
      <c r="AK43" s="150"/>
      <c r="AL43" s="150"/>
      <c r="AM43" s="150"/>
      <c r="AN43" s="150"/>
      <c r="AO43" s="150"/>
      <c r="AP43" s="150"/>
      <c r="AQ43" s="150"/>
      <c r="AR43" s="150"/>
      <c r="AS43" s="150"/>
      <c r="AT43" s="150"/>
      <c r="AU43" s="150"/>
      <c r="AV43" s="150">
        <v>6</v>
      </c>
      <c r="AW43" s="145">
        <v>2</v>
      </c>
      <c r="AX43" s="150"/>
      <c r="AY43" s="158"/>
      <c r="AZ43" s="150"/>
      <c r="BA43" s="150"/>
      <c r="BB43" s="150"/>
      <c r="BC43" s="150"/>
      <c r="BD43" s="150"/>
      <c r="BE43" s="150"/>
      <c r="BF43" s="150"/>
      <c r="BG43" s="150"/>
      <c r="BH43" s="150"/>
      <c r="BI43" s="150"/>
      <c r="BJ43" s="150"/>
      <c r="BK43" s="150"/>
      <c r="BL43" s="150"/>
      <c r="BM43" s="150"/>
      <c r="BN43" s="150"/>
      <c r="BO43" s="133"/>
      <c r="BP43" s="151"/>
    </row>
    <row r="44" ht="60" customHeight="1" spans="1:68">
      <c r="A44" s="153"/>
      <c r="B44" s="138"/>
      <c r="C44" s="138"/>
      <c r="D44" s="187"/>
      <c r="E44" s="186"/>
      <c r="F44" s="138"/>
      <c r="G44" s="191"/>
      <c r="H44" s="142">
        <v>13</v>
      </c>
      <c r="I44" s="128">
        <f t="shared" si="2"/>
        <v>10</v>
      </c>
      <c r="J44" s="129" t="s">
        <v>47</v>
      </c>
      <c r="K44" s="156"/>
      <c r="L44" s="131"/>
      <c r="M44" s="157"/>
      <c r="N44" s="161">
        <v>2</v>
      </c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>
        <v>6</v>
      </c>
      <c r="AW44" s="162">
        <v>2</v>
      </c>
      <c r="AX44" s="161"/>
      <c r="AY44" s="163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33"/>
      <c r="BP44" s="164"/>
    </row>
    <row r="45" ht="60" customHeight="1" spans="1:68">
      <c r="A45" s="153"/>
      <c r="B45" s="138"/>
      <c r="C45" s="138"/>
      <c r="D45" s="187"/>
      <c r="E45" s="186"/>
      <c r="F45" s="192" t="s">
        <v>56</v>
      </c>
      <c r="G45" s="191"/>
      <c r="H45" s="142">
        <v>9</v>
      </c>
      <c r="I45" s="128">
        <f t="shared" si="2"/>
        <v>10</v>
      </c>
      <c r="J45" s="129" t="s">
        <v>48</v>
      </c>
      <c r="K45" s="156"/>
      <c r="L45" s="131"/>
      <c r="M45" s="157"/>
      <c r="N45" s="161">
        <v>2</v>
      </c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>
        <v>6</v>
      </c>
      <c r="AW45" s="162">
        <v>2</v>
      </c>
      <c r="AX45" s="161"/>
      <c r="AY45" s="163"/>
      <c r="AZ45" s="161"/>
      <c r="BA45" s="161"/>
      <c r="BB45" s="161"/>
      <c r="BC45" s="161"/>
      <c r="BD45" s="161"/>
      <c r="BE45" s="161"/>
      <c r="BF45" s="161"/>
      <c r="BG45" s="161"/>
      <c r="BH45" s="161"/>
      <c r="BI45" s="161"/>
      <c r="BJ45" s="161"/>
      <c r="BK45" s="161"/>
      <c r="BL45" s="161"/>
      <c r="BM45" s="161"/>
      <c r="BN45" s="161"/>
      <c r="BO45" s="133"/>
      <c r="BP45" s="164"/>
    </row>
    <row r="46" ht="60" customHeight="1" spans="1:68">
      <c r="A46" s="153"/>
      <c r="B46" s="138"/>
      <c r="C46" s="138"/>
      <c r="D46" s="187"/>
      <c r="E46" s="186"/>
      <c r="F46" s="193"/>
      <c r="G46" s="194" t="s">
        <v>57</v>
      </c>
      <c r="H46" s="166">
        <v>9</v>
      </c>
      <c r="I46" s="128">
        <f t="shared" si="2"/>
        <v>10</v>
      </c>
      <c r="J46" s="129" t="s">
        <v>49</v>
      </c>
      <c r="K46" s="156"/>
      <c r="L46" s="131"/>
      <c r="M46" s="157"/>
      <c r="N46" s="167">
        <v>2</v>
      </c>
      <c r="O46" s="167"/>
      <c r="P46" s="167"/>
      <c r="Q46" s="167"/>
      <c r="R46" s="167"/>
      <c r="S46" s="167"/>
      <c r="T46" s="167"/>
      <c r="U46" s="167"/>
      <c r="V46" s="167"/>
      <c r="W46" s="167"/>
      <c r="X46" s="167"/>
      <c r="Y46" s="167"/>
      <c r="Z46" s="167"/>
      <c r="AA46" s="167"/>
      <c r="AB46" s="167"/>
      <c r="AC46" s="167"/>
      <c r="AD46" s="167"/>
      <c r="AE46" s="167"/>
      <c r="AF46" s="167"/>
      <c r="AG46" s="167"/>
      <c r="AH46" s="167"/>
      <c r="AI46" s="167"/>
      <c r="AJ46" s="167"/>
      <c r="AK46" s="167"/>
      <c r="AL46" s="167"/>
      <c r="AM46" s="167"/>
      <c r="AN46" s="167"/>
      <c r="AO46" s="167"/>
      <c r="AP46" s="167"/>
      <c r="AQ46" s="167"/>
      <c r="AR46" s="167"/>
      <c r="AS46" s="167"/>
      <c r="AT46" s="167"/>
      <c r="AU46" s="167"/>
      <c r="AV46" s="167">
        <v>6</v>
      </c>
      <c r="AW46" s="168">
        <v>2</v>
      </c>
      <c r="AX46" s="167"/>
      <c r="AY46" s="167"/>
      <c r="AZ46" s="167"/>
      <c r="BA46" s="167"/>
      <c r="BB46" s="167"/>
      <c r="BC46" s="167"/>
      <c r="BD46" s="167"/>
      <c r="BE46" s="167"/>
      <c r="BF46" s="167"/>
      <c r="BG46" s="167"/>
      <c r="BH46" s="167"/>
      <c r="BI46" s="167"/>
      <c r="BJ46" s="167"/>
      <c r="BK46" s="167"/>
      <c r="BL46" s="167"/>
      <c r="BM46" s="167"/>
      <c r="BN46" s="167"/>
      <c r="BO46" s="167"/>
      <c r="BP46" s="169"/>
    </row>
    <row r="47" ht="60" customHeight="1" spans="1:68">
      <c r="A47" s="190"/>
      <c r="B47" s="195"/>
      <c r="C47" s="195"/>
      <c r="D47" s="196"/>
      <c r="E47" s="186"/>
      <c r="F47" s="193"/>
      <c r="G47" s="197"/>
      <c r="H47" s="127">
        <v>12</v>
      </c>
      <c r="I47" s="128">
        <f t="shared" ref="I47:I78" si="3">SUM(M47:BP47)</f>
        <v>11</v>
      </c>
      <c r="J47" s="129" t="s">
        <v>35</v>
      </c>
      <c r="K47" s="130">
        <f ca="1">+K53</f>
        <v>46270</v>
      </c>
      <c r="L47" s="131" t="s">
        <v>36</v>
      </c>
      <c r="M47" s="157"/>
      <c r="N47" s="133">
        <v>3</v>
      </c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>
        <v>6</v>
      </c>
      <c r="AW47" s="134">
        <v>2</v>
      </c>
      <c r="AX47" s="133"/>
      <c r="AY47" s="135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6"/>
    </row>
    <row r="48" ht="60" customHeight="1" spans="1:68">
      <c r="A48" s="153"/>
      <c r="B48" s="138"/>
      <c r="C48" s="138"/>
      <c r="D48" s="123"/>
      <c r="E48" s="143"/>
      <c r="F48" s="198"/>
      <c r="G48" s="197"/>
      <c r="H48" s="199">
        <v>6</v>
      </c>
      <c r="I48" s="128">
        <f t="shared" si="3"/>
        <v>11</v>
      </c>
      <c r="J48" s="129" t="s">
        <v>37</v>
      </c>
      <c r="K48" s="200"/>
      <c r="L48" s="201"/>
      <c r="M48" s="157"/>
      <c r="N48" s="133">
        <v>3</v>
      </c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>
        <v>6</v>
      </c>
      <c r="AW48" s="134">
        <v>2</v>
      </c>
      <c r="AX48" s="133"/>
      <c r="AY48" s="135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6"/>
    </row>
    <row r="49" ht="60" customHeight="1" spans="1:68">
      <c r="A49" s="153"/>
      <c r="B49" s="138"/>
      <c r="C49" s="138"/>
      <c r="D49" s="123"/>
      <c r="E49" s="138"/>
      <c r="F49" s="138"/>
      <c r="G49" s="202"/>
      <c r="H49" s="142">
        <v>13</v>
      </c>
      <c r="I49" s="128">
        <f t="shared" si="3"/>
        <v>11</v>
      </c>
      <c r="J49" s="129" t="s">
        <v>38</v>
      </c>
      <c r="K49" s="200"/>
      <c r="L49" s="201"/>
      <c r="M49" s="157"/>
      <c r="N49" s="133">
        <v>3</v>
      </c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>
        <v>6</v>
      </c>
      <c r="AW49" s="145">
        <v>2</v>
      </c>
      <c r="AX49" s="133"/>
      <c r="AY49" s="135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6"/>
    </row>
    <row r="50" ht="60" customHeight="1" spans="1:68">
      <c r="A50" s="153"/>
      <c r="B50" s="138"/>
      <c r="C50" s="138"/>
      <c r="D50" s="123"/>
      <c r="E50" s="138"/>
      <c r="F50" s="138"/>
      <c r="G50" s="189"/>
      <c r="H50" s="142">
        <v>10</v>
      </c>
      <c r="I50" s="128">
        <f t="shared" si="3"/>
        <v>11</v>
      </c>
      <c r="J50" s="129" t="s">
        <v>40</v>
      </c>
      <c r="K50" s="200"/>
      <c r="L50" s="201"/>
      <c r="M50" s="157"/>
      <c r="N50" s="133">
        <v>3</v>
      </c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>
        <v>6</v>
      </c>
      <c r="AW50" s="145">
        <v>2</v>
      </c>
      <c r="AX50" s="133"/>
      <c r="AY50" s="135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6"/>
    </row>
    <row r="51" ht="60" customHeight="1" spans="1:68">
      <c r="A51" s="153"/>
      <c r="B51" s="138"/>
      <c r="C51" s="138"/>
      <c r="D51" s="123"/>
      <c r="E51" s="138"/>
      <c r="F51" s="138"/>
      <c r="G51" s="191"/>
      <c r="H51" s="142">
        <v>11</v>
      </c>
      <c r="I51" s="128">
        <f t="shared" si="3"/>
        <v>11</v>
      </c>
      <c r="J51" s="129" t="s">
        <v>41</v>
      </c>
      <c r="K51" s="200"/>
      <c r="L51" s="201"/>
      <c r="M51" s="157"/>
      <c r="N51" s="133">
        <v>3</v>
      </c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>
        <v>6</v>
      </c>
      <c r="AW51" s="145">
        <v>2</v>
      </c>
      <c r="AX51" s="133"/>
      <c r="AY51" s="135"/>
      <c r="AZ51" s="133"/>
      <c r="BA51" s="150"/>
      <c r="BB51" s="150"/>
      <c r="BC51" s="150"/>
      <c r="BD51" s="150"/>
      <c r="BE51" s="150"/>
      <c r="BF51" s="150"/>
      <c r="BG51" s="150"/>
      <c r="BH51" s="150"/>
      <c r="BI51" s="150"/>
      <c r="BJ51" s="150"/>
      <c r="BK51" s="150"/>
      <c r="BL51" s="150"/>
      <c r="BM51" s="150"/>
      <c r="BN51" s="150"/>
      <c r="BO51" s="133"/>
      <c r="BP51" s="151"/>
    </row>
    <row r="52" ht="60" customHeight="1" spans="1:68">
      <c r="A52" s="153"/>
      <c r="B52" s="138"/>
      <c r="C52" s="138"/>
      <c r="D52" s="123"/>
      <c r="E52" s="138"/>
      <c r="F52" s="138"/>
      <c r="G52" s="191"/>
      <c r="H52" s="142">
        <v>11</v>
      </c>
      <c r="I52" s="128">
        <f t="shared" si="3"/>
        <v>11</v>
      </c>
      <c r="J52" s="129" t="s">
        <v>42</v>
      </c>
      <c r="K52" s="203"/>
      <c r="L52" s="201"/>
      <c r="M52" s="157"/>
      <c r="N52" s="133">
        <v>3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>
        <v>6</v>
      </c>
      <c r="AW52" s="145">
        <v>2</v>
      </c>
      <c r="AX52" s="133"/>
      <c r="AY52" s="135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51"/>
    </row>
    <row r="53" ht="60" customHeight="1" spans="1:68">
      <c r="A53" s="153"/>
      <c r="B53" s="138"/>
      <c r="C53" s="138"/>
      <c r="D53" s="123"/>
      <c r="E53" s="138"/>
      <c r="F53" s="138"/>
      <c r="G53" s="191"/>
      <c r="H53" s="142">
        <v>12</v>
      </c>
      <c r="I53" s="128">
        <f t="shared" si="3"/>
        <v>11</v>
      </c>
      <c r="J53" s="129" t="s">
        <v>44</v>
      </c>
      <c r="K53" s="156">
        <f ca="1">K41+1</f>
        <v>46270</v>
      </c>
      <c r="L53" s="201"/>
      <c r="M53" s="157"/>
      <c r="N53" s="150">
        <v>3</v>
      </c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  <c r="AD53" s="150"/>
      <c r="AE53" s="150"/>
      <c r="AF53" s="150"/>
      <c r="AG53" s="150"/>
      <c r="AH53" s="150"/>
      <c r="AI53" s="150"/>
      <c r="AJ53" s="150"/>
      <c r="AK53" s="150"/>
      <c r="AL53" s="150"/>
      <c r="AM53" s="150"/>
      <c r="AN53" s="150"/>
      <c r="AO53" s="150"/>
      <c r="AP53" s="150"/>
      <c r="AQ53" s="150"/>
      <c r="AR53" s="150"/>
      <c r="AS53" s="150"/>
      <c r="AT53" s="150"/>
      <c r="AU53" s="150"/>
      <c r="AV53" s="150">
        <v>6</v>
      </c>
      <c r="AW53" s="145">
        <v>2</v>
      </c>
      <c r="AX53" s="150"/>
      <c r="AY53" s="158"/>
      <c r="AZ53" s="150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51"/>
    </row>
    <row r="54" ht="60" customHeight="1" spans="1:68">
      <c r="A54" s="154" t="s">
        <v>58</v>
      </c>
      <c r="B54" s="138"/>
      <c r="C54" s="138"/>
      <c r="D54" s="123"/>
      <c r="E54" s="138"/>
      <c r="F54" s="138"/>
      <c r="G54" s="191"/>
      <c r="H54" s="142">
        <v>12</v>
      </c>
      <c r="I54" s="128">
        <f t="shared" si="3"/>
        <v>11</v>
      </c>
      <c r="J54" s="129" t="s">
        <v>45</v>
      </c>
      <c r="K54" s="204"/>
      <c r="L54" s="201"/>
      <c r="M54" s="157"/>
      <c r="N54" s="150">
        <v>3</v>
      </c>
      <c r="O54" s="150"/>
      <c r="P54" s="150"/>
      <c r="Q54" s="133"/>
      <c r="R54" s="150"/>
      <c r="S54" s="150"/>
      <c r="T54" s="150"/>
      <c r="U54" s="150"/>
      <c r="V54" s="150"/>
      <c r="W54" s="150"/>
      <c r="X54" s="150"/>
      <c r="Y54" s="150"/>
      <c r="Z54" s="150"/>
      <c r="AA54" s="150"/>
      <c r="AB54" s="150"/>
      <c r="AC54" s="150"/>
      <c r="AD54" s="150"/>
      <c r="AE54" s="150"/>
      <c r="AF54" s="150"/>
      <c r="AG54" s="150"/>
      <c r="AH54" s="150"/>
      <c r="AI54" s="150"/>
      <c r="AJ54" s="150"/>
      <c r="AK54" s="150"/>
      <c r="AL54" s="150"/>
      <c r="AM54" s="150"/>
      <c r="AN54" s="150"/>
      <c r="AO54" s="150"/>
      <c r="AP54" s="150"/>
      <c r="AQ54" s="150"/>
      <c r="AR54" s="150"/>
      <c r="AS54" s="150"/>
      <c r="AT54" s="150"/>
      <c r="AU54" s="150"/>
      <c r="AV54" s="150">
        <v>6</v>
      </c>
      <c r="AW54" s="145">
        <v>2</v>
      </c>
      <c r="AX54" s="150"/>
      <c r="AY54" s="158"/>
      <c r="AZ54" s="150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51"/>
    </row>
    <row r="55" ht="60" customHeight="1" spans="1:68">
      <c r="A55" s="159"/>
      <c r="B55" s="138"/>
      <c r="C55" s="138"/>
      <c r="D55" s="123"/>
      <c r="E55" s="138"/>
      <c r="F55" s="138"/>
      <c r="G55" s="191"/>
      <c r="H55" s="142">
        <v>12</v>
      </c>
      <c r="I55" s="128">
        <f t="shared" si="3"/>
        <v>11</v>
      </c>
      <c r="J55" s="129" t="s">
        <v>46</v>
      </c>
      <c r="K55" s="204"/>
      <c r="L55" s="201"/>
      <c r="M55" s="157"/>
      <c r="N55" s="150">
        <v>3</v>
      </c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  <c r="AA55" s="150"/>
      <c r="AB55" s="150"/>
      <c r="AC55" s="150"/>
      <c r="AD55" s="150"/>
      <c r="AE55" s="150"/>
      <c r="AF55" s="150"/>
      <c r="AG55" s="150"/>
      <c r="AH55" s="150"/>
      <c r="AI55" s="150"/>
      <c r="AJ55" s="150"/>
      <c r="AK55" s="150"/>
      <c r="AL55" s="150"/>
      <c r="AM55" s="150"/>
      <c r="AN55" s="150"/>
      <c r="AO55" s="150"/>
      <c r="AP55" s="150"/>
      <c r="AQ55" s="150"/>
      <c r="AR55" s="150"/>
      <c r="AS55" s="150"/>
      <c r="AT55" s="150"/>
      <c r="AU55" s="150"/>
      <c r="AV55" s="150">
        <v>6</v>
      </c>
      <c r="AW55" s="145">
        <v>2</v>
      </c>
      <c r="AX55" s="150"/>
      <c r="AY55" s="158"/>
      <c r="AZ55" s="150"/>
      <c r="BA55" s="150"/>
      <c r="BB55" s="150"/>
      <c r="BC55" s="150"/>
      <c r="BD55" s="150"/>
      <c r="BE55" s="150"/>
      <c r="BF55" s="150"/>
      <c r="BG55" s="150"/>
      <c r="BH55" s="150"/>
      <c r="BI55" s="150"/>
      <c r="BJ55" s="150"/>
      <c r="BK55" s="150"/>
      <c r="BL55" s="150"/>
      <c r="BM55" s="150"/>
      <c r="BN55" s="150"/>
      <c r="BO55" s="133"/>
      <c r="BP55" s="151"/>
    </row>
    <row r="56" ht="60" customHeight="1" spans="1:68">
      <c r="A56" s="159"/>
      <c r="B56" s="138"/>
      <c r="C56" s="138"/>
      <c r="D56" s="123"/>
      <c r="E56" s="138"/>
      <c r="F56" s="138"/>
      <c r="G56" s="191"/>
      <c r="H56" s="142">
        <v>14</v>
      </c>
      <c r="I56" s="128">
        <f t="shared" si="3"/>
        <v>11</v>
      </c>
      <c r="J56" s="129" t="s">
        <v>47</v>
      </c>
      <c r="K56" s="204"/>
      <c r="L56" s="201"/>
      <c r="M56" s="157"/>
      <c r="N56" s="161">
        <v>3</v>
      </c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>
        <v>6</v>
      </c>
      <c r="AW56" s="162">
        <v>2</v>
      </c>
      <c r="AX56" s="161"/>
      <c r="AY56" s="163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33"/>
      <c r="BP56" s="164"/>
    </row>
    <row r="57" ht="60" customHeight="1" spans="1:68">
      <c r="A57" s="159"/>
      <c r="B57" s="138"/>
      <c r="C57" s="138"/>
      <c r="D57" s="179"/>
      <c r="E57" s="138"/>
      <c r="F57" s="205" t="s">
        <v>59</v>
      </c>
      <c r="G57" s="191"/>
      <c r="H57" s="142">
        <v>10</v>
      </c>
      <c r="I57" s="128">
        <f t="shared" si="3"/>
        <v>12</v>
      </c>
      <c r="J57" s="129" t="s">
        <v>48</v>
      </c>
      <c r="K57" s="204"/>
      <c r="L57" s="201"/>
      <c r="M57" s="157"/>
      <c r="N57" s="161">
        <v>3</v>
      </c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>
        <v>6</v>
      </c>
      <c r="AW57" s="162">
        <v>3</v>
      </c>
      <c r="AX57" s="161"/>
      <c r="AY57" s="163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33"/>
      <c r="BP57" s="164"/>
    </row>
    <row r="58" ht="60" customHeight="1" spans="1:68">
      <c r="A58" s="159"/>
      <c r="B58" s="138"/>
      <c r="C58" s="138"/>
      <c r="D58" s="123"/>
      <c r="E58" s="138"/>
      <c r="F58" s="206"/>
      <c r="G58" s="191"/>
      <c r="H58" s="142">
        <v>10</v>
      </c>
      <c r="I58" s="128">
        <f t="shared" si="3"/>
        <v>12</v>
      </c>
      <c r="J58" s="129" t="s">
        <v>49</v>
      </c>
      <c r="K58" s="207"/>
      <c r="L58" s="208"/>
      <c r="M58" s="157"/>
      <c r="N58" s="167">
        <v>3</v>
      </c>
      <c r="O58" s="167"/>
      <c r="P58" s="167"/>
      <c r="Q58" s="167"/>
      <c r="R58" s="167"/>
      <c r="S58" s="167"/>
      <c r="T58" s="167"/>
      <c r="U58" s="167"/>
      <c r="V58" s="167"/>
      <c r="W58" s="167"/>
      <c r="X58" s="167"/>
      <c r="Y58" s="167"/>
      <c r="Z58" s="167"/>
      <c r="AA58" s="167"/>
      <c r="AB58" s="167"/>
      <c r="AC58" s="167"/>
      <c r="AD58" s="167"/>
      <c r="AE58" s="167"/>
      <c r="AF58" s="167"/>
      <c r="AG58" s="167"/>
      <c r="AH58" s="167"/>
      <c r="AI58" s="167"/>
      <c r="AJ58" s="167"/>
      <c r="AK58" s="167"/>
      <c r="AL58" s="167"/>
      <c r="AM58" s="167"/>
      <c r="AN58" s="167"/>
      <c r="AO58" s="167"/>
      <c r="AP58" s="167"/>
      <c r="AQ58" s="167"/>
      <c r="AR58" s="167"/>
      <c r="AS58" s="167"/>
      <c r="AT58" s="167"/>
      <c r="AU58" s="167"/>
      <c r="AV58" s="167">
        <v>6</v>
      </c>
      <c r="AW58" s="168">
        <v>3</v>
      </c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7"/>
      <c r="BI58" s="167"/>
      <c r="BJ58" s="167"/>
      <c r="BK58" s="167"/>
      <c r="BL58" s="167"/>
      <c r="BM58" s="167"/>
      <c r="BN58" s="167"/>
      <c r="BO58" s="167"/>
      <c r="BP58" s="169"/>
    </row>
    <row r="59" ht="60" customHeight="1" spans="1:68">
      <c r="A59" s="159"/>
      <c r="B59" s="138"/>
      <c r="C59" s="138"/>
      <c r="D59" s="123"/>
      <c r="E59" s="138"/>
      <c r="F59" s="206"/>
      <c r="G59" s="146" t="s">
        <v>60</v>
      </c>
      <c r="H59" s="127">
        <v>12</v>
      </c>
      <c r="I59" s="128">
        <f t="shared" si="3"/>
        <v>12</v>
      </c>
      <c r="J59" s="129" t="s">
        <v>35</v>
      </c>
      <c r="K59" s="130">
        <f ca="1">+K65</f>
        <v>46271</v>
      </c>
      <c r="L59" s="131" t="s">
        <v>36</v>
      </c>
      <c r="M59" s="157"/>
      <c r="N59" s="133">
        <v>3</v>
      </c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>
        <v>6</v>
      </c>
      <c r="AW59" s="134">
        <v>3</v>
      </c>
      <c r="AX59" s="133"/>
      <c r="AY59" s="135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6"/>
    </row>
    <row r="60" ht="60" customHeight="1" spans="1:68">
      <c r="A60" s="159"/>
      <c r="B60" s="138"/>
      <c r="C60" s="138"/>
      <c r="D60" s="123"/>
      <c r="E60" s="138"/>
      <c r="F60" s="206"/>
      <c r="G60" s="149"/>
      <c r="H60" s="209">
        <v>14</v>
      </c>
      <c r="I60" s="128">
        <f t="shared" si="3"/>
        <v>12</v>
      </c>
      <c r="J60" s="129" t="s">
        <v>37</v>
      </c>
      <c r="K60" s="200"/>
      <c r="L60" s="201"/>
      <c r="M60" s="157"/>
      <c r="N60" s="133">
        <v>3</v>
      </c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33"/>
      <c r="AV60" s="133">
        <v>6</v>
      </c>
      <c r="AW60" s="134">
        <v>3</v>
      </c>
      <c r="AX60" s="133"/>
      <c r="AY60" s="135"/>
      <c r="AZ60" s="133"/>
      <c r="BA60" s="133"/>
      <c r="BB60" s="133"/>
      <c r="BC60" s="133"/>
      <c r="BD60" s="133"/>
      <c r="BE60" s="133"/>
      <c r="BF60" s="133"/>
      <c r="BG60" s="133"/>
      <c r="BH60" s="133"/>
      <c r="BI60" s="133"/>
      <c r="BJ60" s="133"/>
      <c r="BK60" s="133"/>
      <c r="BL60" s="133"/>
      <c r="BM60" s="133"/>
      <c r="BN60" s="133"/>
      <c r="BO60" s="133"/>
      <c r="BP60" s="136"/>
    </row>
    <row r="61" ht="60" customHeight="1" spans="1:68">
      <c r="A61" s="159"/>
      <c r="B61" s="138"/>
      <c r="C61" s="138"/>
      <c r="D61" s="123"/>
      <c r="E61" s="138"/>
      <c r="F61" s="206"/>
      <c r="G61" s="149"/>
      <c r="H61" s="209">
        <v>14</v>
      </c>
      <c r="I61" s="128">
        <f t="shared" si="3"/>
        <v>12</v>
      </c>
      <c r="J61" s="129" t="s">
        <v>38</v>
      </c>
      <c r="K61" s="200"/>
      <c r="L61" s="201"/>
      <c r="M61" s="157"/>
      <c r="N61" s="133">
        <v>3</v>
      </c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>
        <v>6</v>
      </c>
      <c r="AW61" s="145">
        <v>3</v>
      </c>
      <c r="AX61" s="133"/>
      <c r="AY61" s="135"/>
      <c r="AZ61" s="133"/>
      <c r="BA61" s="133"/>
      <c r="BB61" s="133"/>
      <c r="BC61" s="133"/>
      <c r="BD61" s="133"/>
      <c r="BE61" s="133"/>
      <c r="BF61" s="133"/>
      <c r="BG61" s="133"/>
      <c r="BH61" s="133"/>
      <c r="BI61" s="133"/>
      <c r="BJ61" s="133"/>
      <c r="BK61" s="133"/>
      <c r="BL61" s="133"/>
      <c r="BM61" s="133"/>
      <c r="BN61" s="133"/>
      <c r="BO61" s="133"/>
      <c r="BP61" s="136"/>
    </row>
    <row r="62" ht="60" customHeight="1" spans="1:68">
      <c r="A62" s="159"/>
      <c r="B62" s="138"/>
      <c r="C62" s="138"/>
      <c r="D62" s="123"/>
      <c r="E62" s="138"/>
      <c r="F62" s="206"/>
      <c r="G62" s="149"/>
      <c r="H62" s="209">
        <v>14</v>
      </c>
      <c r="I62" s="128">
        <f t="shared" si="3"/>
        <v>12</v>
      </c>
      <c r="J62" s="129" t="s">
        <v>40</v>
      </c>
      <c r="K62" s="200"/>
      <c r="L62" s="201"/>
      <c r="M62" s="157"/>
      <c r="N62" s="133">
        <v>3</v>
      </c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33"/>
      <c r="AV62" s="133">
        <v>6</v>
      </c>
      <c r="AW62" s="145">
        <v>3</v>
      </c>
      <c r="AX62" s="133"/>
      <c r="AY62" s="135"/>
      <c r="AZ62" s="133"/>
      <c r="BA62" s="133"/>
      <c r="BB62" s="133"/>
      <c r="BC62" s="133"/>
      <c r="BD62" s="133"/>
      <c r="BE62" s="133"/>
      <c r="BF62" s="133"/>
      <c r="BG62" s="133"/>
      <c r="BH62" s="133"/>
      <c r="BI62" s="133"/>
      <c r="BJ62" s="133"/>
      <c r="BK62" s="133"/>
      <c r="BL62" s="133"/>
      <c r="BM62" s="133"/>
      <c r="BN62" s="133"/>
      <c r="BO62" s="133"/>
      <c r="BP62" s="136"/>
    </row>
    <row r="63" ht="60" customHeight="1" spans="1:68">
      <c r="A63" s="159"/>
      <c r="B63" s="138"/>
      <c r="C63" s="138"/>
      <c r="D63" s="123"/>
      <c r="E63" s="138"/>
      <c r="F63" s="206"/>
      <c r="G63" s="149"/>
      <c r="H63" s="209">
        <v>14</v>
      </c>
      <c r="I63" s="128">
        <f t="shared" si="3"/>
        <v>11</v>
      </c>
      <c r="J63" s="129" t="s">
        <v>41</v>
      </c>
      <c r="K63" s="200"/>
      <c r="L63" s="201"/>
      <c r="M63" s="157"/>
      <c r="N63" s="133">
        <v>2</v>
      </c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210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>
        <v>6</v>
      </c>
      <c r="AW63" s="145">
        <v>3</v>
      </c>
      <c r="AX63" s="133"/>
      <c r="AY63" s="135"/>
      <c r="AZ63" s="133"/>
      <c r="BA63" s="150"/>
      <c r="BB63" s="150"/>
      <c r="BC63" s="150"/>
      <c r="BD63" s="150"/>
      <c r="BE63" s="150"/>
      <c r="BF63" s="150"/>
      <c r="BG63" s="150"/>
      <c r="BH63" s="150"/>
      <c r="BI63" s="150"/>
      <c r="BJ63" s="150"/>
      <c r="BK63" s="150"/>
      <c r="BL63" s="150"/>
      <c r="BM63" s="150"/>
      <c r="BN63" s="150"/>
      <c r="BO63" s="133"/>
      <c r="BP63" s="151"/>
    </row>
    <row r="64" ht="60" customHeight="1" spans="1:68">
      <c r="A64" s="159"/>
      <c r="B64" s="138"/>
      <c r="C64" s="138"/>
      <c r="D64" s="123"/>
      <c r="E64" s="138"/>
      <c r="F64" s="206"/>
      <c r="G64" s="149"/>
      <c r="H64" s="209">
        <v>14</v>
      </c>
      <c r="I64" s="128">
        <f t="shared" si="3"/>
        <v>11</v>
      </c>
      <c r="J64" s="129" t="s">
        <v>42</v>
      </c>
      <c r="K64" s="203"/>
      <c r="L64" s="201"/>
      <c r="M64" s="157"/>
      <c r="N64" s="133">
        <v>2</v>
      </c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133"/>
      <c r="AO64" s="133"/>
      <c r="AP64" s="133"/>
      <c r="AQ64" s="133"/>
      <c r="AR64" s="133"/>
      <c r="AS64" s="133"/>
      <c r="AT64" s="133"/>
      <c r="AU64" s="133"/>
      <c r="AV64" s="133">
        <v>6</v>
      </c>
      <c r="AW64" s="145">
        <v>3</v>
      </c>
      <c r="AX64" s="133"/>
      <c r="AY64" s="135"/>
      <c r="AZ64" s="133"/>
      <c r="BA64" s="133"/>
      <c r="BB64" s="133"/>
      <c r="BC64" s="133"/>
      <c r="BD64" s="133"/>
      <c r="BE64" s="133"/>
      <c r="BF64" s="133"/>
      <c r="BG64" s="133"/>
      <c r="BH64" s="133"/>
      <c r="BI64" s="133"/>
      <c r="BJ64" s="133"/>
      <c r="BK64" s="133"/>
      <c r="BL64" s="133"/>
      <c r="BM64" s="133"/>
      <c r="BN64" s="133"/>
      <c r="BO64" s="133"/>
      <c r="BP64" s="151"/>
    </row>
    <row r="65" ht="60" customHeight="1" spans="1:68">
      <c r="A65" s="159"/>
      <c r="B65" s="138"/>
      <c r="C65" s="138"/>
      <c r="D65" s="123"/>
      <c r="E65" s="138"/>
      <c r="F65" s="206"/>
      <c r="G65" s="149"/>
      <c r="H65" s="209">
        <v>14</v>
      </c>
      <c r="I65" s="128">
        <f t="shared" si="3"/>
        <v>11</v>
      </c>
      <c r="J65" s="129" t="s">
        <v>44</v>
      </c>
      <c r="K65" s="156">
        <f ca="1">K53+1</f>
        <v>46271</v>
      </c>
      <c r="L65" s="201"/>
      <c r="M65" s="157"/>
      <c r="N65" s="150">
        <v>2</v>
      </c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  <c r="AA65" s="150"/>
      <c r="AB65" s="150"/>
      <c r="AC65" s="150"/>
      <c r="AD65" s="150"/>
      <c r="AE65" s="150"/>
      <c r="AF65" s="150"/>
      <c r="AG65" s="150"/>
      <c r="AH65" s="150"/>
      <c r="AI65" s="150"/>
      <c r="AJ65" s="150"/>
      <c r="AK65" s="150"/>
      <c r="AL65" s="150"/>
      <c r="AM65" s="150"/>
      <c r="AN65" s="150"/>
      <c r="AO65" s="150"/>
      <c r="AP65" s="150"/>
      <c r="AQ65" s="150"/>
      <c r="AR65" s="150"/>
      <c r="AS65" s="150"/>
      <c r="AT65" s="150"/>
      <c r="AU65" s="150"/>
      <c r="AV65" s="150">
        <v>6</v>
      </c>
      <c r="AW65" s="145">
        <v>3</v>
      </c>
      <c r="AX65" s="150"/>
      <c r="AY65" s="158"/>
      <c r="AZ65" s="150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51"/>
    </row>
    <row r="66" ht="60" customHeight="1" spans="1:68">
      <c r="A66" s="159"/>
      <c r="B66" s="138"/>
      <c r="C66" s="138"/>
      <c r="D66" s="123"/>
      <c r="E66" s="138"/>
      <c r="F66" s="206"/>
      <c r="G66" s="149"/>
      <c r="H66" s="209">
        <v>14</v>
      </c>
      <c r="I66" s="128">
        <f t="shared" si="3"/>
        <v>11</v>
      </c>
      <c r="J66" s="129" t="s">
        <v>45</v>
      </c>
      <c r="K66" s="204"/>
      <c r="L66" s="201"/>
      <c r="M66" s="157"/>
      <c r="N66" s="150">
        <v>2</v>
      </c>
      <c r="O66" s="150"/>
      <c r="P66" s="150"/>
      <c r="Q66" s="133"/>
      <c r="R66" s="150"/>
      <c r="S66" s="150"/>
      <c r="T66" s="150"/>
      <c r="U66" s="150"/>
      <c r="V66" s="150"/>
      <c r="W66" s="150"/>
      <c r="X66" s="150"/>
      <c r="Y66" s="150"/>
      <c r="Z66" s="150"/>
      <c r="AA66" s="150"/>
      <c r="AB66" s="211"/>
      <c r="AC66" s="150"/>
      <c r="AD66" s="150"/>
      <c r="AE66" s="150"/>
      <c r="AF66" s="150"/>
      <c r="AG66" s="150"/>
      <c r="AH66" s="150"/>
      <c r="AI66" s="150"/>
      <c r="AJ66" s="150"/>
      <c r="AK66" s="150"/>
      <c r="AL66" s="150"/>
      <c r="AM66" s="150"/>
      <c r="AN66" s="150"/>
      <c r="AO66" s="150"/>
      <c r="AP66" s="150"/>
      <c r="AQ66" s="150"/>
      <c r="AR66" s="150"/>
      <c r="AS66" s="150"/>
      <c r="AT66" s="150"/>
      <c r="AU66" s="150"/>
      <c r="AV66" s="150">
        <v>6</v>
      </c>
      <c r="AW66" s="145">
        <v>3</v>
      </c>
      <c r="AX66" s="150"/>
      <c r="AY66" s="158"/>
      <c r="AZ66" s="150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51"/>
    </row>
    <row r="67" ht="60" customHeight="1" spans="1:68">
      <c r="A67" s="159"/>
      <c r="B67" s="138"/>
      <c r="C67" s="138"/>
      <c r="D67" s="123"/>
      <c r="E67" s="138"/>
      <c r="F67" s="206"/>
      <c r="G67" s="149"/>
      <c r="H67" s="209">
        <v>14</v>
      </c>
      <c r="I67" s="128">
        <f t="shared" si="3"/>
        <v>11</v>
      </c>
      <c r="J67" s="129" t="s">
        <v>46</v>
      </c>
      <c r="K67" s="204"/>
      <c r="L67" s="201"/>
      <c r="M67" s="157"/>
      <c r="N67" s="150">
        <v>2</v>
      </c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  <c r="AE67" s="150"/>
      <c r="AF67" s="150"/>
      <c r="AG67" s="150"/>
      <c r="AH67" s="150"/>
      <c r="AI67" s="150"/>
      <c r="AJ67" s="150"/>
      <c r="AK67" s="150"/>
      <c r="AL67" s="150"/>
      <c r="AM67" s="150"/>
      <c r="AN67" s="150"/>
      <c r="AO67" s="150"/>
      <c r="AP67" s="150"/>
      <c r="AQ67" s="150"/>
      <c r="AR67" s="150"/>
      <c r="AS67" s="150"/>
      <c r="AT67" s="150"/>
      <c r="AU67" s="150"/>
      <c r="AV67" s="150">
        <v>6</v>
      </c>
      <c r="AW67" s="145">
        <v>3</v>
      </c>
      <c r="AX67" s="150"/>
      <c r="AY67" s="158"/>
      <c r="AZ67" s="150"/>
      <c r="BA67" s="150"/>
      <c r="BB67" s="150"/>
      <c r="BC67" s="150"/>
      <c r="BD67" s="150"/>
      <c r="BE67" s="150"/>
      <c r="BF67" s="150"/>
      <c r="BG67" s="150"/>
      <c r="BH67" s="150"/>
      <c r="BI67" s="150"/>
      <c r="BJ67" s="150"/>
      <c r="BK67" s="150"/>
      <c r="BL67" s="150"/>
      <c r="BM67" s="150"/>
      <c r="BN67" s="150"/>
      <c r="BO67" s="133"/>
      <c r="BP67" s="151"/>
    </row>
    <row r="68" ht="60" customHeight="1" spans="1:68">
      <c r="A68" s="159"/>
      <c r="B68" s="138"/>
      <c r="C68" s="138"/>
      <c r="D68" s="123"/>
      <c r="E68" s="138"/>
      <c r="F68" s="212"/>
      <c r="G68" s="149"/>
      <c r="H68" s="209">
        <v>14</v>
      </c>
      <c r="I68" s="128">
        <f t="shared" si="3"/>
        <v>11</v>
      </c>
      <c r="J68" s="129" t="s">
        <v>47</v>
      </c>
      <c r="K68" s="204"/>
      <c r="L68" s="201"/>
      <c r="M68" s="157"/>
      <c r="N68" s="161">
        <v>2</v>
      </c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>
        <v>6</v>
      </c>
      <c r="AW68" s="162">
        <v>3</v>
      </c>
      <c r="AX68" s="161"/>
      <c r="AY68" s="163"/>
      <c r="AZ68" s="161"/>
      <c r="BA68" s="161"/>
      <c r="BB68" s="161"/>
      <c r="BC68" s="161"/>
      <c r="BD68" s="161"/>
      <c r="BE68" s="161"/>
      <c r="BF68" s="161"/>
      <c r="BG68" s="161"/>
      <c r="BH68" s="161"/>
      <c r="BI68" s="161"/>
      <c r="BJ68" s="161"/>
      <c r="BK68" s="161"/>
      <c r="BL68" s="161"/>
      <c r="BM68" s="161"/>
      <c r="BN68" s="161"/>
      <c r="BO68" s="133"/>
      <c r="BP68" s="164"/>
    </row>
    <row r="69" ht="60" customHeight="1" spans="1:68">
      <c r="A69" s="159"/>
      <c r="B69" s="138"/>
      <c r="C69" s="138"/>
      <c r="D69" s="213" t="s">
        <v>61</v>
      </c>
      <c r="E69" s="138"/>
      <c r="F69" s="214" t="s">
        <v>62</v>
      </c>
      <c r="G69" s="149"/>
      <c r="H69" s="209">
        <v>13</v>
      </c>
      <c r="I69" s="128">
        <f t="shared" si="3"/>
        <v>10</v>
      </c>
      <c r="J69" s="129" t="s">
        <v>48</v>
      </c>
      <c r="K69" s="204"/>
      <c r="L69" s="201"/>
      <c r="M69" s="157"/>
      <c r="N69" s="161">
        <v>2</v>
      </c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>
        <v>5</v>
      </c>
      <c r="AW69" s="162">
        <v>3</v>
      </c>
      <c r="AX69" s="161"/>
      <c r="AY69" s="163"/>
      <c r="AZ69" s="161"/>
      <c r="BA69" s="161"/>
      <c r="BB69" s="161"/>
      <c r="BC69" s="161"/>
      <c r="BD69" s="161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33"/>
      <c r="BP69" s="164"/>
    </row>
    <row r="70" ht="60" customHeight="1" spans="1:68">
      <c r="A70" s="159"/>
      <c r="B70" s="138"/>
      <c r="C70" s="138"/>
      <c r="D70" s="215"/>
      <c r="E70" s="138"/>
      <c r="F70" s="216"/>
      <c r="G70" s="149"/>
      <c r="H70" s="166">
        <v>13</v>
      </c>
      <c r="I70" s="128">
        <f t="shared" si="3"/>
        <v>10</v>
      </c>
      <c r="J70" s="129" t="s">
        <v>49</v>
      </c>
      <c r="K70" s="207"/>
      <c r="L70" s="208"/>
      <c r="M70" s="157"/>
      <c r="N70" s="167">
        <v>2</v>
      </c>
      <c r="O70" s="167"/>
      <c r="P70" s="167"/>
      <c r="Q70" s="167"/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7"/>
      <c r="AH70" s="167"/>
      <c r="AI70" s="167"/>
      <c r="AJ70" s="167"/>
      <c r="AK70" s="167"/>
      <c r="AL70" s="167"/>
      <c r="AM70" s="167"/>
      <c r="AN70" s="167"/>
      <c r="AO70" s="167"/>
      <c r="AP70" s="167"/>
      <c r="AQ70" s="167"/>
      <c r="AR70" s="167"/>
      <c r="AS70" s="167"/>
      <c r="AT70" s="167"/>
      <c r="AU70" s="167"/>
      <c r="AV70" s="167">
        <v>5</v>
      </c>
      <c r="AW70" s="168">
        <v>3</v>
      </c>
      <c r="AX70" s="167"/>
      <c r="AY70" s="167"/>
      <c r="AZ70" s="167"/>
      <c r="BA70" s="167"/>
      <c r="BB70" s="167"/>
      <c r="BC70" s="167"/>
      <c r="BD70" s="167"/>
      <c r="BE70" s="167"/>
      <c r="BF70" s="167"/>
      <c r="BG70" s="167"/>
      <c r="BH70" s="167"/>
      <c r="BI70" s="167"/>
      <c r="BJ70" s="167"/>
      <c r="BK70" s="167"/>
      <c r="BL70" s="167"/>
      <c r="BM70" s="167"/>
      <c r="BN70" s="167"/>
      <c r="BO70" s="167"/>
      <c r="BP70" s="169"/>
    </row>
    <row r="71" ht="60" customHeight="1" spans="1:68">
      <c r="A71" s="176"/>
      <c r="B71" s="138"/>
      <c r="C71" s="138"/>
      <c r="D71" s="215"/>
      <c r="E71" s="138"/>
      <c r="F71" s="216"/>
      <c r="G71" s="149"/>
      <c r="H71" s="127">
        <v>13</v>
      </c>
      <c r="I71" s="128">
        <f t="shared" si="3"/>
        <v>10</v>
      </c>
      <c r="J71" s="129" t="s">
        <v>35</v>
      </c>
      <c r="K71" s="130">
        <f ca="1">+K77</f>
        <v>46272</v>
      </c>
      <c r="L71" s="131" t="s">
        <v>36</v>
      </c>
      <c r="M71" s="157"/>
      <c r="N71" s="133">
        <v>2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>
        <v>5</v>
      </c>
      <c r="AW71" s="134">
        <v>3</v>
      </c>
      <c r="AX71" s="133"/>
      <c r="AY71" s="135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6"/>
    </row>
    <row r="72" ht="60" customHeight="1" spans="1:68">
      <c r="A72" s="152"/>
      <c r="B72" s="143"/>
      <c r="C72" s="143"/>
      <c r="D72" s="217"/>
      <c r="E72" s="218" t="s">
        <v>63</v>
      </c>
      <c r="F72" s="216"/>
      <c r="G72" s="149"/>
      <c r="H72" s="142">
        <v>5</v>
      </c>
      <c r="I72" s="128">
        <f t="shared" si="3"/>
        <v>10</v>
      </c>
      <c r="J72" s="129" t="s">
        <v>37</v>
      </c>
      <c r="K72" s="200"/>
      <c r="L72" s="201"/>
      <c r="M72" s="157"/>
      <c r="N72" s="133">
        <v>2</v>
      </c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>
        <v>5</v>
      </c>
      <c r="AW72" s="134">
        <v>3</v>
      </c>
      <c r="AX72" s="133"/>
      <c r="AY72" s="135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6"/>
    </row>
    <row r="73" ht="60" customHeight="1" spans="1:68">
      <c r="A73" s="219"/>
      <c r="B73" s="138"/>
      <c r="C73" s="138"/>
      <c r="D73" s="217"/>
      <c r="E73" s="220"/>
      <c r="F73" s="216"/>
      <c r="G73" s="149"/>
      <c r="H73" s="142">
        <v>7</v>
      </c>
      <c r="I73" s="128">
        <f t="shared" si="3"/>
        <v>10</v>
      </c>
      <c r="J73" s="129" t="s">
        <v>38</v>
      </c>
      <c r="K73" s="200"/>
      <c r="L73" s="201"/>
      <c r="M73" s="157"/>
      <c r="N73" s="133">
        <v>2</v>
      </c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>
        <v>5</v>
      </c>
      <c r="AW73" s="145">
        <v>3</v>
      </c>
      <c r="AX73" s="133"/>
      <c r="AY73" s="135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6"/>
    </row>
    <row r="74" ht="60" customHeight="1" spans="1:68">
      <c r="A74" s="219"/>
      <c r="B74" s="138"/>
      <c r="C74" s="138"/>
      <c r="D74" s="217"/>
      <c r="E74" s="220"/>
      <c r="F74" s="216"/>
      <c r="G74" s="149"/>
      <c r="H74" s="142">
        <v>6</v>
      </c>
      <c r="I74" s="128">
        <f t="shared" si="3"/>
        <v>10</v>
      </c>
      <c r="J74" s="129" t="s">
        <v>40</v>
      </c>
      <c r="K74" s="200"/>
      <c r="L74" s="201"/>
      <c r="M74" s="157"/>
      <c r="N74" s="133">
        <v>2</v>
      </c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>
        <v>5</v>
      </c>
      <c r="AW74" s="145">
        <v>3</v>
      </c>
      <c r="AX74" s="133"/>
      <c r="AY74" s="135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6"/>
    </row>
    <row r="75" ht="60" customHeight="1" spans="1:68">
      <c r="A75" s="219"/>
      <c r="B75" s="138"/>
      <c r="C75" s="138"/>
      <c r="D75" s="217"/>
      <c r="E75" s="220"/>
      <c r="F75" s="216"/>
      <c r="G75" s="149"/>
      <c r="H75" s="142">
        <v>7</v>
      </c>
      <c r="I75" s="128">
        <f t="shared" si="3"/>
        <v>10</v>
      </c>
      <c r="J75" s="129" t="s">
        <v>41</v>
      </c>
      <c r="K75" s="200"/>
      <c r="L75" s="201"/>
      <c r="M75" s="157"/>
      <c r="N75" s="133">
        <v>2</v>
      </c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>
        <v>5</v>
      </c>
      <c r="AW75" s="145">
        <v>3</v>
      </c>
      <c r="AX75" s="133"/>
      <c r="AY75" s="135"/>
      <c r="AZ75" s="133"/>
      <c r="BA75" s="150"/>
      <c r="BB75" s="150"/>
      <c r="BC75" s="150"/>
      <c r="BD75" s="150"/>
      <c r="BE75" s="150"/>
      <c r="BF75" s="150"/>
      <c r="BG75" s="150"/>
      <c r="BH75" s="150"/>
      <c r="BI75" s="150"/>
      <c r="BJ75" s="150"/>
      <c r="BK75" s="150"/>
      <c r="BL75" s="150"/>
      <c r="BM75" s="150"/>
      <c r="BN75" s="150"/>
      <c r="BO75" s="133"/>
      <c r="BP75" s="151"/>
    </row>
    <row r="76" ht="60" customHeight="1" spans="1:68">
      <c r="A76" s="219"/>
      <c r="B76" s="138"/>
      <c r="C76" s="138"/>
      <c r="D76" s="217"/>
      <c r="E76" s="220"/>
      <c r="F76" s="216"/>
      <c r="G76" s="149"/>
      <c r="H76" s="142">
        <v>7</v>
      </c>
      <c r="I76" s="128">
        <f t="shared" si="3"/>
        <v>10</v>
      </c>
      <c r="J76" s="129" t="s">
        <v>42</v>
      </c>
      <c r="K76" s="203"/>
      <c r="L76" s="201"/>
      <c r="M76" s="157"/>
      <c r="N76" s="133">
        <v>2</v>
      </c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>
        <v>5</v>
      </c>
      <c r="AW76" s="145">
        <v>3</v>
      </c>
      <c r="AX76" s="133"/>
      <c r="AY76" s="135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51"/>
    </row>
    <row r="77" ht="60" customHeight="1" spans="1:68">
      <c r="A77" s="219"/>
      <c r="B77" s="154" t="s">
        <v>64</v>
      </c>
      <c r="C77" s="155"/>
      <c r="D77" s="217"/>
      <c r="E77" s="220"/>
      <c r="F77" s="221"/>
      <c r="G77" s="184"/>
      <c r="H77" s="142">
        <v>11</v>
      </c>
      <c r="I77" s="128">
        <f t="shared" si="3"/>
        <v>9</v>
      </c>
      <c r="J77" s="129" t="s">
        <v>44</v>
      </c>
      <c r="K77" s="156">
        <f ca="1">K65+1</f>
        <v>46272</v>
      </c>
      <c r="L77" s="201"/>
      <c r="M77" s="157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150"/>
      <c r="AH77" s="150"/>
      <c r="AI77" s="150"/>
      <c r="AJ77" s="150"/>
      <c r="AK77" s="150"/>
      <c r="AL77" s="150"/>
      <c r="AM77" s="150"/>
      <c r="AN77" s="150"/>
      <c r="AO77" s="150"/>
      <c r="AP77" s="150"/>
      <c r="AQ77" s="150"/>
      <c r="AR77" s="150"/>
      <c r="AS77" s="150"/>
      <c r="AT77" s="150"/>
      <c r="AU77" s="150"/>
      <c r="AV77" s="150">
        <v>5</v>
      </c>
      <c r="AW77" s="145">
        <v>4</v>
      </c>
      <c r="AX77" s="150"/>
      <c r="AY77" s="158"/>
      <c r="AZ77" s="150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51"/>
    </row>
    <row r="78" ht="60" customHeight="1" spans="1:68">
      <c r="A78" s="219"/>
      <c r="B78" s="159"/>
      <c r="C78" s="160"/>
      <c r="D78" s="222"/>
      <c r="E78" s="223"/>
      <c r="F78" s="143"/>
      <c r="G78" s="189"/>
      <c r="H78" s="142">
        <v>7</v>
      </c>
      <c r="I78" s="128">
        <f t="shared" si="3"/>
        <v>9</v>
      </c>
      <c r="J78" s="129" t="s">
        <v>45</v>
      </c>
      <c r="K78" s="204"/>
      <c r="L78" s="201"/>
      <c r="M78" s="157"/>
      <c r="N78" s="150"/>
      <c r="O78" s="150"/>
      <c r="P78" s="150"/>
      <c r="Q78" s="133"/>
      <c r="R78" s="150"/>
      <c r="S78" s="150"/>
      <c r="T78" s="150"/>
      <c r="U78" s="150"/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0"/>
      <c r="AJ78" s="150"/>
      <c r="AK78" s="150"/>
      <c r="AL78" s="150"/>
      <c r="AM78" s="150"/>
      <c r="AN78" s="150"/>
      <c r="AO78" s="150"/>
      <c r="AP78" s="150"/>
      <c r="AQ78" s="150"/>
      <c r="AR78" s="150"/>
      <c r="AS78" s="150"/>
      <c r="AT78" s="150"/>
      <c r="AU78" s="150"/>
      <c r="AV78" s="150">
        <v>5</v>
      </c>
      <c r="AW78" s="145">
        <v>4</v>
      </c>
      <c r="AX78" s="150"/>
      <c r="AY78" s="158"/>
      <c r="AZ78" s="150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51"/>
    </row>
    <row r="79" ht="60" customHeight="1" spans="1:68">
      <c r="A79" s="219"/>
      <c r="B79" s="159"/>
      <c r="C79" s="160"/>
      <c r="D79" s="121" t="s">
        <v>65</v>
      </c>
      <c r="E79" s="143"/>
      <c r="F79" s="138"/>
      <c r="G79" s="191"/>
      <c r="H79" s="142">
        <v>5</v>
      </c>
      <c r="I79" s="128">
        <f t="shared" ref="I79:I106" si="4">SUM(M79:BP79)</f>
        <v>9</v>
      </c>
      <c r="J79" s="129" t="s">
        <v>46</v>
      </c>
      <c r="K79" s="204"/>
      <c r="L79" s="201"/>
      <c r="M79" s="157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  <c r="AA79" s="150"/>
      <c r="AB79" s="150"/>
      <c r="AC79" s="150"/>
      <c r="AD79" s="150"/>
      <c r="AE79" s="150"/>
      <c r="AF79" s="150"/>
      <c r="AG79" s="150"/>
      <c r="AH79" s="150"/>
      <c r="AI79" s="150"/>
      <c r="AJ79" s="150"/>
      <c r="AK79" s="150"/>
      <c r="AL79" s="150"/>
      <c r="AM79" s="150"/>
      <c r="AN79" s="150"/>
      <c r="AO79" s="150"/>
      <c r="AP79" s="150"/>
      <c r="AQ79" s="150"/>
      <c r="AR79" s="150"/>
      <c r="AS79" s="150"/>
      <c r="AT79" s="150"/>
      <c r="AU79" s="150"/>
      <c r="AV79" s="150">
        <v>5</v>
      </c>
      <c r="AW79" s="145">
        <v>4</v>
      </c>
      <c r="AX79" s="150"/>
      <c r="AY79" s="158"/>
      <c r="AZ79" s="150"/>
      <c r="BA79" s="150"/>
      <c r="BB79" s="150"/>
      <c r="BC79" s="150"/>
      <c r="BD79" s="150"/>
      <c r="BE79" s="150"/>
      <c r="BF79" s="150"/>
      <c r="BG79" s="150"/>
      <c r="BH79" s="150"/>
      <c r="BI79" s="150"/>
      <c r="BJ79" s="150"/>
      <c r="BK79" s="150"/>
      <c r="BL79" s="150"/>
      <c r="BM79" s="150"/>
      <c r="BN79" s="150"/>
      <c r="BO79" s="133"/>
      <c r="BP79" s="151"/>
    </row>
    <row r="80" ht="60" customHeight="1" spans="1:68">
      <c r="A80" s="219"/>
      <c r="B80" s="159"/>
      <c r="C80" s="160"/>
      <c r="D80" s="137"/>
      <c r="E80" s="138"/>
      <c r="F80" s="138"/>
      <c r="G80" s="191"/>
      <c r="H80" s="142">
        <v>10</v>
      </c>
      <c r="I80" s="128">
        <f t="shared" si="4"/>
        <v>9</v>
      </c>
      <c r="J80" s="129" t="s">
        <v>47</v>
      </c>
      <c r="K80" s="204"/>
      <c r="L80" s="201"/>
      <c r="M80" s="157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>
        <v>5</v>
      </c>
      <c r="AW80" s="162">
        <v>4</v>
      </c>
      <c r="AX80" s="161"/>
      <c r="AY80" s="163"/>
      <c r="AZ80" s="161"/>
      <c r="BA80" s="161"/>
      <c r="BB80" s="161"/>
      <c r="BC80" s="161"/>
      <c r="BD80" s="161"/>
      <c r="BE80" s="161"/>
      <c r="BF80" s="161"/>
      <c r="BG80" s="161"/>
      <c r="BH80" s="161"/>
      <c r="BI80" s="161"/>
      <c r="BJ80" s="161"/>
      <c r="BK80" s="161"/>
      <c r="BL80" s="161"/>
      <c r="BM80" s="161"/>
      <c r="BN80" s="161"/>
      <c r="BO80" s="133"/>
      <c r="BP80" s="164"/>
    </row>
    <row r="81" ht="60" customHeight="1" spans="1:68">
      <c r="A81" s="219"/>
      <c r="B81" s="159"/>
      <c r="C81" s="160"/>
      <c r="D81" s="137"/>
      <c r="E81" s="182"/>
      <c r="F81" s="138"/>
      <c r="G81" s="191"/>
      <c r="H81" s="142">
        <v>9</v>
      </c>
      <c r="I81" s="128">
        <f t="shared" si="4"/>
        <v>10</v>
      </c>
      <c r="J81" s="129" t="s">
        <v>48</v>
      </c>
      <c r="K81" s="204"/>
      <c r="L81" s="201"/>
      <c r="M81" s="157"/>
      <c r="N81" s="161">
        <v>2</v>
      </c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>
        <v>5</v>
      </c>
      <c r="AW81" s="162">
        <v>3</v>
      </c>
      <c r="AX81" s="161"/>
      <c r="AY81" s="163"/>
      <c r="AZ81" s="161"/>
      <c r="BA81" s="161"/>
      <c r="BB81" s="161"/>
      <c r="BC81" s="161"/>
      <c r="BD81" s="161"/>
      <c r="BE81" s="161"/>
      <c r="BF81" s="161"/>
      <c r="BG81" s="161"/>
      <c r="BH81" s="161"/>
      <c r="BI81" s="161"/>
      <c r="BJ81" s="161"/>
      <c r="BK81" s="161"/>
      <c r="BL81" s="161"/>
      <c r="BM81" s="161"/>
      <c r="BN81" s="161"/>
      <c r="BO81" s="133"/>
      <c r="BP81" s="164"/>
    </row>
    <row r="82" ht="60" customHeight="1" spans="1:68">
      <c r="A82" s="219"/>
      <c r="B82" s="159"/>
      <c r="C82" s="160"/>
      <c r="D82" s="137"/>
      <c r="E82" s="224" t="s">
        <v>66</v>
      </c>
      <c r="F82" s="123"/>
      <c r="G82" s="225" t="s">
        <v>67</v>
      </c>
      <c r="H82" s="166">
        <v>11</v>
      </c>
      <c r="I82" s="128">
        <f t="shared" si="4"/>
        <v>10</v>
      </c>
      <c r="J82" s="129" t="s">
        <v>49</v>
      </c>
      <c r="K82" s="207"/>
      <c r="L82" s="208"/>
      <c r="M82" s="157"/>
      <c r="N82" s="167">
        <v>2</v>
      </c>
      <c r="O82" s="167"/>
      <c r="P82" s="167"/>
      <c r="Q82" s="167"/>
      <c r="R82" s="167"/>
      <c r="S82" s="167"/>
      <c r="T82" s="167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67"/>
      <c r="AF82" s="167"/>
      <c r="AG82" s="167"/>
      <c r="AH82" s="167"/>
      <c r="AI82" s="167"/>
      <c r="AJ82" s="167"/>
      <c r="AK82" s="167"/>
      <c r="AL82" s="167"/>
      <c r="AM82" s="167"/>
      <c r="AN82" s="167"/>
      <c r="AO82" s="167"/>
      <c r="AP82" s="167"/>
      <c r="AQ82" s="167"/>
      <c r="AR82" s="167"/>
      <c r="AS82" s="167"/>
      <c r="AT82" s="167"/>
      <c r="AU82" s="167"/>
      <c r="AV82" s="167">
        <v>5</v>
      </c>
      <c r="AW82" s="168">
        <v>3</v>
      </c>
      <c r="AX82" s="167"/>
      <c r="AY82" s="167"/>
      <c r="AZ82" s="167"/>
      <c r="BA82" s="167"/>
      <c r="BB82" s="167"/>
      <c r="BC82" s="167"/>
      <c r="BD82" s="167"/>
      <c r="BE82" s="167"/>
      <c r="BF82" s="167"/>
      <c r="BG82" s="167"/>
      <c r="BH82" s="167"/>
      <c r="BI82" s="167"/>
      <c r="BJ82" s="167"/>
      <c r="BK82" s="167"/>
      <c r="BL82" s="167"/>
      <c r="BM82" s="167"/>
      <c r="BN82" s="167"/>
      <c r="BO82" s="167"/>
      <c r="BP82" s="169"/>
    </row>
    <row r="83" ht="60" customHeight="1" spans="1:68">
      <c r="A83" s="219"/>
      <c r="B83" s="159"/>
      <c r="C83" s="160"/>
      <c r="D83" s="137"/>
      <c r="E83" s="226"/>
      <c r="F83" s="123"/>
      <c r="G83" s="227"/>
      <c r="H83" s="228">
        <v>11</v>
      </c>
      <c r="I83" s="128">
        <f t="shared" si="4"/>
        <v>10</v>
      </c>
      <c r="J83" s="129" t="s">
        <v>35</v>
      </c>
      <c r="K83" s="130">
        <f ca="1">+K89</f>
        <v>46273</v>
      </c>
      <c r="L83" s="131" t="s">
        <v>36</v>
      </c>
      <c r="M83" s="157"/>
      <c r="N83" s="133">
        <v>2</v>
      </c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133"/>
      <c r="AO83" s="133"/>
      <c r="AP83" s="133"/>
      <c r="AQ83" s="133"/>
      <c r="AR83" s="133"/>
      <c r="AS83" s="133"/>
      <c r="AT83" s="133"/>
      <c r="AU83" s="133"/>
      <c r="AV83" s="133">
        <v>5</v>
      </c>
      <c r="AW83" s="134">
        <v>3</v>
      </c>
      <c r="AX83" s="133"/>
      <c r="AY83" s="135"/>
      <c r="AZ83" s="133"/>
      <c r="BA83" s="133"/>
      <c r="BB83" s="133"/>
      <c r="BC83" s="133"/>
      <c r="BD83" s="133"/>
      <c r="BE83" s="133"/>
      <c r="BF83" s="133"/>
      <c r="BG83" s="133"/>
      <c r="BH83" s="133"/>
      <c r="BI83" s="133"/>
      <c r="BJ83" s="133"/>
      <c r="BK83" s="133"/>
      <c r="BL83" s="133"/>
      <c r="BM83" s="133"/>
      <c r="BN83" s="133"/>
      <c r="BO83" s="133"/>
      <c r="BP83" s="136"/>
    </row>
    <row r="84" ht="60" customHeight="1" spans="1:68">
      <c r="A84" s="121" t="s">
        <v>32</v>
      </c>
      <c r="B84" s="159"/>
      <c r="C84" s="160"/>
      <c r="D84" s="137"/>
      <c r="E84" s="226"/>
      <c r="F84" s="123"/>
      <c r="G84" s="227"/>
      <c r="H84" s="142">
        <v>11</v>
      </c>
      <c r="I84" s="128">
        <f t="shared" si="4"/>
        <v>10</v>
      </c>
      <c r="J84" s="129" t="s">
        <v>37</v>
      </c>
      <c r="K84" s="200"/>
      <c r="L84" s="131"/>
      <c r="M84" s="157"/>
      <c r="N84" s="133">
        <v>2</v>
      </c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3"/>
      <c r="AU84" s="133"/>
      <c r="AV84" s="133">
        <v>5</v>
      </c>
      <c r="AW84" s="134">
        <v>3</v>
      </c>
      <c r="AX84" s="133"/>
      <c r="AY84" s="135"/>
      <c r="AZ84" s="133"/>
      <c r="BA84" s="133"/>
      <c r="BB84" s="133"/>
      <c r="BC84" s="133"/>
      <c r="BD84" s="133"/>
      <c r="BE84" s="133"/>
      <c r="BF84" s="133"/>
      <c r="BG84" s="133"/>
      <c r="BH84" s="133"/>
      <c r="BI84" s="133"/>
      <c r="BJ84" s="133"/>
      <c r="BK84" s="133"/>
      <c r="BL84" s="133"/>
      <c r="BM84" s="133"/>
      <c r="BN84" s="133"/>
      <c r="BO84" s="133"/>
      <c r="BP84" s="136"/>
    </row>
    <row r="85" ht="60" customHeight="1" spans="1:68">
      <c r="A85" s="137"/>
      <c r="B85" s="159"/>
      <c r="C85" s="160"/>
      <c r="D85" s="137"/>
      <c r="E85" s="226"/>
      <c r="F85" s="123"/>
      <c r="G85" s="227"/>
      <c r="H85" s="142">
        <v>15</v>
      </c>
      <c r="I85" s="128">
        <f t="shared" si="4"/>
        <v>10</v>
      </c>
      <c r="J85" s="129" t="s">
        <v>38</v>
      </c>
      <c r="K85" s="200"/>
      <c r="L85" s="131"/>
      <c r="M85" s="157"/>
      <c r="N85" s="133">
        <v>2</v>
      </c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3"/>
      <c r="AU85" s="133"/>
      <c r="AV85" s="133">
        <v>5</v>
      </c>
      <c r="AW85" s="145">
        <v>3</v>
      </c>
      <c r="AX85" s="133"/>
      <c r="AY85" s="135"/>
      <c r="AZ85" s="133"/>
      <c r="BA85" s="133"/>
      <c r="BB85" s="133"/>
      <c r="BC85" s="133"/>
      <c r="BD85" s="133"/>
      <c r="BE85" s="133"/>
      <c r="BF85" s="133"/>
      <c r="BG85" s="133"/>
      <c r="BH85" s="133"/>
      <c r="BI85" s="133"/>
      <c r="BJ85" s="133"/>
      <c r="BK85" s="133"/>
      <c r="BL85" s="133"/>
      <c r="BM85" s="133"/>
      <c r="BN85" s="133"/>
      <c r="BO85" s="133"/>
      <c r="BP85" s="136"/>
    </row>
    <row r="86" ht="60" customHeight="1" spans="1:68">
      <c r="A86" s="137"/>
      <c r="B86" s="159"/>
      <c r="C86" s="160"/>
      <c r="D86" s="137"/>
      <c r="E86" s="226"/>
      <c r="F86" s="123"/>
      <c r="G86" s="227"/>
      <c r="H86" s="142">
        <v>13</v>
      </c>
      <c r="I86" s="128">
        <f t="shared" si="4"/>
        <v>10</v>
      </c>
      <c r="J86" s="129" t="s">
        <v>40</v>
      </c>
      <c r="K86" s="200"/>
      <c r="L86" s="131"/>
      <c r="M86" s="157"/>
      <c r="N86" s="133">
        <v>2</v>
      </c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133"/>
      <c r="AO86" s="133"/>
      <c r="AP86" s="133"/>
      <c r="AQ86" s="133"/>
      <c r="AR86" s="133"/>
      <c r="AS86" s="133"/>
      <c r="AT86" s="133"/>
      <c r="AU86" s="133"/>
      <c r="AV86" s="133">
        <v>5</v>
      </c>
      <c r="AW86" s="145">
        <v>3</v>
      </c>
      <c r="AX86" s="133"/>
      <c r="AY86" s="135"/>
      <c r="AZ86" s="133"/>
      <c r="BA86" s="133"/>
      <c r="BB86" s="133"/>
      <c r="BC86" s="133"/>
      <c r="BD86" s="133"/>
      <c r="BE86" s="133"/>
      <c r="BF86" s="133"/>
      <c r="BG86" s="133"/>
      <c r="BH86" s="133"/>
      <c r="BI86" s="133"/>
      <c r="BJ86" s="133"/>
      <c r="BK86" s="133"/>
      <c r="BL86" s="133"/>
      <c r="BM86" s="133"/>
      <c r="BN86" s="133"/>
      <c r="BO86" s="133"/>
      <c r="BP86" s="136"/>
    </row>
    <row r="87" ht="60" customHeight="1" spans="1:68">
      <c r="A87" s="137"/>
      <c r="B87" s="159"/>
      <c r="C87" s="160"/>
      <c r="D87" s="137"/>
      <c r="E87" s="226"/>
      <c r="F87" s="123"/>
      <c r="G87" s="227"/>
      <c r="H87" s="142">
        <v>13</v>
      </c>
      <c r="I87" s="128">
        <f t="shared" si="4"/>
        <v>10</v>
      </c>
      <c r="J87" s="129" t="s">
        <v>41</v>
      </c>
      <c r="K87" s="200"/>
      <c r="L87" s="131"/>
      <c r="M87" s="157"/>
      <c r="N87" s="133">
        <v>2</v>
      </c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  <c r="AU87" s="133"/>
      <c r="AV87" s="133">
        <v>5</v>
      </c>
      <c r="AW87" s="145">
        <v>3</v>
      </c>
      <c r="AX87" s="133"/>
      <c r="AY87" s="135"/>
      <c r="AZ87" s="133"/>
      <c r="BA87" s="150"/>
      <c r="BB87" s="150"/>
      <c r="BC87" s="150"/>
      <c r="BD87" s="150"/>
      <c r="BE87" s="150"/>
      <c r="BF87" s="150"/>
      <c r="BG87" s="150"/>
      <c r="BH87" s="150"/>
      <c r="BI87" s="150"/>
      <c r="BJ87" s="150"/>
      <c r="BK87" s="150"/>
      <c r="BL87" s="150"/>
      <c r="BM87" s="150"/>
      <c r="BN87" s="150"/>
      <c r="BO87" s="133"/>
      <c r="BP87" s="151"/>
    </row>
    <row r="88" ht="60" customHeight="1" spans="1:68">
      <c r="A88" s="137"/>
      <c r="B88" s="159"/>
      <c r="C88" s="160"/>
      <c r="D88" s="137"/>
      <c r="E88" s="226"/>
      <c r="F88" s="125" t="s">
        <v>68</v>
      </c>
      <c r="G88" s="227"/>
      <c r="H88" s="142">
        <v>15</v>
      </c>
      <c r="I88" s="128">
        <f t="shared" si="4"/>
        <v>10</v>
      </c>
      <c r="J88" s="129" t="s">
        <v>42</v>
      </c>
      <c r="K88" s="203"/>
      <c r="L88" s="131"/>
      <c r="M88" s="157"/>
      <c r="N88" s="133">
        <v>2</v>
      </c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133"/>
      <c r="AO88" s="133"/>
      <c r="AP88" s="133"/>
      <c r="AQ88" s="133"/>
      <c r="AR88" s="133"/>
      <c r="AS88" s="133"/>
      <c r="AT88" s="133"/>
      <c r="AU88" s="133"/>
      <c r="AV88" s="133">
        <v>5</v>
      </c>
      <c r="AW88" s="145">
        <v>3</v>
      </c>
      <c r="AX88" s="133"/>
      <c r="AY88" s="135"/>
      <c r="AZ88" s="133"/>
      <c r="BA88" s="133"/>
      <c r="BB88" s="133"/>
      <c r="BC88" s="133"/>
      <c r="BD88" s="133"/>
      <c r="BE88" s="133"/>
      <c r="BF88" s="133"/>
      <c r="BG88" s="133"/>
      <c r="BH88" s="133"/>
      <c r="BI88" s="133"/>
      <c r="BJ88" s="133"/>
      <c r="BK88" s="133"/>
      <c r="BL88" s="133"/>
      <c r="BM88" s="133"/>
      <c r="BN88" s="133"/>
      <c r="BO88" s="133"/>
      <c r="BP88" s="151"/>
    </row>
    <row r="89" ht="60" customHeight="1" spans="1:68">
      <c r="A89" s="137"/>
      <c r="B89" s="176"/>
      <c r="C89" s="177"/>
      <c r="D89" s="137"/>
      <c r="E89" s="226"/>
      <c r="F89" s="229"/>
      <c r="G89" s="230"/>
      <c r="H89" s="142">
        <v>15</v>
      </c>
      <c r="I89" s="128">
        <f t="shared" si="4"/>
        <v>10</v>
      </c>
      <c r="J89" s="129" t="s">
        <v>44</v>
      </c>
      <c r="K89" s="156">
        <f ca="1">K77+1</f>
        <v>46273</v>
      </c>
      <c r="L89" s="131"/>
      <c r="M89" s="157"/>
      <c r="N89" s="150">
        <v>2</v>
      </c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  <c r="AA89" s="150"/>
      <c r="AB89" s="150"/>
      <c r="AC89" s="150"/>
      <c r="AD89" s="150"/>
      <c r="AE89" s="150"/>
      <c r="AF89" s="150"/>
      <c r="AG89" s="150"/>
      <c r="AH89" s="150"/>
      <c r="AI89" s="150"/>
      <c r="AJ89" s="150"/>
      <c r="AK89" s="150"/>
      <c r="AL89" s="150"/>
      <c r="AM89" s="150"/>
      <c r="AN89" s="150"/>
      <c r="AO89" s="150"/>
      <c r="AP89" s="150"/>
      <c r="AQ89" s="150"/>
      <c r="AR89" s="150"/>
      <c r="AS89" s="150"/>
      <c r="AT89" s="150"/>
      <c r="AU89" s="150"/>
      <c r="AV89" s="150">
        <v>5</v>
      </c>
      <c r="AW89" s="145">
        <v>3</v>
      </c>
      <c r="AX89" s="150"/>
      <c r="AY89" s="158"/>
      <c r="AZ89" s="150"/>
      <c r="BA89" s="133"/>
      <c r="BB89" s="133"/>
      <c r="BC89" s="133"/>
      <c r="BD89" s="133"/>
      <c r="BE89" s="133"/>
      <c r="BF89" s="133"/>
      <c r="BG89" s="133"/>
      <c r="BH89" s="133"/>
      <c r="BI89" s="133"/>
      <c r="BJ89" s="133"/>
      <c r="BK89" s="133"/>
      <c r="BL89" s="133"/>
      <c r="BM89" s="133"/>
      <c r="BN89" s="133"/>
      <c r="BO89" s="133"/>
      <c r="BP89" s="151"/>
    </row>
    <row r="90" ht="60" customHeight="1" spans="1:68">
      <c r="A90" s="137"/>
      <c r="B90" s="143"/>
      <c r="C90" s="143"/>
      <c r="D90" s="137"/>
      <c r="E90" s="231"/>
      <c r="F90" s="229"/>
      <c r="G90" s="126" t="s">
        <v>34</v>
      </c>
      <c r="H90" s="142">
        <v>11</v>
      </c>
      <c r="I90" s="128">
        <f t="shared" si="4"/>
        <v>10</v>
      </c>
      <c r="J90" s="129" t="s">
        <v>45</v>
      </c>
      <c r="K90" s="204"/>
      <c r="L90" s="131"/>
      <c r="M90" s="157"/>
      <c r="N90" s="150">
        <v>2</v>
      </c>
      <c r="O90" s="150"/>
      <c r="P90" s="150"/>
      <c r="Q90" s="133"/>
      <c r="R90" s="150"/>
      <c r="S90" s="150"/>
      <c r="T90" s="150"/>
      <c r="U90" s="150"/>
      <c r="V90" s="150"/>
      <c r="W90" s="150"/>
      <c r="X90" s="150"/>
      <c r="Y90" s="150"/>
      <c r="Z90" s="150"/>
      <c r="AA90" s="150"/>
      <c r="AB90" s="150"/>
      <c r="AC90" s="150"/>
      <c r="AD90" s="150"/>
      <c r="AE90" s="150"/>
      <c r="AF90" s="150"/>
      <c r="AG90" s="150"/>
      <c r="AH90" s="150"/>
      <c r="AI90" s="150"/>
      <c r="AJ90" s="150"/>
      <c r="AK90" s="150"/>
      <c r="AL90" s="150"/>
      <c r="AM90" s="150"/>
      <c r="AN90" s="150"/>
      <c r="AO90" s="150"/>
      <c r="AP90" s="150"/>
      <c r="AQ90" s="150"/>
      <c r="AR90" s="150"/>
      <c r="AS90" s="150"/>
      <c r="AT90" s="150"/>
      <c r="AU90" s="150"/>
      <c r="AV90" s="150">
        <v>5</v>
      </c>
      <c r="AW90" s="145">
        <v>3</v>
      </c>
      <c r="AX90" s="150"/>
      <c r="AY90" s="158"/>
      <c r="AZ90" s="150"/>
      <c r="BA90" s="133"/>
      <c r="BB90" s="133"/>
      <c r="BC90" s="133"/>
      <c r="BD90" s="133"/>
      <c r="BE90" s="133"/>
      <c r="BF90" s="133"/>
      <c r="BG90" s="133"/>
      <c r="BH90" s="133"/>
      <c r="BI90" s="133"/>
      <c r="BJ90" s="133"/>
      <c r="BK90" s="133"/>
      <c r="BL90" s="133"/>
      <c r="BM90" s="133"/>
      <c r="BN90" s="133"/>
      <c r="BO90" s="133"/>
      <c r="BP90" s="151"/>
    </row>
    <row r="91" ht="60" customHeight="1" spans="1:68">
      <c r="A91" s="137"/>
      <c r="B91" s="138"/>
      <c r="C91" s="138"/>
      <c r="D91" s="148"/>
      <c r="E91" s="143"/>
      <c r="F91" s="229"/>
      <c r="G91" s="141"/>
      <c r="H91" s="142">
        <v>11</v>
      </c>
      <c r="I91" s="128">
        <f t="shared" si="4"/>
        <v>10</v>
      </c>
      <c r="J91" s="129" t="s">
        <v>46</v>
      </c>
      <c r="K91" s="204"/>
      <c r="L91" s="131"/>
      <c r="M91" s="157"/>
      <c r="N91" s="150">
        <v>2</v>
      </c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  <c r="AA91" s="150"/>
      <c r="AB91" s="150"/>
      <c r="AC91" s="150"/>
      <c r="AD91" s="150"/>
      <c r="AE91" s="150"/>
      <c r="AF91" s="150"/>
      <c r="AG91" s="150"/>
      <c r="AH91" s="150"/>
      <c r="AI91" s="150"/>
      <c r="AJ91" s="150"/>
      <c r="AK91" s="150"/>
      <c r="AL91" s="150"/>
      <c r="AM91" s="150"/>
      <c r="AN91" s="150"/>
      <c r="AO91" s="150"/>
      <c r="AP91" s="150"/>
      <c r="AQ91" s="150"/>
      <c r="AR91" s="150"/>
      <c r="AS91" s="150"/>
      <c r="AT91" s="150"/>
      <c r="AU91" s="150"/>
      <c r="AV91" s="150">
        <v>5</v>
      </c>
      <c r="AW91" s="145">
        <v>3</v>
      </c>
      <c r="AX91" s="150"/>
      <c r="AY91" s="158"/>
      <c r="AZ91" s="150"/>
      <c r="BA91" s="150"/>
      <c r="BB91" s="150"/>
      <c r="BC91" s="150"/>
      <c r="BD91" s="150"/>
      <c r="BE91" s="150"/>
      <c r="BF91" s="150"/>
      <c r="BG91" s="150"/>
      <c r="BH91" s="150"/>
      <c r="BI91" s="150"/>
      <c r="BJ91" s="150"/>
      <c r="BK91" s="150"/>
      <c r="BL91" s="150"/>
      <c r="BM91" s="150"/>
      <c r="BN91" s="150"/>
      <c r="BO91" s="133"/>
      <c r="BP91" s="151"/>
    </row>
    <row r="92" ht="60" customHeight="1" spans="1:68">
      <c r="A92" s="137"/>
      <c r="B92" s="138"/>
      <c r="C92" s="138"/>
      <c r="D92" s="143"/>
      <c r="E92" s="138"/>
      <c r="F92" s="229"/>
      <c r="G92" s="141"/>
      <c r="H92" s="142">
        <v>8</v>
      </c>
      <c r="I92" s="128">
        <f t="shared" si="4"/>
        <v>10</v>
      </c>
      <c r="J92" s="129" t="s">
        <v>47</v>
      </c>
      <c r="K92" s="204"/>
      <c r="L92" s="131"/>
      <c r="M92" s="157"/>
      <c r="N92" s="161">
        <v>2</v>
      </c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>
        <v>3</v>
      </c>
      <c r="AW92" s="162">
        <v>5</v>
      </c>
      <c r="AX92" s="161"/>
      <c r="AY92" s="163"/>
      <c r="AZ92" s="161"/>
      <c r="BA92" s="161"/>
      <c r="BB92" s="161"/>
      <c r="BC92" s="161"/>
      <c r="BD92" s="161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33"/>
      <c r="BP92" s="164"/>
    </row>
    <row r="93" ht="60" customHeight="1" spans="1:68">
      <c r="A93" s="137"/>
      <c r="B93" s="138"/>
      <c r="C93" s="138"/>
      <c r="D93" s="138"/>
      <c r="E93" s="138"/>
      <c r="F93" s="229"/>
      <c r="G93" s="141"/>
      <c r="H93" s="142">
        <v>10</v>
      </c>
      <c r="I93" s="128">
        <f t="shared" si="4"/>
        <v>10</v>
      </c>
      <c r="J93" s="129" t="s">
        <v>48</v>
      </c>
      <c r="K93" s="204"/>
      <c r="L93" s="131"/>
      <c r="M93" s="157"/>
      <c r="N93" s="161">
        <v>2</v>
      </c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>
        <v>3</v>
      </c>
      <c r="AW93" s="162">
        <v>5</v>
      </c>
      <c r="AX93" s="161"/>
      <c r="AY93" s="163"/>
      <c r="AZ93" s="161"/>
      <c r="BA93" s="161"/>
      <c r="BB93" s="161"/>
      <c r="BC93" s="161"/>
      <c r="BD93" s="161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33"/>
      <c r="BP93" s="164"/>
    </row>
    <row r="94" ht="60" customHeight="1" spans="1:68">
      <c r="A94" s="137"/>
      <c r="B94" s="138"/>
      <c r="C94" s="138"/>
      <c r="D94" s="138"/>
      <c r="E94" s="124" t="s">
        <v>33</v>
      </c>
      <c r="F94" s="229"/>
      <c r="G94" s="141"/>
      <c r="H94" s="166">
        <v>13</v>
      </c>
      <c r="I94" s="128">
        <f t="shared" si="4"/>
        <v>10</v>
      </c>
      <c r="J94" s="129" t="s">
        <v>49</v>
      </c>
      <c r="K94" s="207"/>
      <c r="L94" s="232"/>
      <c r="M94" s="157"/>
      <c r="N94" s="167">
        <v>2</v>
      </c>
      <c r="O94" s="167"/>
      <c r="P94" s="167"/>
      <c r="Q94" s="167"/>
      <c r="R94" s="167"/>
      <c r="S94" s="167"/>
      <c r="T94" s="167"/>
      <c r="U94" s="167"/>
      <c r="V94" s="167"/>
      <c r="W94" s="167"/>
      <c r="X94" s="167"/>
      <c r="Y94" s="167"/>
      <c r="Z94" s="167"/>
      <c r="AA94" s="167"/>
      <c r="AB94" s="167"/>
      <c r="AC94" s="167"/>
      <c r="AD94" s="167"/>
      <c r="AE94" s="167"/>
      <c r="AF94" s="167"/>
      <c r="AG94" s="167"/>
      <c r="AH94" s="167"/>
      <c r="AI94" s="167"/>
      <c r="AJ94" s="167"/>
      <c r="AK94" s="167"/>
      <c r="AL94" s="167"/>
      <c r="AM94" s="167"/>
      <c r="AN94" s="167"/>
      <c r="AO94" s="167"/>
      <c r="AP94" s="167"/>
      <c r="AQ94" s="167"/>
      <c r="AR94" s="167"/>
      <c r="AS94" s="167"/>
      <c r="AT94" s="167"/>
      <c r="AU94" s="167"/>
      <c r="AV94" s="167">
        <v>3</v>
      </c>
      <c r="AW94" s="168">
        <v>5</v>
      </c>
      <c r="AX94" s="167"/>
      <c r="AY94" s="167"/>
      <c r="AZ94" s="167"/>
      <c r="BA94" s="167"/>
      <c r="BB94" s="167"/>
      <c r="BC94" s="167"/>
      <c r="BD94" s="167"/>
      <c r="BE94" s="167"/>
      <c r="BF94" s="167"/>
      <c r="BG94" s="167"/>
      <c r="BH94" s="167"/>
      <c r="BI94" s="167"/>
      <c r="BJ94" s="167"/>
      <c r="BK94" s="167"/>
      <c r="BL94" s="167"/>
      <c r="BM94" s="167"/>
      <c r="BN94" s="167"/>
      <c r="BO94" s="167"/>
      <c r="BP94" s="169"/>
    </row>
    <row r="95" ht="60" customHeight="1" spans="1:68">
      <c r="A95" s="137"/>
      <c r="B95" s="138"/>
      <c r="C95" s="138"/>
      <c r="D95" s="138"/>
      <c r="E95" s="139"/>
      <c r="F95" s="229"/>
      <c r="G95" s="141"/>
      <c r="H95" s="127">
        <v>13</v>
      </c>
      <c r="I95" s="128">
        <f t="shared" si="4"/>
        <v>10</v>
      </c>
      <c r="J95" s="129" t="s">
        <v>35</v>
      </c>
      <c r="K95" s="130">
        <f ca="1">+K101</f>
        <v>46274</v>
      </c>
      <c r="L95" s="131" t="s">
        <v>36</v>
      </c>
      <c r="M95" s="157"/>
      <c r="N95" s="233">
        <v>2</v>
      </c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>
        <v>3</v>
      </c>
      <c r="AW95" s="234">
        <v>5</v>
      </c>
      <c r="AX95" s="233"/>
      <c r="AY95" s="235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6"/>
    </row>
    <row r="96" ht="60" customHeight="1" spans="1:68">
      <c r="A96" s="137"/>
      <c r="B96" s="138"/>
      <c r="C96" s="138"/>
      <c r="D96" s="138"/>
      <c r="E96" s="139"/>
      <c r="F96" s="140"/>
      <c r="G96" s="141"/>
      <c r="H96" s="142">
        <v>13</v>
      </c>
      <c r="I96" s="128">
        <f t="shared" si="4"/>
        <v>7</v>
      </c>
      <c r="J96" s="129" t="s">
        <v>37</v>
      </c>
      <c r="K96" s="200"/>
      <c r="L96" s="201"/>
      <c r="M96" s="157"/>
      <c r="N96" s="233">
        <v>2</v>
      </c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4">
        <v>5</v>
      </c>
      <c r="AX96" s="233"/>
      <c r="AY96" s="235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6"/>
    </row>
    <row r="97" ht="60" customHeight="1" spans="1:68">
      <c r="A97" s="137"/>
      <c r="B97" s="138"/>
      <c r="C97" s="138"/>
      <c r="D97" s="138"/>
      <c r="E97" s="139"/>
      <c r="F97" s="143"/>
      <c r="G97" s="144"/>
      <c r="H97" s="142">
        <v>11</v>
      </c>
      <c r="I97" s="128">
        <f t="shared" si="4"/>
        <v>10</v>
      </c>
      <c r="J97" s="129" t="s">
        <v>38</v>
      </c>
      <c r="K97" s="200"/>
      <c r="L97" s="201"/>
      <c r="M97" s="157"/>
      <c r="N97" s="233">
        <v>2</v>
      </c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>
        <v>3</v>
      </c>
      <c r="AW97" s="237">
        <v>5</v>
      </c>
      <c r="AX97" s="233"/>
      <c r="AY97" s="235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6"/>
    </row>
    <row r="98" ht="60" customHeight="1" spans="1:68">
      <c r="A98" s="137"/>
      <c r="B98" s="138"/>
      <c r="C98" s="138"/>
      <c r="D98" s="138"/>
      <c r="E98" s="139"/>
      <c r="F98" s="146" t="s">
        <v>39</v>
      </c>
      <c r="G98" s="191"/>
      <c r="H98" s="142">
        <v>12</v>
      </c>
      <c r="I98" s="128">
        <f t="shared" si="4"/>
        <v>10</v>
      </c>
      <c r="J98" s="129" t="s">
        <v>40</v>
      </c>
      <c r="K98" s="200"/>
      <c r="L98" s="201"/>
      <c r="M98" s="157"/>
      <c r="N98" s="233">
        <v>2</v>
      </c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>
        <v>3</v>
      </c>
      <c r="AW98" s="237">
        <v>5</v>
      </c>
      <c r="AX98" s="233"/>
      <c r="AY98" s="235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6"/>
    </row>
    <row r="99" ht="60" customHeight="1" spans="1:68">
      <c r="A99" s="148"/>
      <c r="B99" s="138"/>
      <c r="C99" s="138"/>
      <c r="D99" s="138"/>
      <c r="E99" s="139"/>
      <c r="F99" s="149"/>
      <c r="G99" s="191"/>
      <c r="H99" s="142">
        <v>12</v>
      </c>
      <c r="I99" s="128">
        <f t="shared" si="4"/>
        <v>11</v>
      </c>
      <c r="J99" s="129" t="s">
        <v>41</v>
      </c>
      <c r="K99" s="200"/>
      <c r="L99" s="201"/>
      <c r="M99" s="157"/>
      <c r="N99" s="233">
        <v>2</v>
      </c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>
        <v>4</v>
      </c>
      <c r="AW99" s="237">
        <v>5</v>
      </c>
      <c r="AX99" s="233"/>
      <c r="AY99" s="235"/>
      <c r="AZ99" s="233"/>
      <c r="BA99" s="238"/>
      <c r="BB99" s="238"/>
      <c r="BC99" s="238"/>
      <c r="BD99" s="238"/>
      <c r="BE99" s="238"/>
      <c r="BF99" s="238"/>
      <c r="BG99" s="238"/>
      <c r="BH99" s="238"/>
      <c r="BI99" s="238"/>
      <c r="BJ99" s="238"/>
      <c r="BK99" s="238"/>
      <c r="BL99" s="238"/>
      <c r="BM99" s="238"/>
      <c r="BN99" s="238"/>
      <c r="BO99" s="233"/>
      <c r="BP99" s="239"/>
    </row>
    <row r="100" ht="60" customHeight="1" spans="1:68">
      <c r="A100" s="152"/>
      <c r="B100" s="138"/>
      <c r="C100" s="138"/>
      <c r="D100" s="138"/>
      <c r="E100" s="139"/>
      <c r="F100" s="149"/>
      <c r="G100" s="191"/>
      <c r="H100" s="142">
        <v>8</v>
      </c>
      <c r="I100" s="128">
        <f t="shared" si="4"/>
        <v>11</v>
      </c>
      <c r="J100" s="129" t="s">
        <v>42</v>
      </c>
      <c r="K100" s="203"/>
      <c r="L100" s="201"/>
      <c r="M100" s="157"/>
      <c r="N100" s="233">
        <v>2</v>
      </c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>
        <v>4</v>
      </c>
      <c r="AW100" s="237">
        <v>5</v>
      </c>
      <c r="AX100" s="233"/>
      <c r="AY100" s="235"/>
      <c r="AZ100" s="233"/>
      <c r="BA100" s="233"/>
      <c r="BB100" s="233"/>
      <c r="BC100" s="233"/>
      <c r="BD100" s="233"/>
      <c r="BE100" s="233"/>
      <c r="BF100" s="233"/>
      <c r="BG100" s="233"/>
      <c r="BH100" s="233"/>
      <c r="BI100" s="233"/>
      <c r="BJ100" s="233"/>
      <c r="BK100" s="233"/>
      <c r="BL100" s="233"/>
      <c r="BM100" s="233"/>
      <c r="BN100" s="233"/>
      <c r="BO100" s="233"/>
      <c r="BP100" s="239"/>
    </row>
    <row r="101" ht="60" customHeight="1" spans="1:68">
      <c r="A101" s="153"/>
      <c r="B101" s="154" t="s">
        <v>43</v>
      </c>
      <c r="C101" s="155"/>
      <c r="D101" s="138"/>
      <c r="E101" s="139"/>
      <c r="F101" s="149"/>
      <c r="G101" s="191"/>
      <c r="H101" s="142">
        <v>14</v>
      </c>
      <c r="I101" s="128">
        <f t="shared" si="4"/>
        <v>11</v>
      </c>
      <c r="J101" s="129" t="s">
        <v>44</v>
      </c>
      <c r="K101" s="156">
        <f ca="1">K89+1</f>
        <v>46274</v>
      </c>
      <c r="L101" s="201"/>
      <c r="M101" s="157"/>
      <c r="N101" s="238"/>
      <c r="O101" s="238">
        <v>2</v>
      </c>
      <c r="P101" s="238"/>
      <c r="Q101" s="238"/>
      <c r="R101" s="238"/>
      <c r="S101" s="238"/>
      <c r="T101" s="238"/>
      <c r="U101" s="238"/>
      <c r="V101" s="238"/>
      <c r="W101" s="238"/>
      <c r="X101" s="238"/>
      <c r="Y101" s="238"/>
      <c r="Z101" s="238"/>
      <c r="AA101" s="238"/>
      <c r="AB101" s="238"/>
      <c r="AC101" s="238"/>
      <c r="AD101" s="238"/>
      <c r="AE101" s="238"/>
      <c r="AF101" s="238"/>
      <c r="AG101" s="238"/>
      <c r="AH101" s="238"/>
      <c r="AI101" s="238"/>
      <c r="AJ101" s="238"/>
      <c r="AK101" s="238"/>
      <c r="AL101" s="238"/>
      <c r="AM101" s="238"/>
      <c r="AN101" s="238"/>
      <c r="AO101" s="238"/>
      <c r="AP101" s="238"/>
      <c r="AQ101" s="238"/>
      <c r="AR101" s="238"/>
      <c r="AS101" s="238"/>
      <c r="AT101" s="238"/>
      <c r="AU101" s="238"/>
      <c r="AV101" s="238">
        <v>4</v>
      </c>
      <c r="AW101" s="237">
        <v>5</v>
      </c>
      <c r="AX101" s="238"/>
      <c r="AY101" s="240"/>
      <c r="AZ101" s="238"/>
      <c r="BA101" s="233"/>
      <c r="BB101" s="233"/>
      <c r="BC101" s="233"/>
      <c r="BD101" s="233"/>
      <c r="BE101" s="233"/>
      <c r="BF101" s="233"/>
      <c r="BG101" s="233"/>
      <c r="BH101" s="233"/>
      <c r="BI101" s="233"/>
      <c r="BJ101" s="233"/>
      <c r="BK101" s="233"/>
      <c r="BL101" s="233"/>
      <c r="BM101" s="233"/>
      <c r="BN101" s="233"/>
      <c r="BO101" s="233"/>
      <c r="BP101" s="239"/>
    </row>
    <row r="102" ht="60" customHeight="1" spans="1:68">
      <c r="A102" s="153"/>
      <c r="B102" s="159"/>
      <c r="C102" s="160"/>
      <c r="D102" s="138"/>
      <c r="E102" s="139"/>
      <c r="F102" s="149"/>
      <c r="G102" s="191"/>
      <c r="H102" s="142">
        <v>14</v>
      </c>
      <c r="I102" s="128">
        <f t="shared" si="4"/>
        <v>11</v>
      </c>
      <c r="J102" s="129" t="s">
        <v>45</v>
      </c>
      <c r="K102" s="204"/>
      <c r="L102" s="201"/>
      <c r="M102" s="157"/>
      <c r="N102" s="238"/>
      <c r="O102" s="238">
        <v>2</v>
      </c>
      <c r="P102" s="238"/>
      <c r="Q102" s="233"/>
      <c r="R102" s="238"/>
      <c r="S102" s="238"/>
      <c r="T102" s="238"/>
      <c r="U102" s="238"/>
      <c r="V102" s="238"/>
      <c r="W102" s="238"/>
      <c r="X102" s="238"/>
      <c r="Y102" s="238"/>
      <c r="Z102" s="238"/>
      <c r="AA102" s="238"/>
      <c r="AB102" s="238"/>
      <c r="AC102" s="238"/>
      <c r="AD102" s="238"/>
      <c r="AE102" s="238"/>
      <c r="AF102" s="238"/>
      <c r="AG102" s="238"/>
      <c r="AH102" s="238"/>
      <c r="AI102" s="238"/>
      <c r="AJ102" s="238"/>
      <c r="AK102" s="238"/>
      <c r="AL102" s="238"/>
      <c r="AM102" s="238"/>
      <c r="AN102" s="238"/>
      <c r="AO102" s="238"/>
      <c r="AP102" s="238"/>
      <c r="AQ102" s="238"/>
      <c r="AR102" s="238"/>
      <c r="AS102" s="238"/>
      <c r="AT102" s="238"/>
      <c r="AU102" s="238"/>
      <c r="AV102" s="238">
        <v>4</v>
      </c>
      <c r="AW102" s="237">
        <v>5</v>
      </c>
      <c r="AX102" s="238"/>
      <c r="AY102" s="240"/>
      <c r="AZ102" s="238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  <c r="BL102" s="233"/>
      <c r="BM102" s="233"/>
      <c r="BN102" s="233"/>
      <c r="BO102" s="233"/>
      <c r="BP102" s="239"/>
    </row>
    <row r="103" ht="60" customHeight="1" spans="1:68">
      <c r="A103" s="153"/>
      <c r="B103" s="159"/>
      <c r="C103" s="160"/>
      <c r="D103" s="138"/>
      <c r="E103" s="139"/>
      <c r="F103" s="149"/>
      <c r="G103" s="191"/>
      <c r="H103" s="142">
        <v>14</v>
      </c>
      <c r="I103" s="128">
        <f t="shared" si="4"/>
        <v>11</v>
      </c>
      <c r="J103" s="129" t="s">
        <v>46</v>
      </c>
      <c r="K103" s="204"/>
      <c r="L103" s="201"/>
      <c r="M103" s="157"/>
      <c r="N103" s="238"/>
      <c r="O103" s="238">
        <v>2</v>
      </c>
      <c r="P103" s="238"/>
      <c r="Q103" s="238"/>
      <c r="R103" s="238"/>
      <c r="S103" s="238"/>
      <c r="T103" s="238"/>
      <c r="U103" s="238"/>
      <c r="V103" s="238"/>
      <c r="W103" s="238"/>
      <c r="X103" s="238"/>
      <c r="Y103" s="238"/>
      <c r="Z103" s="238"/>
      <c r="AA103" s="238"/>
      <c r="AB103" s="238"/>
      <c r="AC103" s="238"/>
      <c r="AD103" s="238"/>
      <c r="AE103" s="238"/>
      <c r="AF103" s="238"/>
      <c r="AG103" s="238"/>
      <c r="AH103" s="238"/>
      <c r="AI103" s="238"/>
      <c r="AJ103" s="238"/>
      <c r="AK103" s="238"/>
      <c r="AL103" s="238"/>
      <c r="AM103" s="238"/>
      <c r="AN103" s="238"/>
      <c r="AO103" s="238"/>
      <c r="AP103" s="238"/>
      <c r="AQ103" s="238"/>
      <c r="AR103" s="238"/>
      <c r="AS103" s="238"/>
      <c r="AT103" s="238"/>
      <c r="AU103" s="238"/>
      <c r="AV103" s="238">
        <v>4</v>
      </c>
      <c r="AW103" s="237">
        <v>5</v>
      </c>
      <c r="AX103" s="238"/>
      <c r="AY103" s="240"/>
      <c r="AZ103" s="238"/>
      <c r="BA103" s="238"/>
      <c r="BB103" s="238"/>
      <c r="BC103" s="238"/>
      <c r="BD103" s="238"/>
      <c r="BE103" s="238"/>
      <c r="BF103" s="238"/>
      <c r="BG103" s="238"/>
      <c r="BH103" s="238"/>
      <c r="BI103" s="238"/>
      <c r="BJ103" s="238"/>
      <c r="BK103" s="238"/>
      <c r="BL103" s="238"/>
      <c r="BM103" s="238"/>
      <c r="BN103" s="238"/>
      <c r="BO103" s="233"/>
      <c r="BP103" s="239"/>
    </row>
    <row r="104" ht="60" customHeight="1" spans="1:68">
      <c r="A104" s="153"/>
      <c r="B104" s="159"/>
      <c r="C104" s="160"/>
      <c r="D104" s="138"/>
      <c r="E104" s="139"/>
      <c r="F104" s="149"/>
      <c r="G104" s="191"/>
      <c r="H104" s="142">
        <v>14</v>
      </c>
      <c r="I104" s="128">
        <f t="shared" si="4"/>
        <v>12</v>
      </c>
      <c r="J104" s="129" t="s">
        <v>47</v>
      </c>
      <c r="K104" s="204"/>
      <c r="L104" s="201"/>
      <c r="M104" s="157"/>
      <c r="N104" s="241"/>
      <c r="O104" s="241">
        <v>3</v>
      </c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41"/>
      <c r="AM104" s="241"/>
      <c r="AN104" s="241"/>
      <c r="AO104" s="241"/>
      <c r="AP104" s="241"/>
      <c r="AQ104" s="241"/>
      <c r="AR104" s="241"/>
      <c r="AS104" s="241"/>
      <c r="AT104" s="241"/>
      <c r="AU104" s="241"/>
      <c r="AV104" s="241">
        <v>4</v>
      </c>
      <c r="AW104" s="242">
        <v>5</v>
      </c>
      <c r="AX104" s="241"/>
      <c r="AY104" s="243"/>
      <c r="AZ104" s="241"/>
      <c r="BA104" s="241"/>
      <c r="BB104" s="241"/>
      <c r="BC104" s="241"/>
      <c r="BD104" s="241"/>
      <c r="BE104" s="241"/>
      <c r="BF104" s="241"/>
      <c r="BG104" s="241"/>
      <c r="BH104" s="241"/>
      <c r="BI104" s="241"/>
      <c r="BJ104" s="241"/>
      <c r="BK104" s="241"/>
      <c r="BL104" s="241"/>
      <c r="BM104" s="241"/>
      <c r="BN104" s="241"/>
      <c r="BO104" s="233"/>
      <c r="BP104" s="244"/>
    </row>
    <row r="105" ht="60" customHeight="1" spans="1:68">
      <c r="A105" s="153"/>
      <c r="B105" s="159"/>
      <c r="C105" s="160"/>
      <c r="D105" s="138"/>
      <c r="E105" s="139"/>
      <c r="F105" s="149"/>
      <c r="G105" s="191"/>
      <c r="H105" s="142">
        <v>14</v>
      </c>
      <c r="I105" s="128">
        <f t="shared" si="4"/>
        <v>12</v>
      </c>
      <c r="J105" s="129" t="s">
        <v>48</v>
      </c>
      <c r="K105" s="204"/>
      <c r="L105" s="201"/>
      <c r="M105" s="157"/>
      <c r="N105" s="241"/>
      <c r="O105" s="241">
        <v>3</v>
      </c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  <c r="AA105" s="241"/>
      <c r="AB105" s="241"/>
      <c r="AC105" s="241"/>
      <c r="AD105" s="241"/>
      <c r="AE105" s="241"/>
      <c r="AF105" s="241"/>
      <c r="AG105" s="241"/>
      <c r="AH105" s="241"/>
      <c r="AI105" s="241"/>
      <c r="AJ105" s="241"/>
      <c r="AK105" s="241"/>
      <c r="AL105" s="241"/>
      <c r="AM105" s="241"/>
      <c r="AN105" s="241"/>
      <c r="AO105" s="241"/>
      <c r="AP105" s="241"/>
      <c r="AQ105" s="241"/>
      <c r="AR105" s="241"/>
      <c r="AS105" s="241"/>
      <c r="AT105" s="241"/>
      <c r="AU105" s="241"/>
      <c r="AV105" s="241">
        <v>4</v>
      </c>
      <c r="AW105" s="242">
        <v>5</v>
      </c>
      <c r="AX105" s="241"/>
      <c r="AY105" s="243"/>
      <c r="AZ105" s="241"/>
      <c r="BA105" s="241"/>
      <c r="BB105" s="241"/>
      <c r="BC105" s="241"/>
      <c r="BD105" s="241"/>
      <c r="BE105" s="241"/>
      <c r="BF105" s="241"/>
      <c r="BG105" s="241"/>
      <c r="BH105" s="241"/>
      <c r="BI105" s="241"/>
      <c r="BJ105" s="241"/>
      <c r="BK105" s="241"/>
      <c r="BL105" s="241"/>
      <c r="BM105" s="241"/>
      <c r="BN105" s="241"/>
      <c r="BO105" s="233"/>
      <c r="BP105" s="244"/>
    </row>
    <row r="106" ht="60" customHeight="1" spans="1:68">
      <c r="A106" s="153"/>
      <c r="B106" s="159"/>
      <c r="C106" s="160"/>
      <c r="D106" s="138"/>
      <c r="E106" s="165"/>
      <c r="F106" s="149"/>
      <c r="G106" s="191"/>
      <c r="H106" s="166">
        <v>14</v>
      </c>
      <c r="I106" s="128">
        <f t="shared" si="4"/>
        <v>12</v>
      </c>
      <c r="J106" s="129" t="s">
        <v>49</v>
      </c>
      <c r="K106" s="207"/>
      <c r="L106" s="245"/>
      <c r="M106" s="157"/>
      <c r="N106" s="246"/>
      <c r="O106" s="246">
        <v>3</v>
      </c>
      <c r="P106" s="246"/>
      <c r="Q106" s="246"/>
      <c r="R106" s="246"/>
      <c r="S106" s="246"/>
      <c r="T106" s="246"/>
      <c r="U106" s="246"/>
      <c r="V106" s="246"/>
      <c r="W106" s="246"/>
      <c r="X106" s="246"/>
      <c r="Y106" s="246"/>
      <c r="Z106" s="246"/>
      <c r="AA106" s="246"/>
      <c r="AB106" s="246"/>
      <c r="AC106" s="246"/>
      <c r="AD106" s="246"/>
      <c r="AE106" s="246"/>
      <c r="AF106" s="246"/>
      <c r="AG106" s="246"/>
      <c r="AH106" s="246"/>
      <c r="AI106" s="246"/>
      <c r="AJ106" s="246"/>
      <c r="AK106" s="246"/>
      <c r="AL106" s="246"/>
      <c r="AM106" s="246"/>
      <c r="AN106" s="246"/>
      <c r="AO106" s="246"/>
      <c r="AP106" s="246"/>
      <c r="AQ106" s="246"/>
      <c r="AR106" s="246"/>
      <c r="AS106" s="246"/>
      <c r="AT106" s="246"/>
      <c r="AU106" s="246"/>
      <c r="AV106" s="246">
        <v>4</v>
      </c>
      <c r="AW106" s="247">
        <v>5</v>
      </c>
      <c r="AX106" s="246"/>
      <c r="AY106" s="246"/>
      <c r="AZ106" s="246"/>
      <c r="BA106" s="246"/>
      <c r="BB106" s="246"/>
      <c r="BC106" s="246"/>
      <c r="BD106" s="246"/>
      <c r="BE106" s="246"/>
      <c r="BF106" s="246"/>
      <c r="BG106" s="246"/>
      <c r="BH106" s="246"/>
      <c r="BI106" s="246"/>
      <c r="BJ106" s="246"/>
      <c r="BK106" s="246"/>
      <c r="BL106" s="246"/>
      <c r="BM106" s="246"/>
      <c r="BN106" s="246"/>
      <c r="BO106" s="246"/>
      <c r="BP106" s="248"/>
    </row>
    <row r="107" ht="60" customHeight="1" spans="1:68">
      <c r="A107" s="153"/>
      <c r="B107" s="159"/>
      <c r="C107" s="160"/>
      <c r="D107" s="138"/>
      <c r="E107" s="170" t="s">
        <v>50</v>
      </c>
      <c r="F107" s="149"/>
      <c r="G107" s="147"/>
      <c r="H107" s="127">
        <v>13</v>
      </c>
      <c r="I107" s="128">
        <f t="shared" ref="I107:I118" si="5">SUM(M107:BP107)</f>
        <v>12</v>
      </c>
      <c r="J107" s="129" t="s">
        <v>35</v>
      </c>
      <c r="K107" s="130">
        <f ca="1">+K113</f>
        <v>46275</v>
      </c>
      <c r="L107" s="131" t="s">
        <v>36</v>
      </c>
      <c r="M107" s="157"/>
      <c r="N107" s="233"/>
      <c r="O107" s="233">
        <v>3</v>
      </c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>
        <v>4</v>
      </c>
      <c r="AW107" s="234">
        <v>5</v>
      </c>
      <c r="AX107" s="233"/>
      <c r="AY107" s="235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  <c r="BL107" s="233"/>
      <c r="BM107" s="233"/>
      <c r="BN107" s="233"/>
      <c r="BO107" s="233"/>
      <c r="BP107" s="236"/>
    </row>
    <row r="108" ht="60" customHeight="1" spans="1:68">
      <c r="A108" s="153"/>
      <c r="B108" s="159"/>
      <c r="C108" s="160"/>
      <c r="D108" s="138"/>
      <c r="E108" s="171"/>
      <c r="F108" s="149"/>
      <c r="G108" s="147"/>
      <c r="H108" s="142">
        <v>13</v>
      </c>
      <c r="I108" s="128">
        <f t="shared" si="5"/>
        <v>11</v>
      </c>
      <c r="J108" s="129" t="s">
        <v>37</v>
      </c>
      <c r="K108" s="200"/>
      <c r="L108" s="131"/>
      <c r="M108" s="157"/>
      <c r="N108" s="233"/>
      <c r="O108" s="233">
        <v>3</v>
      </c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>
        <v>3</v>
      </c>
      <c r="AW108" s="234">
        <v>5</v>
      </c>
      <c r="AX108" s="233"/>
      <c r="AY108" s="235"/>
      <c r="AZ108" s="233"/>
      <c r="BA108" s="233"/>
      <c r="BB108" s="233"/>
      <c r="BC108" s="233"/>
      <c r="BD108" s="233"/>
      <c r="BE108" s="233"/>
      <c r="BF108" s="233"/>
      <c r="BG108" s="233"/>
      <c r="BH108" s="233"/>
      <c r="BI108" s="233"/>
      <c r="BJ108" s="233"/>
      <c r="BK108" s="233"/>
      <c r="BL108" s="233"/>
      <c r="BM108" s="233"/>
      <c r="BN108" s="233"/>
      <c r="BO108" s="233"/>
      <c r="BP108" s="236"/>
    </row>
    <row r="109" ht="60" customHeight="1" spans="1:68">
      <c r="A109" s="153"/>
      <c r="B109" s="159"/>
      <c r="C109" s="160"/>
      <c r="D109" s="138"/>
      <c r="E109" s="171"/>
      <c r="F109" s="149"/>
      <c r="G109" s="147"/>
      <c r="H109" s="142">
        <v>10</v>
      </c>
      <c r="I109" s="128">
        <f t="shared" si="5"/>
        <v>11</v>
      </c>
      <c r="J109" s="129" t="s">
        <v>38</v>
      </c>
      <c r="K109" s="200"/>
      <c r="L109" s="131"/>
      <c r="M109" s="157"/>
      <c r="N109" s="233"/>
      <c r="O109" s="233">
        <v>3</v>
      </c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>
        <v>3</v>
      </c>
      <c r="AW109" s="237">
        <v>5</v>
      </c>
      <c r="AX109" s="233"/>
      <c r="AY109" s="235"/>
      <c r="AZ109" s="233"/>
      <c r="BA109" s="233"/>
      <c r="BB109" s="233"/>
      <c r="BC109" s="233"/>
      <c r="BD109" s="233"/>
      <c r="BE109" s="233"/>
      <c r="BF109" s="233"/>
      <c r="BG109" s="233"/>
      <c r="BH109" s="233"/>
      <c r="BI109" s="233"/>
      <c r="BJ109" s="233"/>
      <c r="BK109" s="233"/>
      <c r="BL109" s="233"/>
      <c r="BM109" s="233"/>
      <c r="BN109" s="233"/>
      <c r="BO109" s="233"/>
      <c r="BP109" s="236"/>
    </row>
    <row r="110" ht="60" customHeight="1" spans="1:68">
      <c r="A110" s="153"/>
      <c r="B110" s="159"/>
      <c r="C110" s="160"/>
      <c r="D110" s="138"/>
      <c r="E110" s="171"/>
      <c r="F110" s="149"/>
      <c r="G110" s="147"/>
      <c r="H110" s="142">
        <v>10</v>
      </c>
      <c r="I110" s="128">
        <f t="shared" si="5"/>
        <v>11</v>
      </c>
      <c r="J110" s="129" t="s">
        <v>40</v>
      </c>
      <c r="K110" s="200"/>
      <c r="L110" s="131"/>
      <c r="M110" s="157"/>
      <c r="N110" s="233"/>
      <c r="O110" s="233">
        <v>3</v>
      </c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>
        <v>3</v>
      </c>
      <c r="AW110" s="237">
        <v>5</v>
      </c>
      <c r="AX110" s="233"/>
      <c r="AY110" s="235"/>
      <c r="AZ110" s="233"/>
      <c r="BA110" s="233"/>
      <c r="BB110" s="233"/>
      <c r="BC110" s="233"/>
      <c r="BD110" s="233"/>
      <c r="BE110" s="233"/>
      <c r="BF110" s="233"/>
      <c r="BG110" s="233"/>
      <c r="BH110" s="233"/>
      <c r="BI110" s="233"/>
      <c r="BJ110" s="233"/>
      <c r="BK110" s="233"/>
      <c r="BL110" s="233"/>
      <c r="BM110" s="233"/>
      <c r="BN110" s="233"/>
      <c r="BO110" s="233"/>
      <c r="BP110" s="236"/>
    </row>
    <row r="111" ht="60" customHeight="1" spans="1:68">
      <c r="A111" s="121" t="s">
        <v>51</v>
      </c>
      <c r="B111" s="159"/>
      <c r="C111" s="160"/>
      <c r="D111" s="123"/>
      <c r="E111" s="171"/>
      <c r="F111" s="149"/>
      <c r="G111" s="173"/>
      <c r="H111" s="142">
        <v>10</v>
      </c>
      <c r="I111" s="128">
        <f t="shared" si="5"/>
        <v>11</v>
      </c>
      <c r="J111" s="129" t="s">
        <v>41</v>
      </c>
      <c r="K111" s="200"/>
      <c r="L111" s="131"/>
      <c r="M111" s="157"/>
      <c r="N111" s="233"/>
      <c r="O111" s="233">
        <v>3</v>
      </c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>
        <v>3</v>
      </c>
      <c r="AW111" s="237">
        <v>5</v>
      </c>
      <c r="AX111" s="233"/>
      <c r="AY111" s="235"/>
      <c r="AZ111" s="233"/>
      <c r="BA111" s="238"/>
      <c r="BB111" s="238"/>
      <c r="BC111" s="238"/>
      <c r="BD111" s="238"/>
      <c r="BE111" s="238"/>
      <c r="BF111" s="238"/>
      <c r="BG111" s="238"/>
      <c r="BH111" s="238"/>
      <c r="BI111" s="238"/>
      <c r="BJ111" s="238"/>
      <c r="BK111" s="238"/>
      <c r="BL111" s="238"/>
      <c r="BM111" s="238"/>
      <c r="BN111" s="238"/>
      <c r="BO111" s="233"/>
      <c r="BP111" s="239"/>
    </row>
    <row r="112" ht="60" customHeight="1" spans="1:68">
      <c r="A112" s="137"/>
      <c r="B112" s="159"/>
      <c r="C112" s="160"/>
      <c r="D112" s="123"/>
      <c r="E112" s="171"/>
      <c r="F112" s="149"/>
      <c r="G112" s="147"/>
      <c r="H112" s="142">
        <v>14</v>
      </c>
      <c r="I112" s="128">
        <f t="shared" si="5"/>
        <v>11</v>
      </c>
      <c r="J112" s="129" t="s">
        <v>42</v>
      </c>
      <c r="K112" s="203"/>
      <c r="L112" s="131"/>
      <c r="M112" s="157"/>
      <c r="N112" s="233"/>
      <c r="O112" s="233">
        <v>3</v>
      </c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>
        <v>3</v>
      </c>
      <c r="AW112" s="237">
        <v>5</v>
      </c>
      <c r="AX112" s="233"/>
      <c r="AY112" s="235"/>
      <c r="AZ112" s="233"/>
      <c r="BA112" s="233"/>
      <c r="BB112" s="233"/>
      <c r="BC112" s="233"/>
      <c r="BD112" s="233"/>
      <c r="BE112" s="233"/>
      <c r="BF112" s="233"/>
      <c r="BG112" s="233"/>
      <c r="BH112" s="233"/>
      <c r="BI112" s="233"/>
      <c r="BJ112" s="233"/>
      <c r="BK112" s="233"/>
      <c r="BL112" s="233"/>
      <c r="BM112" s="233"/>
      <c r="BN112" s="233"/>
      <c r="BO112" s="233"/>
      <c r="BP112" s="239"/>
    </row>
    <row r="113" ht="60" customHeight="1" spans="1:68">
      <c r="A113" s="137"/>
      <c r="B113" s="159"/>
      <c r="C113" s="160"/>
      <c r="D113" s="123"/>
      <c r="E113" s="171"/>
      <c r="F113" s="149"/>
      <c r="G113" s="147"/>
      <c r="H113" s="142">
        <v>14</v>
      </c>
      <c r="I113" s="128">
        <f t="shared" si="5"/>
        <v>11</v>
      </c>
      <c r="J113" s="129" t="s">
        <v>44</v>
      </c>
      <c r="K113" s="156">
        <f ca="1">K101+1</f>
        <v>46275</v>
      </c>
      <c r="L113" s="131"/>
      <c r="M113" s="157"/>
      <c r="N113" s="238"/>
      <c r="O113" s="238">
        <v>3</v>
      </c>
      <c r="P113" s="238"/>
      <c r="Q113" s="238"/>
      <c r="R113" s="238"/>
      <c r="S113" s="238"/>
      <c r="T113" s="238"/>
      <c r="U113" s="238"/>
      <c r="V113" s="238"/>
      <c r="W113" s="238"/>
      <c r="X113" s="238"/>
      <c r="Y113" s="238"/>
      <c r="Z113" s="238"/>
      <c r="AA113" s="238"/>
      <c r="AB113" s="238"/>
      <c r="AC113" s="238"/>
      <c r="AD113" s="238"/>
      <c r="AE113" s="238"/>
      <c r="AF113" s="238"/>
      <c r="AG113" s="238"/>
      <c r="AH113" s="238"/>
      <c r="AI113" s="238"/>
      <c r="AJ113" s="238"/>
      <c r="AK113" s="238"/>
      <c r="AL113" s="238"/>
      <c r="AM113" s="238"/>
      <c r="AN113" s="238"/>
      <c r="AO113" s="238"/>
      <c r="AP113" s="238"/>
      <c r="AQ113" s="238"/>
      <c r="AR113" s="238"/>
      <c r="AS113" s="238"/>
      <c r="AT113" s="238"/>
      <c r="AU113" s="238"/>
      <c r="AV113" s="238">
        <v>3</v>
      </c>
      <c r="AW113" s="237">
        <v>5</v>
      </c>
      <c r="AX113" s="238"/>
      <c r="AY113" s="240"/>
      <c r="AZ113" s="238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  <c r="BL113" s="233"/>
      <c r="BM113" s="233"/>
      <c r="BN113" s="233"/>
      <c r="BO113" s="233"/>
      <c r="BP113" s="239"/>
    </row>
    <row r="114" ht="60" customHeight="1" spans="1:68">
      <c r="A114" s="137"/>
      <c r="B114" s="159"/>
      <c r="C114" s="160"/>
      <c r="D114" s="123"/>
      <c r="E114" s="171"/>
      <c r="F114" s="149"/>
      <c r="G114" s="147"/>
      <c r="H114" s="142">
        <v>14</v>
      </c>
      <c r="I114" s="128">
        <f t="shared" si="5"/>
        <v>11</v>
      </c>
      <c r="J114" s="129" t="s">
        <v>45</v>
      </c>
      <c r="K114" s="204"/>
      <c r="L114" s="131"/>
      <c r="M114" s="157"/>
      <c r="N114" s="238"/>
      <c r="O114" s="238">
        <v>3</v>
      </c>
      <c r="P114" s="238"/>
      <c r="Q114" s="233"/>
      <c r="R114" s="238"/>
      <c r="S114" s="238"/>
      <c r="T114" s="238"/>
      <c r="U114" s="238"/>
      <c r="V114" s="238"/>
      <c r="W114" s="238"/>
      <c r="X114" s="238"/>
      <c r="Y114" s="238"/>
      <c r="Z114" s="238"/>
      <c r="AA114" s="238"/>
      <c r="AB114" s="238"/>
      <c r="AC114" s="238"/>
      <c r="AD114" s="238"/>
      <c r="AE114" s="238"/>
      <c r="AF114" s="238"/>
      <c r="AG114" s="238"/>
      <c r="AH114" s="238"/>
      <c r="AI114" s="238"/>
      <c r="AJ114" s="238"/>
      <c r="AK114" s="238"/>
      <c r="AL114" s="238"/>
      <c r="AM114" s="238"/>
      <c r="AN114" s="238"/>
      <c r="AO114" s="238"/>
      <c r="AP114" s="238"/>
      <c r="AQ114" s="238"/>
      <c r="AR114" s="238"/>
      <c r="AS114" s="238"/>
      <c r="AT114" s="238"/>
      <c r="AU114" s="238"/>
      <c r="AV114" s="238">
        <v>3</v>
      </c>
      <c r="AW114" s="237">
        <v>5</v>
      </c>
      <c r="AX114" s="238"/>
      <c r="AY114" s="240"/>
      <c r="AZ114" s="238"/>
      <c r="BA114" s="233"/>
      <c r="BB114" s="233"/>
      <c r="BC114" s="233"/>
      <c r="BD114" s="233"/>
      <c r="BE114" s="233"/>
      <c r="BF114" s="233"/>
      <c r="BG114" s="233"/>
      <c r="BH114" s="233"/>
      <c r="BI114" s="233"/>
      <c r="BJ114" s="233"/>
      <c r="BK114" s="233"/>
      <c r="BL114" s="233"/>
      <c r="BM114" s="233"/>
      <c r="BN114" s="233"/>
      <c r="BO114" s="233"/>
      <c r="BP114" s="239"/>
    </row>
    <row r="115" ht="60" customHeight="1" spans="1:68">
      <c r="A115" s="137"/>
      <c r="B115" s="159"/>
      <c r="C115" s="160"/>
      <c r="D115" s="124" t="s">
        <v>52</v>
      </c>
      <c r="E115" s="175"/>
      <c r="F115" s="149"/>
      <c r="G115" s="147"/>
      <c r="H115" s="142">
        <v>15</v>
      </c>
      <c r="I115" s="128">
        <f t="shared" si="5"/>
        <v>12</v>
      </c>
      <c r="J115" s="129" t="s">
        <v>46</v>
      </c>
      <c r="K115" s="204"/>
      <c r="L115" s="131"/>
      <c r="M115" s="157"/>
      <c r="N115" s="238"/>
      <c r="O115" s="238">
        <v>3</v>
      </c>
      <c r="P115" s="238"/>
      <c r="Q115" s="238"/>
      <c r="R115" s="238"/>
      <c r="S115" s="238"/>
      <c r="T115" s="238"/>
      <c r="U115" s="238"/>
      <c r="V115" s="238"/>
      <c r="W115" s="238"/>
      <c r="X115" s="238"/>
      <c r="Y115" s="238"/>
      <c r="Z115" s="238"/>
      <c r="AA115" s="238"/>
      <c r="AB115" s="238"/>
      <c r="AC115" s="238"/>
      <c r="AD115" s="238"/>
      <c r="AE115" s="238"/>
      <c r="AF115" s="238"/>
      <c r="AG115" s="238"/>
      <c r="AH115" s="238"/>
      <c r="AI115" s="238"/>
      <c r="AJ115" s="238"/>
      <c r="AK115" s="238"/>
      <c r="AL115" s="238"/>
      <c r="AM115" s="238"/>
      <c r="AN115" s="238"/>
      <c r="AO115" s="238"/>
      <c r="AP115" s="238"/>
      <c r="AQ115" s="238"/>
      <c r="AR115" s="238"/>
      <c r="AS115" s="238"/>
      <c r="AT115" s="238"/>
      <c r="AU115" s="238"/>
      <c r="AV115" s="238">
        <v>4</v>
      </c>
      <c r="AW115" s="237">
        <v>5</v>
      </c>
      <c r="AX115" s="238"/>
      <c r="AY115" s="240"/>
      <c r="AZ115" s="238"/>
      <c r="BA115" s="238"/>
      <c r="BB115" s="238"/>
      <c r="BC115" s="238"/>
      <c r="BD115" s="238"/>
      <c r="BE115" s="238"/>
      <c r="BF115" s="238"/>
      <c r="BG115" s="238"/>
      <c r="BH115" s="238"/>
      <c r="BI115" s="238"/>
      <c r="BJ115" s="238"/>
      <c r="BK115" s="238"/>
      <c r="BL115" s="238"/>
      <c r="BM115" s="238"/>
      <c r="BN115" s="238"/>
      <c r="BO115" s="233"/>
      <c r="BP115" s="239"/>
    </row>
    <row r="116" ht="60" customHeight="1" spans="1:68">
      <c r="A116" s="137"/>
      <c r="B116" s="176"/>
      <c r="C116" s="177"/>
      <c r="D116" s="139"/>
      <c r="E116" s="178" t="s">
        <v>53</v>
      </c>
      <c r="F116" s="149"/>
      <c r="G116" s="147"/>
      <c r="H116" s="142">
        <v>13</v>
      </c>
      <c r="I116" s="128">
        <f t="shared" si="5"/>
        <v>12</v>
      </c>
      <c r="J116" s="129" t="s">
        <v>47</v>
      </c>
      <c r="K116" s="204"/>
      <c r="L116" s="131"/>
      <c r="M116" s="157"/>
      <c r="N116" s="241"/>
      <c r="O116" s="241">
        <v>3</v>
      </c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  <c r="AA116" s="241"/>
      <c r="AB116" s="241"/>
      <c r="AC116" s="241"/>
      <c r="AD116" s="241"/>
      <c r="AE116" s="241"/>
      <c r="AF116" s="241"/>
      <c r="AG116" s="241"/>
      <c r="AH116" s="241"/>
      <c r="AI116" s="241"/>
      <c r="AJ116" s="241"/>
      <c r="AK116" s="241"/>
      <c r="AL116" s="241"/>
      <c r="AM116" s="241"/>
      <c r="AN116" s="241"/>
      <c r="AO116" s="241"/>
      <c r="AP116" s="241"/>
      <c r="AQ116" s="241"/>
      <c r="AR116" s="241"/>
      <c r="AS116" s="241"/>
      <c r="AT116" s="241"/>
      <c r="AU116" s="241"/>
      <c r="AV116" s="241">
        <v>4</v>
      </c>
      <c r="AW116" s="242">
        <v>5</v>
      </c>
      <c r="AX116" s="241"/>
      <c r="AY116" s="243"/>
      <c r="AZ116" s="241"/>
      <c r="BA116" s="241"/>
      <c r="BB116" s="241"/>
      <c r="BC116" s="241"/>
      <c r="BD116" s="241"/>
      <c r="BE116" s="241"/>
      <c r="BF116" s="241"/>
      <c r="BG116" s="241"/>
      <c r="BH116" s="241"/>
      <c r="BI116" s="241"/>
      <c r="BJ116" s="241"/>
      <c r="BK116" s="241"/>
      <c r="BL116" s="241"/>
      <c r="BM116" s="241"/>
      <c r="BN116" s="241"/>
      <c r="BO116" s="233"/>
      <c r="BP116" s="244"/>
    </row>
    <row r="117" ht="60" customHeight="1" spans="1:68">
      <c r="A117" s="137"/>
      <c r="B117" s="179"/>
      <c r="C117" s="180"/>
      <c r="D117" s="139"/>
      <c r="E117" s="181"/>
      <c r="F117" s="149"/>
      <c r="G117" s="147"/>
      <c r="H117" s="142">
        <v>9</v>
      </c>
      <c r="I117" s="128">
        <f t="shared" si="5"/>
        <v>12</v>
      </c>
      <c r="J117" s="129" t="s">
        <v>48</v>
      </c>
      <c r="K117" s="204"/>
      <c r="L117" s="131"/>
      <c r="M117" s="157"/>
      <c r="N117" s="241"/>
      <c r="O117" s="241">
        <v>3</v>
      </c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  <c r="AA117" s="241"/>
      <c r="AB117" s="241"/>
      <c r="AC117" s="241"/>
      <c r="AD117" s="241"/>
      <c r="AE117" s="241"/>
      <c r="AF117" s="241"/>
      <c r="AG117" s="241"/>
      <c r="AH117" s="241"/>
      <c r="AI117" s="241"/>
      <c r="AJ117" s="241"/>
      <c r="AK117" s="241"/>
      <c r="AL117" s="241"/>
      <c r="AM117" s="241"/>
      <c r="AN117" s="241"/>
      <c r="AO117" s="241"/>
      <c r="AP117" s="241"/>
      <c r="AQ117" s="241"/>
      <c r="AR117" s="241"/>
      <c r="AS117" s="241"/>
      <c r="AT117" s="241"/>
      <c r="AU117" s="241"/>
      <c r="AV117" s="241">
        <v>4</v>
      </c>
      <c r="AW117" s="242">
        <v>5</v>
      </c>
      <c r="AX117" s="241"/>
      <c r="AY117" s="243"/>
      <c r="AZ117" s="241"/>
      <c r="BA117" s="241"/>
      <c r="BB117" s="241"/>
      <c r="BC117" s="241"/>
      <c r="BD117" s="241"/>
      <c r="BE117" s="241"/>
      <c r="BF117" s="241"/>
      <c r="BG117" s="241"/>
      <c r="BH117" s="241"/>
      <c r="BI117" s="241"/>
      <c r="BJ117" s="241"/>
      <c r="BK117" s="241"/>
      <c r="BL117" s="241"/>
      <c r="BM117" s="241"/>
      <c r="BN117" s="241"/>
      <c r="BO117" s="233"/>
      <c r="BP117" s="244"/>
    </row>
    <row r="118" ht="60" customHeight="1" spans="1:68">
      <c r="A118" s="137"/>
      <c r="B118" s="138"/>
      <c r="C118" s="138"/>
      <c r="D118" s="139"/>
      <c r="E118" s="181"/>
      <c r="F118" s="149"/>
      <c r="G118" s="147"/>
      <c r="H118" s="209">
        <v>9</v>
      </c>
      <c r="I118" s="128">
        <f t="shared" si="5"/>
        <v>12</v>
      </c>
      <c r="J118" s="249" t="s">
        <v>49</v>
      </c>
      <c r="K118" s="207"/>
      <c r="L118" s="232"/>
      <c r="M118" s="157"/>
      <c r="N118" s="246"/>
      <c r="O118" s="246">
        <v>3</v>
      </c>
      <c r="P118" s="246"/>
      <c r="Q118" s="246"/>
      <c r="R118" s="246"/>
      <c r="S118" s="246"/>
      <c r="T118" s="246"/>
      <c r="U118" s="246"/>
      <c r="V118" s="246"/>
      <c r="W118" s="246"/>
      <c r="X118" s="246"/>
      <c r="Y118" s="246"/>
      <c r="Z118" s="246"/>
      <c r="AA118" s="246"/>
      <c r="AB118" s="246"/>
      <c r="AC118" s="246"/>
      <c r="AD118" s="246"/>
      <c r="AE118" s="246"/>
      <c r="AF118" s="246"/>
      <c r="AG118" s="246"/>
      <c r="AH118" s="246"/>
      <c r="AI118" s="246"/>
      <c r="AJ118" s="246"/>
      <c r="AK118" s="246"/>
      <c r="AL118" s="246"/>
      <c r="AM118" s="246"/>
      <c r="AN118" s="246"/>
      <c r="AO118" s="246"/>
      <c r="AP118" s="246"/>
      <c r="AQ118" s="246"/>
      <c r="AR118" s="246"/>
      <c r="AS118" s="246"/>
      <c r="AT118" s="246"/>
      <c r="AU118" s="246"/>
      <c r="AV118" s="246">
        <v>4</v>
      </c>
      <c r="AW118" s="247">
        <v>5</v>
      </c>
      <c r="AX118" s="246"/>
      <c r="AY118" s="246"/>
      <c r="AZ118" s="246"/>
      <c r="BA118" s="246"/>
      <c r="BB118" s="246"/>
      <c r="BC118" s="246"/>
      <c r="BD118" s="246"/>
      <c r="BE118" s="246"/>
      <c r="BF118" s="246"/>
      <c r="BG118" s="246"/>
      <c r="BH118" s="246"/>
      <c r="BI118" s="246"/>
      <c r="BJ118" s="246"/>
      <c r="BK118" s="246"/>
      <c r="BL118" s="246"/>
      <c r="BM118" s="246"/>
      <c r="BN118" s="246"/>
      <c r="BO118" s="246"/>
      <c r="BP118" s="248"/>
    </row>
    <row r="119" s="59" customFormat="1" ht="60" customHeight="1" spans="1:68">
      <c r="A119" s="137"/>
      <c r="B119" s="138"/>
      <c r="C119" s="138"/>
      <c r="D119" s="139"/>
      <c r="E119" s="181"/>
      <c r="F119" s="149"/>
      <c r="G119" s="170" t="s">
        <v>54</v>
      </c>
      <c r="H119" s="127">
        <v>13</v>
      </c>
      <c r="I119" s="128">
        <f t="shared" ref="I119:I130" si="6">SUM(M119:BP119)</f>
        <v>12</v>
      </c>
      <c r="J119" s="129" t="s">
        <v>35</v>
      </c>
      <c r="K119" s="130">
        <f ca="1">+K125</f>
        <v>46276</v>
      </c>
      <c r="L119" s="131" t="s">
        <v>36</v>
      </c>
      <c r="M119" s="157"/>
      <c r="N119" s="233"/>
      <c r="O119" s="233">
        <v>3</v>
      </c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>
        <v>4</v>
      </c>
      <c r="AW119" s="234">
        <v>5</v>
      </c>
      <c r="AX119" s="233"/>
      <c r="AY119" s="235"/>
      <c r="AZ119" s="233"/>
      <c r="BA119" s="233"/>
      <c r="BB119" s="233"/>
      <c r="BC119" s="233"/>
      <c r="BD119" s="233"/>
      <c r="BE119" s="233"/>
      <c r="BF119" s="233"/>
      <c r="BG119" s="233"/>
      <c r="BH119" s="233"/>
      <c r="BI119" s="233"/>
      <c r="BJ119" s="233"/>
      <c r="BK119" s="233"/>
      <c r="BL119" s="233"/>
      <c r="BM119" s="233"/>
      <c r="BN119" s="233"/>
      <c r="BO119" s="233"/>
      <c r="BP119" s="236"/>
    </row>
    <row r="120" ht="60" customHeight="1" spans="1:68">
      <c r="A120" s="137"/>
      <c r="B120" s="138"/>
      <c r="C120" s="138"/>
      <c r="D120" s="139"/>
      <c r="E120" s="181"/>
      <c r="F120" s="149"/>
      <c r="G120" s="171"/>
      <c r="H120" s="142">
        <v>13</v>
      </c>
      <c r="I120" s="128">
        <f t="shared" si="6"/>
        <v>12</v>
      </c>
      <c r="J120" s="129" t="s">
        <v>37</v>
      </c>
      <c r="K120" s="200"/>
      <c r="L120" s="131"/>
      <c r="M120" s="157"/>
      <c r="N120" s="233"/>
      <c r="O120" s="233">
        <v>3</v>
      </c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>
        <v>4</v>
      </c>
      <c r="AW120" s="234">
        <v>5</v>
      </c>
      <c r="AX120" s="233"/>
      <c r="AY120" s="235"/>
      <c r="AZ120" s="233"/>
      <c r="BA120" s="233"/>
      <c r="BB120" s="233"/>
      <c r="BC120" s="233"/>
      <c r="BD120" s="233"/>
      <c r="BE120" s="233"/>
      <c r="BF120" s="233"/>
      <c r="BG120" s="233"/>
      <c r="BH120" s="233"/>
      <c r="BI120" s="233"/>
      <c r="BJ120" s="233"/>
      <c r="BK120" s="233"/>
      <c r="BL120" s="233"/>
      <c r="BM120" s="233"/>
      <c r="BN120" s="233"/>
      <c r="BO120" s="233"/>
      <c r="BP120" s="236"/>
    </row>
    <row r="121" ht="60" customHeight="1" spans="1:68">
      <c r="A121" s="137"/>
      <c r="B121" s="138"/>
      <c r="C121" s="138"/>
      <c r="D121" s="139"/>
      <c r="E121" s="181"/>
      <c r="F121" s="149"/>
      <c r="G121" s="171"/>
      <c r="H121" s="142">
        <v>10</v>
      </c>
      <c r="I121" s="128">
        <f t="shared" si="6"/>
        <v>9</v>
      </c>
      <c r="J121" s="129" t="s">
        <v>38</v>
      </c>
      <c r="K121" s="200"/>
      <c r="L121" s="131"/>
      <c r="M121" s="157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>
        <v>4</v>
      </c>
      <c r="AW121" s="237">
        <v>5</v>
      </c>
      <c r="AX121" s="233"/>
      <c r="AY121" s="235"/>
      <c r="AZ121" s="233"/>
      <c r="BA121" s="233"/>
      <c r="BB121" s="233"/>
      <c r="BC121" s="233"/>
      <c r="BD121" s="233"/>
      <c r="BE121" s="233"/>
      <c r="BF121" s="233"/>
      <c r="BG121" s="233"/>
      <c r="BH121" s="233"/>
      <c r="BI121" s="233"/>
      <c r="BJ121" s="233"/>
      <c r="BK121" s="233"/>
      <c r="BL121" s="233"/>
      <c r="BM121" s="233"/>
      <c r="BN121" s="233"/>
      <c r="BO121" s="233"/>
      <c r="BP121" s="236"/>
    </row>
    <row r="122" ht="60" customHeight="1" spans="1:68">
      <c r="A122" s="137"/>
      <c r="B122" s="182"/>
      <c r="C122" s="182"/>
      <c r="D122" s="165"/>
      <c r="E122" s="183"/>
      <c r="F122" s="184"/>
      <c r="G122" s="171"/>
      <c r="H122" s="142">
        <v>10</v>
      </c>
      <c r="I122" s="128">
        <f t="shared" si="6"/>
        <v>12</v>
      </c>
      <c r="J122" s="129" t="s">
        <v>40</v>
      </c>
      <c r="K122" s="200"/>
      <c r="L122" s="131"/>
      <c r="M122" s="157"/>
      <c r="N122" s="233">
        <v>3</v>
      </c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>
        <v>4</v>
      </c>
      <c r="AW122" s="237">
        <v>5</v>
      </c>
      <c r="AX122" s="233"/>
      <c r="AY122" s="235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6"/>
    </row>
    <row r="123" ht="60" customHeight="1" spans="1:68">
      <c r="A123" s="174"/>
      <c r="B123" s="138"/>
      <c r="C123" s="138"/>
      <c r="D123" s="185" t="s">
        <v>55</v>
      </c>
      <c r="E123" s="186"/>
      <c r="F123" s="180"/>
      <c r="G123" s="171"/>
      <c r="H123" s="142">
        <v>10</v>
      </c>
      <c r="I123" s="128">
        <f t="shared" si="6"/>
        <v>11</v>
      </c>
      <c r="J123" s="129" t="s">
        <v>41</v>
      </c>
      <c r="K123" s="200"/>
      <c r="L123" s="131"/>
      <c r="M123" s="157"/>
      <c r="N123" s="233">
        <v>3</v>
      </c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>
        <v>3</v>
      </c>
      <c r="AW123" s="237">
        <v>5</v>
      </c>
      <c r="AX123" s="233"/>
      <c r="AY123" s="235"/>
      <c r="AZ123" s="233"/>
      <c r="BA123" s="238"/>
      <c r="BB123" s="238"/>
      <c r="BC123" s="238"/>
      <c r="BD123" s="238"/>
      <c r="BE123" s="238"/>
      <c r="BF123" s="238"/>
      <c r="BG123" s="250"/>
      <c r="BH123" s="238"/>
      <c r="BI123" s="238"/>
      <c r="BJ123" s="238"/>
      <c r="BK123" s="238"/>
      <c r="BL123" s="238"/>
      <c r="BM123" s="238"/>
      <c r="BN123" s="238"/>
      <c r="BO123" s="233"/>
      <c r="BP123" s="239"/>
    </row>
    <row r="124" ht="60" customHeight="1" spans="1:68">
      <c r="A124" s="174"/>
      <c r="B124" s="138"/>
      <c r="C124" s="138"/>
      <c r="D124" s="187"/>
      <c r="E124" s="186"/>
      <c r="F124" s="186"/>
      <c r="G124" s="171"/>
      <c r="H124" s="142">
        <v>14</v>
      </c>
      <c r="I124" s="128">
        <f t="shared" si="6"/>
        <v>10</v>
      </c>
      <c r="J124" s="129" t="s">
        <v>42</v>
      </c>
      <c r="K124" s="203"/>
      <c r="L124" s="131"/>
      <c r="M124" s="157"/>
      <c r="N124" s="233">
        <v>3</v>
      </c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>
        <v>3</v>
      </c>
      <c r="AW124" s="237">
        <v>4</v>
      </c>
      <c r="AX124" s="233"/>
      <c r="AY124" s="235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9"/>
    </row>
    <row r="125" ht="60" customHeight="1" spans="1:68">
      <c r="A125" s="174"/>
      <c r="B125" s="138"/>
      <c r="C125" s="138"/>
      <c r="D125" s="187"/>
      <c r="E125" s="186"/>
      <c r="F125" s="186"/>
      <c r="G125" s="175"/>
      <c r="H125" s="142">
        <v>14</v>
      </c>
      <c r="I125" s="128">
        <f t="shared" si="6"/>
        <v>10</v>
      </c>
      <c r="J125" s="129" t="s">
        <v>44</v>
      </c>
      <c r="K125" s="156">
        <f ca="1">K113+1</f>
        <v>46276</v>
      </c>
      <c r="L125" s="131"/>
      <c r="M125" s="157"/>
      <c r="N125" s="238">
        <v>3</v>
      </c>
      <c r="O125" s="238"/>
      <c r="P125" s="238"/>
      <c r="Q125" s="238"/>
      <c r="R125" s="238"/>
      <c r="S125" s="238"/>
      <c r="T125" s="238"/>
      <c r="U125" s="238"/>
      <c r="V125" s="238"/>
      <c r="W125" s="238"/>
      <c r="X125" s="238"/>
      <c r="Y125" s="238"/>
      <c r="Z125" s="238"/>
      <c r="AA125" s="238"/>
      <c r="AB125" s="238"/>
      <c r="AC125" s="238"/>
      <c r="AD125" s="238"/>
      <c r="AE125" s="238"/>
      <c r="AF125" s="238"/>
      <c r="AG125" s="238"/>
      <c r="AH125" s="238"/>
      <c r="AI125" s="238"/>
      <c r="AJ125" s="238"/>
      <c r="AK125" s="238"/>
      <c r="AL125" s="238"/>
      <c r="AM125" s="238"/>
      <c r="AN125" s="238"/>
      <c r="AO125" s="238"/>
      <c r="AP125" s="238"/>
      <c r="AQ125" s="238"/>
      <c r="AR125" s="238"/>
      <c r="AS125" s="238"/>
      <c r="AT125" s="238"/>
      <c r="AU125" s="238"/>
      <c r="AV125" s="238">
        <v>3</v>
      </c>
      <c r="AW125" s="237">
        <v>4</v>
      </c>
      <c r="AX125" s="238"/>
      <c r="AY125" s="240"/>
      <c r="AZ125" s="238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9"/>
    </row>
    <row r="126" ht="60" customHeight="1" spans="1:68">
      <c r="A126" s="188"/>
      <c r="B126" s="138"/>
      <c r="C126" s="138"/>
      <c r="D126" s="187"/>
      <c r="E126" s="186"/>
      <c r="F126" s="138"/>
      <c r="G126" s="189"/>
      <c r="H126" s="142">
        <v>14</v>
      </c>
      <c r="I126" s="128">
        <f t="shared" si="6"/>
        <v>11</v>
      </c>
      <c r="J126" s="129" t="s">
        <v>45</v>
      </c>
      <c r="K126" s="204"/>
      <c r="L126" s="131"/>
      <c r="M126" s="157"/>
      <c r="N126" s="238">
        <v>3</v>
      </c>
      <c r="O126" s="238"/>
      <c r="P126" s="238"/>
      <c r="Q126" s="233"/>
      <c r="R126" s="238"/>
      <c r="S126" s="238"/>
      <c r="T126" s="238"/>
      <c r="U126" s="238"/>
      <c r="V126" s="238"/>
      <c r="W126" s="238"/>
      <c r="X126" s="238"/>
      <c r="Y126" s="238"/>
      <c r="Z126" s="238"/>
      <c r="AA126" s="238"/>
      <c r="AB126" s="238"/>
      <c r="AC126" s="238"/>
      <c r="AD126" s="238"/>
      <c r="AE126" s="238"/>
      <c r="AF126" s="238"/>
      <c r="AG126" s="238"/>
      <c r="AH126" s="238"/>
      <c r="AI126" s="238"/>
      <c r="AJ126" s="238"/>
      <c r="AK126" s="238"/>
      <c r="AL126" s="238"/>
      <c r="AM126" s="238"/>
      <c r="AN126" s="238"/>
      <c r="AO126" s="238"/>
      <c r="AP126" s="238"/>
      <c r="AQ126" s="238"/>
      <c r="AR126" s="238"/>
      <c r="AS126" s="238"/>
      <c r="AT126" s="238"/>
      <c r="AU126" s="238"/>
      <c r="AV126" s="238">
        <v>3</v>
      </c>
      <c r="AW126" s="237">
        <v>5</v>
      </c>
      <c r="AX126" s="238"/>
      <c r="AY126" s="240"/>
      <c r="AZ126" s="238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9"/>
    </row>
    <row r="127" ht="60" customHeight="1" spans="1:68">
      <c r="A127" s="190"/>
      <c r="B127" s="138"/>
      <c r="C127" s="138"/>
      <c r="D127" s="187"/>
      <c r="E127" s="186"/>
      <c r="F127" s="138"/>
      <c r="G127" s="191"/>
      <c r="H127" s="142">
        <v>15</v>
      </c>
      <c r="I127" s="128">
        <f t="shared" si="6"/>
        <v>11</v>
      </c>
      <c r="J127" s="129" t="s">
        <v>46</v>
      </c>
      <c r="K127" s="204"/>
      <c r="L127" s="131"/>
      <c r="M127" s="157"/>
      <c r="N127" s="238">
        <v>3</v>
      </c>
      <c r="O127" s="238"/>
      <c r="P127" s="238"/>
      <c r="Q127" s="238"/>
      <c r="R127" s="238"/>
      <c r="S127" s="238"/>
      <c r="T127" s="238"/>
      <c r="U127" s="238"/>
      <c r="V127" s="238"/>
      <c r="W127" s="238"/>
      <c r="X127" s="238"/>
      <c r="Y127" s="238"/>
      <c r="Z127" s="238"/>
      <c r="AA127" s="238"/>
      <c r="AB127" s="238"/>
      <c r="AC127" s="238"/>
      <c r="AD127" s="238"/>
      <c r="AE127" s="238"/>
      <c r="AF127" s="238"/>
      <c r="AG127" s="238"/>
      <c r="AH127" s="238"/>
      <c r="AI127" s="238"/>
      <c r="AJ127" s="238"/>
      <c r="AK127" s="238"/>
      <c r="AL127" s="238"/>
      <c r="AM127" s="238"/>
      <c r="AN127" s="238"/>
      <c r="AO127" s="238"/>
      <c r="AP127" s="238"/>
      <c r="AQ127" s="238"/>
      <c r="AR127" s="238"/>
      <c r="AS127" s="238"/>
      <c r="AT127" s="238"/>
      <c r="AU127" s="238"/>
      <c r="AV127" s="238">
        <v>3</v>
      </c>
      <c r="AW127" s="237">
        <v>5</v>
      </c>
      <c r="AX127" s="238"/>
      <c r="AY127" s="240"/>
      <c r="AZ127" s="238"/>
      <c r="BA127" s="238"/>
      <c r="BB127" s="238"/>
      <c r="BC127" s="238"/>
      <c r="BD127" s="238"/>
      <c r="BE127" s="238"/>
      <c r="BF127" s="238"/>
      <c r="BG127" s="238"/>
      <c r="BH127" s="238"/>
      <c r="BI127" s="238"/>
      <c r="BJ127" s="238"/>
      <c r="BK127" s="238"/>
      <c r="BL127" s="238"/>
      <c r="BM127" s="238"/>
      <c r="BN127" s="238"/>
      <c r="BO127" s="233"/>
      <c r="BP127" s="239"/>
    </row>
    <row r="128" ht="60" customHeight="1" spans="1:68">
      <c r="A128" s="153"/>
      <c r="B128" s="138"/>
      <c r="C128" s="138"/>
      <c r="D128" s="187"/>
      <c r="E128" s="186"/>
      <c r="F128" s="138"/>
      <c r="G128" s="191"/>
      <c r="H128" s="142">
        <v>13</v>
      </c>
      <c r="I128" s="128">
        <f t="shared" si="6"/>
        <v>11</v>
      </c>
      <c r="J128" s="129" t="s">
        <v>47</v>
      </c>
      <c r="K128" s="204"/>
      <c r="L128" s="131"/>
      <c r="M128" s="157"/>
      <c r="N128" s="241">
        <v>3</v>
      </c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  <c r="AA128" s="241"/>
      <c r="AB128" s="241"/>
      <c r="AC128" s="241"/>
      <c r="AD128" s="241"/>
      <c r="AE128" s="241"/>
      <c r="AF128" s="241"/>
      <c r="AG128" s="241"/>
      <c r="AH128" s="241"/>
      <c r="AI128" s="241"/>
      <c r="AJ128" s="241"/>
      <c r="AK128" s="241"/>
      <c r="AL128" s="241"/>
      <c r="AM128" s="241"/>
      <c r="AN128" s="241"/>
      <c r="AO128" s="241"/>
      <c r="AP128" s="241"/>
      <c r="AQ128" s="241"/>
      <c r="AR128" s="241"/>
      <c r="AS128" s="241"/>
      <c r="AT128" s="241"/>
      <c r="AU128" s="241"/>
      <c r="AV128" s="241">
        <v>3</v>
      </c>
      <c r="AW128" s="242">
        <v>5</v>
      </c>
      <c r="AX128" s="241"/>
      <c r="AY128" s="243"/>
      <c r="AZ128" s="241"/>
      <c r="BA128" s="241"/>
      <c r="BB128" s="241"/>
      <c r="BC128" s="241"/>
      <c r="BD128" s="241"/>
      <c r="BE128" s="241"/>
      <c r="BF128" s="241"/>
      <c r="BG128" s="241"/>
      <c r="BH128" s="241"/>
      <c r="BI128" s="241"/>
      <c r="BJ128" s="241"/>
      <c r="BK128" s="241"/>
      <c r="BL128" s="241"/>
      <c r="BM128" s="241"/>
      <c r="BN128" s="241"/>
      <c r="BO128" s="233"/>
      <c r="BP128" s="244"/>
    </row>
    <row r="129" ht="60" customHeight="1" spans="1:68">
      <c r="A129" s="153"/>
      <c r="B129" s="138"/>
      <c r="C129" s="138"/>
      <c r="D129" s="187"/>
      <c r="E129" s="186"/>
      <c r="F129" s="192" t="s">
        <v>56</v>
      </c>
      <c r="G129" s="191"/>
      <c r="H129" s="142">
        <v>9</v>
      </c>
      <c r="I129" s="128">
        <f t="shared" si="6"/>
        <v>12</v>
      </c>
      <c r="J129" s="129" t="s">
        <v>48</v>
      </c>
      <c r="K129" s="204"/>
      <c r="L129" s="131"/>
      <c r="M129" s="157"/>
      <c r="N129" s="241">
        <v>3</v>
      </c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  <c r="AA129" s="241"/>
      <c r="AB129" s="241"/>
      <c r="AC129" s="241"/>
      <c r="AD129" s="241"/>
      <c r="AE129" s="241"/>
      <c r="AF129" s="241"/>
      <c r="AG129" s="241"/>
      <c r="AH129" s="241"/>
      <c r="AI129" s="241"/>
      <c r="AJ129" s="241"/>
      <c r="AK129" s="241"/>
      <c r="AL129" s="241"/>
      <c r="AM129" s="241"/>
      <c r="AN129" s="241"/>
      <c r="AO129" s="241"/>
      <c r="AP129" s="241"/>
      <c r="AQ129" s="241"/>
      <c r="AR129" s="241"/>
      <c r="AS129" s="241"/>
      <c r="AT129" s="241"/>
      <c r="AU129" s="241"/>
      <c r="AV129" s="241">
        <v>4</v>
      </c>
      <c r="AW129" s="242">
        <v>5</v>
      </c>
      <c r="AX129" s="241"/>
      <c r="AY129" s="243"/>
      <c r="AZ129" s="241"/>
      <c r="BA129" s="241"/>
      <c r="BB129" s="241"/>
      <c r="BC129" s="241"/>
      <c r="BD129" s="241"/>
      <c r="BE129" s="241"/>
      <c r="BF129" s="241"/>
      <c r="BG129" s="241"/>
      <c r="BH129" s="241"/>
      <c r="BI129" s="241"/>
      <c r="BJ129" s="241"/>
      <c r="BK129" s="241"/>
      <c r="BL129" s="241"/>
      <c r="BM129" s="241"/>
      <c r="BN129" s="241"/>
      <c r="BO129" s="233"/>
      <c r="BP129" s="244"/>
    </row>
    <row r="130" ht="60" customHeight="1" spans="1:68">
      <c r="A130" s="153"/>
      <c r="B130" s="138"/>
      <c r="C130" s="138"/>
      <c r="D130" s="187"/>
      <c r="E130" s="186"/>
      <c r="F130" s="193"/>
      <c r="G130" s="194" t="s">
        <v>57</v>
      </c>
      <c r="H130" s="209">
        <v>9</v>
      </c>
      <c r="I130" s="128">
        <f t="shared" si="6"/>
        <v>12</v>
      </c>
      <c r="J130" s="249" t="s">
        <v>49</v>
      </c>
      <c r="K130" s="251"/>
      <c r="L130" s="232"/>
      <c r="M130" s="157"/>
      <c r="N130" s="246">
        <v>3</v>
      </c>
      <c r="O130" s="246"/>
      <c r="P130" s="246"/>
      <c r="Q130" s="246"/>
      <c r="R130" s="246"/>
      <c r="S130" s="246"/>
      <c r="T130" s="246"/>
      <c r="U130" s="246"/>
      <c r="V130" s="246"/>
      <c r="W130" s="246"/>
      <c r="X130" s="246"/>
      <c r="Y130" s="246"/>
      <c r="Z130" s="246"/>
      <c r="AA130" s="246"/>
      <c r="AB130" s="246"/>
      <c r="AC130" s="246"/>
      <c r="AD130" s="246"/>
      <c r="AE130" s="246"/>
      <c r="AF130" s="246"/>
      <c r="AG130" s="246"/>
      <c r="AH130" s="246"/>
      <c r="AI130" s="246"/>
      <c r="AJ130" s="246"/>
      <c r="AK130" s="246"/>
      <c r="AL130" s="246"/>
      <c r="AM130" s="246"/>
      <c r="AN130" s="246"/>
      <c r="AO130" s="246"/>
      <c r="AP130" s="246"/>
      <c r="AQ130" s="246"/>
      <c r="AR130" s="246"/>
      <c r="AS130" s="246"/>
      <c r="AT130" s="246"/>
      <c r="AU130" s="246"/>
      <c r="AV130" s="246">
        <v>4</v>
      </c>
      <c r="AW130" s="247">
        <v>5</v>
      </c>
      <c r="AX130" s="246"/>
      <c r="AY130" s="246"/>
      <c r="AZ130" s="246"/>
      <c r="BA130" s="246"/>
      <c r="BB130" s="246"/>
      <c r="BC130" s="246"/>
      <c r="BD130" s="246"/>
      <c r="BE130" s="246"/>
      <c r="BF130" s="246"/>
      <c r="BG130" s="246"/>
      <c r="BH130" s="246"/>
      <c r="BI130" s="246"/>
      <c r="BJ130" s="246"/>
      <c r="BK130" s="246"/>
      <c r="BL130" s="246"/>
      <c r="BM130" s="246"/>
      <c r="BN130" s="246"/>
      <c r="BO130" s="246"/>
      <c r="BP130" s="248"/>
    </row>
    <row r="131" ht="70.35" spans="1:68">
      <c r="Q131" s="252"/>
      <c r="R131" s="252"/>
      <c r="U131" s="253" t="s">
        <v>69</v>
      </c>
      <c r="V131" s="253"/>
      <c r="W131" s="253"/>
      <c r="X131" s="253"/>
      <c r="Y131" s="253"/>
      <c r="Z131" s="254"/>
      <c r="AA131" s="254"/>
      <c r="AB131" s="254"/>
      <c r="AC131" s="254"/>
      <c r="AD131" s="254"/>
      <c r="AE131" s="254"/>
      <c r="AF131" s="254"/>
      <c r="AG131" s="254"/>
      <c r="AH131" s="254"/>
      <c r="AI131" s="255" t="s">
        <v>70</v>
      </c>
      <c r="AJ131" s="255"/>
      <c r="AK131" s="255"/>
      <c r="AL131" s="255"/>
      <c r="AM131" s="255"/>
      <c r="AN131" s="255"/>
      <c r="AO131" s="254"/>
      <c r="AP131" s="254"/>
      <c r="AQ131" s="254"/>
      <c r="AR131" s="254"/>
      <c r="AS131" s="254"/>
      <c r="AT131" s="254"/>
      <c r="AU131" s="254"/>
      <c r="AV131" s="254"/>
      <c r="AW131" s="254"/>
      <c r="AX131" s="254"/>
      <c r="AY131" s="254"/>
      <c r="AZ131" s="255" t="s">
        <v>71</v>
      </c>
      <c r="BA131" s="255"/>
      <c r="BB131" s="255"/>
      <c r="BC131" s="255"/>
      <c r="BD131" s="255"/>
      <c r="BE131" s="255"/>
      <c r="BF131" s="256"/>
      <c r="BG131" s="256"/>
      <c r="BH131" s="256"/>
    </row>
    <row r="132" ht="69.6" spans="1:68">
      <c r="U132" s="257" t="s">
        <v>72</v>
      </c>
      <c r="V132" s="257"/>
      <c r="W132" s="257"/>
      <c r="X132" s="257"/>
      <c r="Y132" s="257"/>
      <c r="Z132" s="254"/>
      <c r="AA132" s="254"/>
      <c r="AB132" s="254"/>
      <c r="AC132" s="254"/>
      <c r="AD132" s="254"/>
      <c r="AE132" s="254"/>
      <c r="AF132" s="254"/>
      <c r="AG132" s="254"/>
      <c r="AH132" s="258" t="s">
        <v>73</v>
      </c>
      <c r="AI132" s="258"/>
      <c r="AJ132" s="258"/>
      <c r="AK132" s="258"/>
      <c r="AL132" s="258"/>
      <c r="AM132" s="258"/>
      <c r="AN132" s="258"/>
      <c r="AO132" s="258"/>
      <c r="AP132" s="254"/>
      <c r="AQ132" s="254"/>
      <c r="AR132" s="254"/>
      <c r="AS132" s="254"/>
      <c r="AT132" s="254"/>
      <c r="AU132" s="254"/>
      <c r="AV132" s="254"/>
      <c r="AW132" s="254"/>
      <c r="AX132" s="254"/>
      <c r="AY132" s="258" t="s">
        <v>74</v>
      </c>
      <c r="AZ132" s="258"/>
      <c r="BA132" s="258"/>
      <c r="BB132" s="258"/>
      <c r="BC132" s="258"/>
      <c r="BD132" s="258"/>
      <c r="BE132" s="258"/>
      <c r="BF132" s="258"/>
      <c r="BG132" s="258"/>
      <c r="BH132" s="256"/>
    </row>
    <row r="133" ht="40.8" spans="1:68">
      <c r="U133" s="256"/>
      <c r="V133" s="256"/>
      <c r="W133" s="256"/>
      <c r="X133" s="256"/>
      <c r="Y133" s="256"/>
      <c r="Z133" s="256"/>
      <c r="AA133" s="256"/>
      <c r="AB133" s="256"/>
      <c r="AC133" s="256"/>
      <c r="AD133" s="256"/>
      <c r="AE133" s="256"/>
      <c r="AF133" s="256"/>
      <c r="AG133" s="256"/>
      <c r="AH133" s="256"/>
      <c r="AI133" s="256"/>
      <c r="AJ133" s="256"/>
      <c r="AK133" s="256"/>
      <c r="AL133" s="256"/>
      <c r="AM133" s="256"/>
      <c r="AN133" s="256"/>
      <c r="AO133" s="256"/>
      <c r="AP133" s="256"/>
      <c r="AQ133" s="256"/>
      <c r="AR133" s="256"/>
      <c r="AS133" s="256"/>
      <c r="AT133" s="256"/>
      <c r="AU133" s="256"/>
      <c r="AV133" s="256"/>
      <c r="AW133" s="256"/>
      <c r="AX133" s="256"/>
      <c r="AY133" s="256"/>
      <c r="AZ133" s="256"/>
      <c r="BA133" s="256"/>
      <c r="BB133" s="256"/>
      <c r="BC133" s="256"/>
      <c r="BD133" s="256"/>
      <c r="BE133" s="256"/>
      <c r="BF133" s="256"/>
      <c r="BG133" s="256"/>
      <c r="BH133" s="256"/>
    </row>
    <row r="134" ht="40.8" spans="1:68">
      <c r="R134" s="259"/>
      <c r="U134" s="256"/>
      <c r="V134" s="256"/>
      <c r="W134" s="256"/>
      <c r="X134" s="256"/>
      <c r="Y134" s="25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56"/>
      <c r="AL134" s="256"/>
      <c r="AM134" s="256"/>
      <c r="AN134" s="256"/>
      <c r="AO134" s="256"/>
      <c r="AP134" s="256"/>
      <c r="AQ134" s="256"/>
      <c r="AR134" s="256"/>
      <c r="AS134" s="256"/>
      <c r="AT134" s="256"/>
      <c r="AU134" s="256"/>
      <c r="AV134" s="256"/>
      <c r="AW134" s="256"/>
      <c r="AX134" s="256"/>
      <c r="AY134" s="256"/>
      <c r="AZ134" s="256"/>
      <c r="BA134" s="256"/>
      <c r="BB134" s="256"/>
      <c r="BC134" s="256"/>
      <c r="BD134" s="256"/>
      <c r="BE134" s="256"/>
      <c r="BF134" s="256"/>
      <c r="BG134" s="256"/>
      <c r="BH134" s="256"/>
    </row>
    <row r="135" ht="40.8" spans="1:68">
      <c r="P135" s="260"/>
      <c r="Q135" s="260"/>
      <c r="R135" s="261" t="s">
        <v>75</v>
      </c>
      <c r="S135" s="260"/>
      <c r="T135" s="260"/>
      <c r="U135" s="262"/>
      <c r="V135" s="262"/>
      <c r="W135" s="262"/>
      <c r="X135" s="262"/>
      <c r="Y135" s="262"/>
      <c r="Z135" s="256"/>
      <c r="AA135" s="256"/>
      <c r="AB135" s="256"/>
      <c r="AC135" s="256"/>
      <c r="AD135" s="256"/>
      <c r="AE135" s="256"/>
      <c r="AF135" s="256"/>
      <c r="AG135" s="256"/>
      <c r="AH135" s="256"/>
      <c r="AI135" s="256"/>
      <c r="AJ135" s="256"/>
      <c r="AK135" s="256"/>
      <c r="AL135" s="256"/>
      <c r="AM135" s="256"/>
      <c r="AN135" s="256"/>
      <c r="AO135" s="256"/>
      <c r="AP135" s="256"/>
      <c r="AQ135" s="256"/>
      <c r="AR135" s="256"/>
      <c r="AS135" s="256"/>
      <c r="AT135" s="256"/>
      <c r="AU135" s="256"/>
      <c r="AV135" s="256"/>
      <c r="AW135" s="256"/>
      <c r="AX135" s="256"/>
      <c r="AY135" s="256"/>
      <c r="AZ135" s="256"/>
      <c r="BA135" s="256"/>
      <c r="BB135" s="256"/>
      <c r="BC135" s="256"/>
      <c r="BD135" s="256"/>
      <c r="BE135" s="256"/>
      <c r="BF135" s="256"/>
      <c r="BG135" s="256"/>
      <c r="BH135" s="256"/>
    </row>
    <row r="136" spans="1:68">
      <c r="P136" s="260"/>
      <c r="Q136" s="260"/>
      <c r="R136" s="261" t="s">
        <v>76</v>
      </c>
      <c r="S136" s="260"/>
      <c r="T136" s="260"/>
      <c r="U136" s="260"/>
      <c r="V136" s="260"/>
      <c r="W136" s="260"/>
      <c r="X136" s="260"/>
      <c r="Y136" s="261"/>
    </row>
    <row r="137" spans="1:68">
      <c r="P137" s="260"/>
      <c r="Q137" s="260"/>
      <c r="R137" s="261" t="s">
        <v>77</v>
      </c>
      <c r="S137" s="260"/>
      <c r="T137" s="260"/>
      <c r="U137" s="260"/>
      <c r="V137" s="260"/>
      <c r="W137" s="260"/>
      <c r="X137" s="260"/>
      <c r="Y137" s="261"/>
    </row>
    <row r="138" spans="1:68">
      <c r="P138" s="260"/>
      <c r="Q138" s="260"/>
      <c r="R138" s="261" t="s">
        <v>78</v>
      </c>
      <c r="S138" s="260"/>
      <c r="T138" s="260"/>
      <c r="U138" s="260"/>
      <c r="V138" s="260"/>
      <c r="W138" s="260"/>
      <c r="X138" s="260"/>
      <c r="Y138" s="261"/>
    </row>
    <row r="139" spans="1:68">
      <c r="P139" s="260"/>
      <c r="Q139" s="260"/>
      <c r="R139" s="261" t="s">
        <v>79</v>
      </c>
      <c r="S139" s="260"/>
      <c r="T139" s="260"/>
      <c r="U139" s="260"/>
      <c r="V139" s="260"/>
      <c r="W139" s="260"/>
      <c r="X139" s="260"/>
      <c r="Y139" s="261"/>
    </row>
    <row r="140" ht="36" customHeight="1" spans="1:68">
      <c r="P140" s="260"/>
      <c r="Q140" s="260"/>
      <c r="R140" s="261" t="s">
        <v>80</v>
      </c>
      <c r="S140" s="260"/>
      <c r="T140" s="260"/>
      <c r="U140" s="260"/>
      <c r="V140" s="260"/>
      <c r="W140" s="260"/>
      <c r="X140" s="260"/>
      <c r="Y140" s="261"/>
    </row>
    <row r="141" spans="1:68">
      <c r="P141" s="260"/>
      <c r="Q141" s="260"/>
      <c r="R141" s="261" t="s">
        <v>69</v>
      </c>
      <c r="S141" s="260"/>
      <c r="T141" s="260"/>
      <c r="U141" s="260"/>
      <c r="V141" s="260"/>
      <c r="W141" s="260"/>
      <c r="X141" s="260"/>
      <c r="Y141" s="261"/>
    </row>
    <row r="142" spans="1:68">
      <c r="R142" s="261" t="s">
        <v>81</v>
      </c>
    </row>
    <row r="153" s="60" customFormat="1" ht="17.25" customHeight="1" spans="8:12">
      <c r="H153" s="61"/>
      <c r="I153" s="61"/>
      <c r="J153" s="61"/>
      <c r="K153" s="62"/>
      <c r="L153" s="63"/>
    </row>
    <row r="159" s="60" customFormat="1" ht="18" customHeight="1" spans="8:12">
      <c r="H159" s="61"/>
      <c r="I159" s="61"/>
      <c r="J159" s="61"/>
      <c r="K159" s="62"/>
      <c r="L159" s="63"/>
    </row>
    <row r="160" s="60" customFormat="1" ht="17.25" customHeight="1" spans="8:12">
      <c r="H160" s="61"/>
      <c r="I160" s="61"/>
      <c r="J160" s="61"/>
      <c r="K160" s="62"/>
      <c r="L160" s="63"/>
    </row>
    <row r="163" s="60" customFormat="1" ht="17.25" customHeight="1" spans="8:12">
      <c r="H163" s="61"/>
      <c r="I163" s="61"/>
      <c r="J163" s="61"/>
      <c r="K163" s="62"/>
      <c r="L163" s="63"/>
    </row>
  </sheetData>
  <mergeCells count="100">
    <mergeCell ref="N3:BP3"/>
    <mergeCell ref="R4:U4"/>
    <mergeCell ref="AI4:AL4"/>
    <mergeCell ref="BD4:BG4"/>
    <mergeCell ref="R5:V5"/>
    <mergeCell ref="AH5:AL5"/>
    <mergeCell ref="AS5:AU5"/>
    <mergeCell ref="BD5:BH5"/>
    <mergeCell ref="N6:X6"/>
    <mergeCell ref="Y6:AI6"/>
    <mergeCell ref="AJ6:AV6"/>
    <mergeCell ref="AW6:BP6"/>
    <mergeCell ref="N7:X7"/>
    <mergeCell ref="Y7:AI7"/>
    <mergeCell ref="AJ7:AV7"/>
    <mergeCell ref="AW7:BP7"/>
    <mergeCell ref="Q131:R131"/>
    <mergeCell ref="U131:Y131"/>
    <mergeCell ref="AI131:AN131"/>
    <mergeCell ref="AZ131:BE131"/>
    <mergeCell ref="U132:Y132"/>
    <mergeCell ref="AH132:AO132"/>
    <mergeCell ref="AY132:BG132"/>
    <mergeCell ref="A6:A10"/>
    <mergeCell ref="A11:A15"/>
    <mergeCell ref="A27:A42"/>
    <mergeCell ref="A54:A71"/>
    <mergeCell ref="A111:A126"/>
    <mergeCell ref="B6:B10"/>
    <mergeCell ref="C6:C10"/>
    <mergeCell ref="D6:D10"/>
    <mergeCell ref="D31:D38"/>
    <mergeCell ref="D39:D47"/>
    <mergeCell ref="D69:D78"/>
    <mergeCell ref="D79:D91"/>
    <mergeCell ref="D115:D122"/>
    <mergeCell ref="D123:D130"/>
    <mergeCell ref="E6:E10"/>
    <mergeCell ref="E11:E22"/>
    <mergeCell ref="E23:E31"/>
    <mergeCell ref="E32:E38"/>
    <mergeCell ref="E72:E78"/>
    <mergeCell ref="E82:E90"/>
    <mergeCell ref="E94:E106"/>
    <mergeCell ref="E107:E115"/>
    <mergeCell ref="E116:E122"/>
    <mergeCell ref="F6:F10"/>
    <mergeCell ref="F11:F12"/>
    <mergeCell ref="F14:F38"/>
    <mergeCell ref="F45:F48"/>
    <mergeCell ref="F57:F68"/>
    <mergeCell ref="F69:F77"/>
    <mergeCell ref="F88:F96"/>
    <mergeCell ref="F98:F122"/>
    <mergeCell ref="F129:F130"/>
    <mergeCell ref="G6:G10"/>
    <mergeCell ref="G11:G13"/>
    <mergeCell ref="G35:G41"/>
    <mergeCell ref="G46:G49"/>
    <mergeCell ref="G59:G77"/>
    <mergeCell ref="G82:G89"/>
    <mergeCell ref="G90:G97"/>
    <mergeCell ref="G119:G125"/>
    <mergeCell ref="H6:H10"/>
    <mergeCell ref="I6:I10"/>
    <mergeCell ref="K11:K16"/>
    <mergeCell ref="K17:K22"/>
    <mergeCell ref="K23:K28"/>
    <mergeCell ref="K29:K34"/>
    <mergeCell ref="K35:K40"/>
    <mergeCell ref="K41:K46"/>
    <mergeCell ref="K47:K52"/>
    <mergeCell ref="K53:K58"/>
    <mergeCell ref="K59:K64"/>
    <mergeCell ref="K65:K70"/>
    <mergeCell ref="K71:K76"/>
    <mergeCell ref="K77:K82"/>
    <mergeCell ref="K83:K88"/>
    <mergeCell ref="K89:K94"/>
    <mergeCell ref="K95:K100"/>
    <mergeCell ref="K101:K106"/>
    <mergeCell ref="K107:K112"/>
    <mergeCell ref="K113:K118"/>
    <mergeCell ref="K119:K124"/>
    <mergeCell ref="K125:K130"/>
    <mergeCell ref="L11:L22"/>
    <mergeCell ref="L23:L34"/>
    <mergeCell ref="L35:L46"/>
    <mergeCell ref="L47:L58"/>
    <mergeCell ref="L59:L70"/>
    <mergeCell ref="L71:L82"/>
    <mergeCell ref="L83:L94"/>
    <mergeCell ref="L95:L106"/>
    <mergeCell ref="L107:L118"/>
    <mergeCell ref="L119:L130"/>
    <mergeCell ref="B101:C116"/>
    <mergeCell ref="B17:C32"/>
    <mergeCell ref="B77:C89"/>
    <mergeCell ref="J6:M10"/>
    <mergeCell ref="N4:Q5"/>
  </mergeCells>
  <conditionalFormatting sqref="H11:H130">
    <cfRule type="cellIs" dxfId="1" priority="119" operator="greaterThan">
      <formula>13</formula>
    </cfRule>
  </conditionalFormatting>
  <conditionalFormatting sqref="I11:I130">
    <cfRule type="cellIs" dxfId="2" priority="8" operator="greaterThan">
      <formula>16</formula>
    </cfRule>
  </conditionalFormatting>
  <conditionalFormatting sqref="AZ11:AZ21">
    <cfRule type="cellIs" dxfId="2" priority="70" operator="equal">
      <formula>11</formula>
    </cfRule>
  </conditionalFormatting>
  <conditionalFormatting sqref="AZ23:AZ33">
    <cfRule type="cellIs" dxfId="2" priority="256" operator="equal">
      <formula>11</formula>
    </cfRule>
  </conditionalFormatting>
  <conditionalFormatting sqref="AZ35:AZ45">
    <cfRule type="cellIs" dxfId="2" priority="61" operator="equal">
      <formula>11</formula>
    </cfRule>
  </conditionalFormatting>
  <conditionalFormatting sqref="AZ47:AZ57">
    <cfRule type="cellIs" dxfId="2" priority="54" operator="equal">
      <formula>11</formula>
    </cfRule>
  </conditionalFormatting>
  <conditionalFormatting sqref="AZ59:AZ69">
    <cfRule type="cellIs" dxfId="2" priority="47" operator="equal">
      <formula>11</formula>
    </cfRule>
  </conditionalFormatting>
  <conditionalFormatting sqref="AZ71:AZ81">
    <cfRule type="cellIs" dxfId="2" priority="40" operator="equal">
      <formula>11</formula>
    </cfRule>
  </conditionalFormatting>
  <conditionalFormatting sqref="AZ83:AZ93">
    <cfRule type="cellIs" dxfId="2" priority="113" operator="equal">
      <formula>11</formula>
    </cfRule>
  </conditionalFormatting>
  <conditionalFormatting sqref="AZ95:AZ105">
    <cfRule type="cellIs" dxfId="2" priority="32" operator="equal">
      <formula>11</formula>
    </cfRule>
  </conditionalFormatting>
  <conditionalFormatting sqref="AZ107:AZ117">
    <cfRule type="cellIs" dxfId="2" priority="291" operator="equal">
      <formula>11</formula>
    </cfRule>
  </conditionalFormatting>
  <conditionalFormatting sqref="AZ119:AZ129">
    <cfRule type="cellIs" dxfId="2" priority="205" operator="equal">
      <formula>11</formula>
    </cfRule>
  </conditionalFormatting>
  <conditionalFormatting sqref="N11:AV130">
    <cfRule type="cellIs" dxfId="2" priority="9" operator="equal">
      <formula>11</formula>
    </cfRule>
  </conditionalFormatting>
  <conditionalFormatting sqref="AX11:AY18">
    <cfRule type="cellIs" dxfId="2" priority="69" operator="equal">
      <formula>11</formula>
    </cfRule>
  </conditionalFormatting>
  <conditionalFormatting sqref="AX23:AY30">
    <cfRule type="cellIs" dxfId="2" priority="255" operator="equal">
      <formula>11</formula>
    </cfRule>
  </conditionalFormatting>
  <conditionalFormatting sqref="AX35:AY42">
    <cfRule type="cellIs" dxfId="2" priority="60" operator="equal">
      <formula>11</formula>
    </cfRule>
  </conditionalFormatting>
  <conditionalFormatting sqref="AX47:AY54">
    <cfRule type="cellIs" dxfId="2" priority="53" operator="equal">
      <formula>11</formula>
    </cfRule>
  </conditionalFormatting>
  <conditionalFormatting sqref="AX59:AY66">
    <cfRule type="cellIs" dxfId="2" priority="46" operator="equal">
      <formula>11</formula>
    </cfRule>
  </conditionalFormatting>
  <conditionalFormatting sqref="AX71:AY78">
    <cfRule type="cellIs" dxfId="2" priority="39" operator="equal">
      <formula>11</formula>
    </cfRule>
  </conditionalFormatting>
  <conditionalFormatting sqref="AX83:AY90">
    <cfRule type="cellIs" dxfId="2" priority="112" operator="equal">
      <formula>11</formula>
    </cfRule>
  </conditionalFormatting>
  <conditionalFormatting sqref="AX95:AY102">
    <cfRule type="cellIs" dxfId="2" priority="31" operator="equal">
      <formula>11</formula>
    </cfRule>
  </conditionalFormatting>
  <conditionalFormatting sqref="AX107:AY114">
    <cfRule type="cellIs" dxfId="2" priority="290" operator="equal">
      <formula>11</formula>
    </cfRule>
  </conditionalFormatting>
  <conditionalFormatting sqref="AX119:AY126">
    <cfRule type="cellIs" dxfId="2" priority="204" operator="equal">
      <formula>11</formula>
    </cfRule>
  </conditionalFormatting>
  <dataValidations count="3">
    <dataValidation type="list" allowBlank="1" showInputMessage="1" showErrorMessage="1" sqref="Q131">
      <formula1>$R$119:$R$119</formula1>
    </dataValidation>
    <dataValidation type="list" allowBlank="1" showInputMessage="1" showErrorMessage="1" sqref="U131:Y131">
      <formula1>$R$136:$R$142</formula1>
    </dataValidation>
    <dataValidation type="list" allowBlank="1" showInputMessage="1" showErrorMessage="1" sqref="R137:R141 Y135:Y141">
      <formula1>#REF!</formula1>
    </dataValidation>
  </dataValidations>
  <pageMargins left="0.236220472440945" right="0.236220472440945" top="0.15748031496063" bottom="0.354330708661417" header="0.31496062992126" footer="0.31496062992126"/>
  <pageSetup paperSize="3" scale="10" fitToWidth="0" fitToHeight="0" orientation="landscape"/>
  <headerFooter>
    <oddFooter>&amp;L&amp;"Gill Sans MT,Bold"&amp;KFF0000CONFIDENTIAL. FOR INTERNAL USE ONLY.&amp;R&amp;"-,Bold"&amp;D&amp;T</oddFooter>
  </headerFooter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theme="7" tint="0.799981688894314"/>
  </sheetPr>
  <dimension ref="A1:K1048576"/>
  <sheetViews>
    <sheetView topLeftCell="A21" workbookViewId="0">
      <selection activeCell="D55" sqref="D55"/>
    </sheetView>
  </sheetViews>
  <sheetFormatPr defaultColWidth="9.13888888888889" defaultRowHeight="17.4"/>
  <cols>
    <col min="1" max="1" width="7.85185185185185" style="54" customWidth="1"/>
    <col min="2" max="2" width="41" style="54" customWidth="1"/>
    <col min="3" max="4" width="16.287037037037" style="54" customWidth="1"/>
    <col min="5" max="5" width="47.4259259259259" style="54" customWidth="1"/>
    <col min="6" max="6" width="7.71296296296296" style="55" customWidth="1"/>
    <col min="7" max="7" width="19.8518518518519" style="54" customWidth="1"/>
    <col min="8" max="10" width="28.4259259259259" style="54" customWidth="1"/>
    <col min="11" max="11" width="53" style="54" customWidth="1"/>
    <col min="12" max="16384" width="9.13888888888889" style="54"/>
  </cols>
  <sheetData>
    <row r="1" spans="1:11">
      <c r="A1" s="56" t="s">
        <v>82</v>
      </c>
      <c r="B1" s="56" t="s">
        <v>83</v>
      </c>
      <c r="C1" s="56" t="s">
        <v>84</v>
      </c>
      <c r="D1" s="56" t="s">
        <v>85</v>
      </c>
      <c r="E1" s="56" t="s">
        <v>86</v>
      </c>
      <c r="G1" s="56" t="s">
        <v>87</v>
      </c>
      <c r="H1" s="56" t="s">
        <v>88</v>
      </c>
      <c r="I1" s="56" t="s">
        <v>89</v>
      </c>
      <c r="J1" s="56" t="s">
        <v>85</v>
      </c>
      <c r="K1" s="56" t="s">
        <v>90</v>
      </c>
    </row>
    <row r="2" ht="14.4" spans="1:11">
      <c r="A2" s="57">
        <v>1</v>
      </c>
      <c r="B2" s="57" t="s">
        <v>91</v>
      </c>
      <c r="C2" s="57" t="s">
        <v>92</v>
      </c>
      <c r="D2" s="57"/>
      <c r="E2" s="57"/>
      <c r="G2" s="57">
        <v>1</v>
      </c>
      <c r="H2" s="57" t="s">
        <v>93</v>
      </c>
      <c r="I2" s="57" t="s">
        <v>94</v>
      </c>
      <c r="J2" s="57"/>
      <c r="K2" s="57" t="s">
        <v>95</v>
      </c>
    </row>
    <row r="3" ht="14.4" spans="1:11">
      <c r="A3" s="57">
        <v>2</v>
      </c>
      <c r="B3" s="57" t="s">
        <v>96</v>
      </c>
      <c r="C3" s="57" t="s">
        <v>94</v>
      </c>
      <c r="D3" s="57"/>
      <c r="E3" s="57"/>
      <c r="G3" s="57">
        <v>2</v>
      </c>
      <c r="H3" s="57" t="s">
        <v>97</v>
      </c>
      <c r="I3" s="57" t="s">
        <v>98</v>
      </c>
      <c r="J3" s="57"/>
      <c r="K3" s="57" t="s">
        <v>95</v>
      </c>
    </row>
    <row r="4" ht="14.4" spans="1:11">
      <c r="A4" s="57">
        <v>3</v>
      </c>
      <c r="B4" s="57" t="s">
        <v>99</v>
      </c>
      <c r="C4" s="57" t="s">
        <v>92</v>
      </c>
      <c r="D4" s="57"/>
      <c r="E4" s="57"/>
      <c r="G4" s="57">
        <v>3</v>
      </c>
      <c r="H4" s="57" t="s">
        <v>100</v>
      </c>
      <c r="I4" s="57" t="s">
        <v>98</v>
      </c>
      <c r="J4" s="57"/>
      <c r="K4" s="57" t="s">
        <v>95</v>
      </c>
    </row>
    <row r="5" ht="14.4" spans="1:11">
      <c r="A5" s="57">
        <v>4</v>
      </c>
      <c r="B5" s="57" t="s">
        <v>101</v>
      </c>
      <c r="C5" s="57" t="s">
        <v>98</v>
      </c>
      <c r="D5" s="57"/>
      <c r="E5" s="57"/>
      <c r="G5" s="57">
        <v>4</v>
      </c>
      <c r="H5" s="57" t="s">
        <v>102</v>
      </c>
      <c r="I5" s="57" t="s">
        <v>92</v>
      </c>
      <c r="J5" s="57"/>
      <c r="K5" s="57" t="s">
        <v>95</v>
      </c>
    </row>
    <row r="6" ht="14.4" spans="1:11">
      <c r="A6" s="57">
        <v>5</v>
      </c>
      <c r="B6" s="57" t="s">
        <v>103</v>
      </c>
      <c r="C6" s="57" t="s">
        <v>98</v>
      </c>
      <c r="D6" s="57"/>
      <c r="E6" s="57"/>
      <c r="G6" s="57">
        <v>5</v>
      </c>
      <c r="H6" s="57" t="s">
        <v>104</v>
      </c>
      <c r="I6" s="57" t="s">
        <v>98</v>
      </c>
      <c r="J6" s="57"/>
      <c r="K6" s="57" t="s">
        <v>95</v>
      </c>
    </row>
    <row r="7" ht="14.4" spans="1:11">
      <c r="A7" s="57">
        <v>6</v>
      </c>
      <c r="B7" s="57" t="s">
        <v>105</v>
      </c>
      <c r="C7" s="57" t="s">
        <v>98</v>
      </c>
      <c r="D7" s="57"/>
      <c r="E7" s="57"/>
      <c r="G7" s="57">
        <v>6</v>
      </c>
      <c r="H7" s="57" t="s">
        <v>106</v>
      </c>
      <c r="I7" s="57" t="s">
        <v>98</v>
      </c>
      <c r="J7" s="57"/>
      <c r="K7" s="57" t="s">
        <v>107</v>
      </c>
    </row>
    <row r="8" ht="14.4" spans="1:11">
      <c r="A8" s="57">
        <v>7</v>
      </c>
      <c r="B8" s="57" t="s">
        <v>108</v>
      </c>
      <c r="C8" s="57" t="s">
        <v>94</v>
      </c>
      <c r="D8" s="57"/>
      <c r="E8" s="57"/>
      <c r="G8" s="57"/>
      <c r="H8" s="57"/>
      <c r="I8" s="57"/>
      <c r="J8" s="57"/>
      <c r="K8" s="57"/>
    </row>
    <row r="9" ht="14.4" spans="1:11">
      <c r="A9" s="57">
        <v>8</v>
      </c>
      <c r="B9" s="57" t="s">
        <v>109</v>
      </c>
      <c r="C9" s="57" t="s">
        <v>92</v>
      </c>
      <c r="D9" s="57"/>
      <c r="E9" s="57"/>
      <c r="G9" s="57"/>
      <c r="H9" s="57"/>
      <c r="I9" s="57"/>
      <c r="J9" s="57"/>
      <c r="K9" s="57"/>
    </row>
    <row r="10" ht="14.4" spans="1:11">
      <c r="A10" s="57">
        <v>9</v>
      </c>
      <c r="B10" s="57" t="s">
        <v>110</v>
      </c>
      <c r="C10" s="57" t="s">
        <v>94</v>
      </c>
      <c r="D10" s="57"/>
      <c r="E10" s="57"/>
      <c r="G10" s="57"/>
      <c r="H10" s="57"/>
      <c r="I10" s="57"/>
      <c r="J10" s="57"/>
      <c r="K10" s="57"/>
    </row>
    <row r="11" ht="14.4" spans="1:11">
      <c r="A11" s="57">
        <v>10</v>
      </c>
      <c r="B11" s="57" t="s">
        <v>111</v>
      </c>
      <c r="C11" s="57" t="s">
        <v>92</v>
      </c>
      <c r="D11" s="57"/>
      <c r="E11" s="57"/>
      <c r="G11" s="57"/>
      <c r="H11" s="57"/>
      <c r="I11" s="57"/>
      <c r="J11" s="57"/>
      <c r="K11" s="57"/>
    </row>
    <row r="12" ht="14.4" spans="1:11">
      <c r="A12" s="57">
        <v>11</v>
      </c>
      <c r="B12" s="57" t="s">
        <v>112</v>
      </c>
      <c r="C12" s="57" t="s">
        <v>92</v>
      </c>
      <c r="D12" s="57"/>
      <c r="E12" s="57"/>
      <c r="G12" s="57"/>
      <c r="H12" s="57" t="s">
        <v>1</v>
      </c>
      <c r="I12" s="57"/>
      <c r="J12" s="57"/>
      <c r="K12" s="57"/>
    </row>
    <row r="13" ht="14.4" spans="1:11">
      <c r="A13" s="57">
        <v>12</v>
      </c>
      <c r="B13" s="57" t="s">
        <v>113</v>
      </c>
      <c r="C13" s="57" t="s">
        <v>98</v>
      </c>
      <c r="D13" s="57"/>
      <c r="E13" s="57"/>
      <c r="G13" s="57"/>
      <c r="H13" s="57"/>
      <c r="I13" s="57"/>
      <c r="J13" s="57"/>
      <c r="K13" s="57"/>
    </row>
    <row r="14" ht="14.4" spans="1:11">
      <c r="A14" s="57">
        <v>13</v>
      </c>
      <c r="B14" s="57" t="s">
        <v>114</v>
      </c>
      <c r="C14" s="57" t="s">
        <v>92</v>
      </c>
      <c r="D14" s="57"/>
      <c r="E14" s="57"/>
      <c r="G14" s="57"/>
      <c r="H14" s="57"/>
      <c r="I14" s="57"/>
      <c r="J14" s="57"/>
      <c r="K14" s="57"/>
    </row>
    <row r="15" ht="14.4" spans="1:11">
      <c r="A15" s="57">
        <v>14</v>
      </c>
      <c r="B15" s="57" t="s">
        <v>115</v>
      </c>
      <c r="C15" s="57" t="s">
        <v>92</v>
      </c>
      <c r="D15" s="57"/>
      <c r="E15" s="57"/>
      <c r="G15" s="57"/>
      <c r="H15" s="57"/>
      <c r="I15" s="57"/>
      <c r="J15" s="57"/>
      <c r="K15" s="57"/>
    </row>
    <row r="16" ht="14.4" spans="1:11">
      <c r="A16" s="57">
        <v>15</v>
      </c>
      <c r="B16" s="57" t="s">
        <v>116</v>
      </c>
      <c r="C16" s="57" t="s">
        <v>92</v>
      </c>
      <c r="D16" s="57"/>
      <c r="E16" s="57"/>
      <c r="G16" s="57"/>
      <c r="H16" s="57"/>
      <c r="I16" s="57"/>
      <c r="J16" s="57"/>
      <c r="K16" s="57"/>
    </row>
    <row r="17" ht="14.4" spans="1:11">
      <c r="A17" s="57">
        <v>16</v>
      </c>
      <c r="B17" s="57" t="s">
        <v>117</v>
      </c>
      <c r="C17" s="57" t="s">
        <v>92</v>
      </c>
      <c r="D17" s="57"/>
      <c r="E17" s="57"/>
      <c r="G17" s="57"/>
      <c r="H17" s="57"/>
      <c r="I17" s="57"/>
      <c r="J17" s="57"/>
      <c r="K17" s="57"/>
    </row>
    <row r="18" ht="14.4" spans="1:11">
      <c r="A18" s="57">
        <v>17</v>
      </c>
      <c r="B18" s="57" t="s">
        <v>118</v>
      </c>
      <c r="C18" s="57" t="s">
        <v>92</v>
      </c>
      <c r="D18" s="57"/>
      <c r="E18" s="57"/>
      <c r="G18" s="57"/>
      <c r="H18" s="57"/>
      <c r="I18" s="57"/>
      <c r="J18" s="57"/>
      <c r="K18" s="57"/>
    </row>
    <row r="19" ht="14.4" spans="1:11">
      <c r="A19" s="57">
        <v>18</v>
      </c>
      <c r="B19" s="57" t="s">
        <v>119</v>
      </c>
      <c r="C19" s="57"/>
      <c r="D19" s="57"/>
      <c r="E19" s="57"/>
      <c r="G19" s="57"/>
      <c r="H19" s="57"/>
      <c r="I19" s="57"/>
      <c r="J19" s="57"/>
      <c r="K19" s="57"/>
    </row>
    <row r="20" ht="14.4" spans="1:11">
      <c r="A20" s="57">
        <v>19</v>
      </c>
      <c r="B20" s="57" t="s">
        <v>120</v>
      </c>
      <c r="C20" s="57"/>
      <c r="D20" s="57"/>
      <c r="E20" s="57"/>
      <c r="G20" s="57"/>
      <c r="H20" s="57"/>
      <c r="I20" s="57"/>
      <c r="J20" s="57"/>
      <c r="K20" s="57"/>
    </row>
    <row r="21" ht="14.4" spans="1:11">
      <c r="A21" s="57">
        <v>20</v>
      </c>
      <c r="B21" s="57" t="s">
        <v>121</v>
      </c>
      <c r="C21" s="57"/>
      <c r="D21" s="57"/>
      <c r="E21" s="57"/>
      <c r="G21" s="57"/>
      <c r="H21" s="57"/>
      <c r="I21" s="57"/>
      <c r="J21" s="57"/>
      <c r="K21" s="57"/>
    </row>
    <row r="22" ht="14.4" spans="1:11">
      <c r="A22" s="57">
        <v>21</v>
      </c>
      <c r="B22" s="57" t="s">
        <v>122</v>
      </c>
      <c r="C22" s="57"/>
      <c r="D22" s="57"/>
      <c r="E22" s="57"/>
      <c r="G22" s="57"/>
      <c r="H22" s="57"/>
      <c r="I22" s="57"/>
      <c r="J22" s="57"/>
      <c r="K22" s="57"/>
    </row>
    <row r="23" ht="14.4" spans="1:11">
      <c r="A23" s="57">
        <v>22</v>
      </c>
      <c r="B23" s="57" t="s">
        <v>123</v>
      </c>
      <c r="C23" s="57"/>
      <c r="D23" s="57"/>
      <c r="E23" s="57"/>
      <c r="G23" s="57"/>
      <c r="H23" s="57"/>
      <c r="I23" s="57"/>
      <c r="J23" s="57"/>
      <c r="K23" s="57"/>
    </row>
    <row r="24" ht="14.4" spans="1:11">
      <c r="A24" s="57">
        <v>23</v>
      </c>
      <c r="B24" s="57" t="s">
        <v>124</v>
      </c>
      <c r="C24" s="57"/>
      <c r="D24" s="57"/>
      <c r="E24" s="57"/>
      <c r="G24" s="57"/>
      <c r="H24" s="57"/>
      <c r="I24" s="57"/>
      <c r="J24" s="57"/>
      <c r="K24" s="57"/>
    </row>
    <row r="25" ht="14.4" spans="1:11">
      <c r="A25" s="57">
        <v>24</v>
      </c>
      <c r="B25" s="57" t="s">
        <v>125</v>
      </c>
      <c r="C25" s="57"/>
      <c r="D25" s="57"/>
      <c r="E25" s="57"/>
      <c r="G25" s="57"/>
      <c r="H25" s="57"/>
      <c r="I25" s="57"/>
      <c r="J25" s="57"/>
      <c r="K25" s="57"/>
    </row>
    <row r="26" ht="14.4" spans="1:11">
      <c r="A26" s="57">
        <v>25</v>
      </c>
      <c r="B26" s="57" t="s">
        <v>126</v>
      </c>
      <c r="C26" s="57"/>
      <c r="D26" s="57"/>
      <c r="E26" s="57"/>
      <c r="G26" s="57"/>
      <c r="H26" s="57"/>
      <c r="I26" s="57"/>
      <c r="J26" s="57"/>
      <c r="K26" s="57"/>
    </row>
    <row r="27" ht="14.4" spans="1:11">
      <c r="A27" s="57">
        <v>26</v>
      </c>
      <c r="B27" s="57" t="s">
        <v>127</v>
      </c>
      <c r="C27" s="57"/>
      <c r="D27" s="57"/>
      <c r="E27" s="57"/>
      <c r="G27" s="57"/>
      <c r="H27" s="57"/>
      <c r="I27" s="57"/>
      <c r="J27" s="57"/>
      <c r="K27" s="57"/>
    </row>
    <row r="28" ht="14.4" spans="1:11">
      <c r="A28" s="57">
        <v>27</v>
      </c>
      <c r="B28" s="57" t="s">
        <v>128</v>
      </c>
      <c r="C28" s="57"/>
      <c r="D28" s="57"/>
      <c r="E28" s="57"/>
      <c r="G28" s="57"/>
      <c r="H28" s="57"/>
      <c r="I28" s="57"/>
      <c r="J28" s="57"/>
      <c r="K28" s="57"/>
    </row>
    <row r="29" ht="14.4" spans="1:11">
      <c r="A29" s="57">
        <v>28</v>
      </c>
      <c r="B29" s="57" t="s">
        <v>129</v>
      </c>
      <c r="C29" s="57"/>
      <c r="D29" s="57"/>
      <c r="E29" s="57"/>
      <c r="G29" s="57"/>
      <c r="H29" s="57"/>
      <c r="I29" s="57"/>
      <c r="J29" s="57"/>
      <c r="K29" s="57"/>
    </row>
    <row r="30" ht="14.4" spans="1:11">
      <c r="A30" s="57">
        <v>29</v>
      </c>
      <c r="B30" s="57" t="s">
        <v>130</v>
      </c>
      <c r="C30" s="57"/>
      <c r="D30" s="57"/>
      <c r="E30" s="57"/>
      <c r="G30" s="57"/>
      <c r="H30" s="57"/>
      <c r="I30" s="57"/>
      <c r="J30" s="57"/>
      <c r="K30" s="57"/>
    </row>
    <row r="31" ht="14.4" spans="1:11">
      <c r="A31" s="57">
        <v>30</v>
      </c>
      <c r="B31" s="57" t="s">
        <v>93</v>
      </c>
      <c r="C31" s="57"/>
      <c r="D31" s="57"/>
      <c r="E31" s="57"/>
      <c r="G31" s="57"/>
      <c r="H31" s="57"/>
      <c r="I31" s="57"/>
      <c r="J31" s="57"/>
      <c r="K31" s="57"/>
    </row>
    <row r="32" ht="14.4" spans="1:11">
      <c r="A32" s="57">
        <v>31</v>
      </c>
      <c r="B32" s="57" t="s">
        <v>131</v>
      </c>
      <c r="C32" s="57"/>
      <c r="D32" s="57"/>
      <c r="E32" s="57"/>
      <c r="G32" s="57"/>
      <c r="H32" s="57"/>
      <c r="I32" s="57"/>
      <c r="J32" s="57"/>
      <c r="K32" s="57"/>
    </row>
    <row r="33" ht="14.4" spans="1:11">
      <c r="A33" s="57">
        <v>32</v>
      </c>
      <c r="B33" s="57" t="s">
        <v>132</v>
      </c>
      <c r="C33" s="57"/>
      <c r="D33" s="57"/>
      <c r="E33" s="57"/>
      <c r="G33" s="57"/>
      <c r="H33" s="57"/>
      <c r="I33" s="57"/>
      <c r="J33" s="57"/>
      <c r="K33" s="57"/>
    </row>
    <row r="34" ht="14.4" spans="1:11">
      <c r="A34" s="57">
        <v>33</v>
      </c>
      <c r="B34" s="57" t="s">
        <v>133</v>
      </c>
      <c r="C34" s="57"/>
      <c r="D34" s="57"/>
      <c r="E34" s="57"/>
      <c r="G34" s="57"/>
      <c r="H34" s="57"/>
      <c r="I34" s="57"/>
      <c r="J34" s="57"/>
      <c r="K34" s="57"/>
    </row>
    <row r="35" ht="14.4" spans="1:11">
      <c r="A35" s="57">
        <v>34</v>
      </c>
      <c r="B35" s="57" t="s">
        <v>134</v>
      </c>
      <c r="C35" s="57"/>
      <c r="D35" s="57"/>
      <c r="E35" s="57"/>
      <c r="G35" s="57"/>
      <c r="H35" s="57"/>
      <c r="I35" s="57"/>
      <c r="J35" s="57"/>
      <c r="K35" s="57"/>
    </row>
    <row r="36" ht="14.4" spans="1:11">
      <c r="A36" s="57">
        <v>35</v>
      </c>
      <c r="B36" s="57" t="s">
        <v>135</v>
      </c>
      <c r="C36" s="57"/>
      <c r="D36" s="57"/>
      <c r="E36" s="57"/>
      <c r="G36" s="57"/>
      <c r="H36" s="57"/>
      <c r="I36" s="57"/>
      <c r="J36" s="57"/>
      <c r="K36" s="57"/>
    </row>
    <row r="37" ht="14.4" spans="1:11">
      <c r="A37" s="57">
        <v>36</v>
      </c>
      <c r="B37" s="57" t="s">
        <v>136</v>
      </c>
      <c r="C37" s="57"/>
      <c r="D37" s="57"/>
      <c r="E37" s="57"/>
      <c r="G37" s="57"/>
      <c r="H37" s="57"/>
      <c r="I37" s="57"/>
      <c r="J37" s="57"/>
      <c r="K37" s="57"/>
    </row>
    <row r="38" ht="14.4" spans="1:11">
      <c r="A38" s="57">
        <v>37</v>
      </c>
      <c r="B38" s="57" t="s">
        <v>137</v>
      </c>
      <c r="C38" s="57"/>
      <c r="D38" s="57"/>
      <c r="E38" s="57"/>
      <c r="G38" s="57"/>
      <c r="H38" s="57"/>
      <c r="I38" s="57"/>
      <c r="J38" s="57"/>
      <c r="K38" s="57"/>
    </row>
    <row r="39" ht="14.4" spans="1:11">
      <c r="A39" s="57">
        <v>38</v>
      </c>
      <c r="B39" s="57" t="s">
        <v>138</v>
      </c>
      <c r="C39" s="57"/>
      <c r="D39" s="57"/>
      <c r="E39" s="57"/>
      <c r="G39" s="57"/>
      <c r="H39" s="57"/>
      <c r="I39" s="57"/>
      <c r="J39" s="57"/>
      <c r="K39" s="57"/>
    </row>
    <row r="40" ht="14.4" spans="1:11">
      <c r="A40" s="57">
        <v>39</v>
      </c>
      <c r="B40" s="57" t="s">
        <v>139</v>
      </c>
      <c r="C40" s="57"/>
      <c r="D40" s="57"/>
      <c r="E40" s="57"/>
      <c r="G40" s="57"/>
      <c r="H40" s="57"/>
      <c r="I40" s="57"/>
      <c r="J40" s="57"/>
      <c r="K40" s="57"/>
    </row>
    <row r="41" ht="14.4" spans="1:11">
      <c r="A41" s="57">
        <v>40</v>
      </c>
      <c r="B41" s="57" t="s">
        <v>140</v>
      </c>
      <c r="C41" s="57"/>
      <c r="D41" s="57"/>
      <c r="E41" s="57"/>
      <c r="G41" s="57"/>
      <c r="H41" s="57"/>
      <c r="I41" s="57"/>
      <c r="J41" s="57"/>
      <c r="K41" s="57"/>
    </row>
    <row r="42" ht="14.4" spans="1:11">
      <c r="A42" s="57">
        <v>41</v>
      </c>
      <c r="B42" s="57" t="s">
        <v>141</v>
      </c>
      <c r="C42" s="57"/>
      <c r="D42" s="57"/>
      <c r="E42" s="57"/>
      <c r="G42" s="57"/>
      <c r="H42" s="57"/>
      <c r="I42" s="57"/>
      <c r="J42" s="57"/>
      <c r="K42" s="57"/>
    </row>
    <row r="43" ht="14.4" spans="1:11">
      <c r="A43" s="57">
        <v>42</v>
      </c>
      <c r="B43" s="57" t="s">
        <v>142</v>
      </c>
      <c r="C43" s="57"/>
      <c r="D43" s="57"/>
      <c r="E43" s="57"/>
      <c r="G43" s="57"/>
      <c r="H43" s="57"/>
      <c r="I43" s="57"/>
      <c r="J43" s="57"/>
      <c r="K43" s="57"/>
    </row>
    <row r="44" ht="14.4" spans="1:11">
      <c r="A44" s="57">
        <v>43</v>
      </c>
      <c r="B44" s="57" t="s">
        <v>143</v>
      </c>
      <c r="C44" s="57"/>
      <c r="D44" s="57"/>
      <c r="E44" s="57"/>
      <c r="G44" s="57"/>
      <c r="H44" s="57"/>
      <c r="I44" s="57"/>
      <c r="J44" s="57"/>
      <c r="K44" s="57"/>
    </row>
    <row r="45" ht="14.4" spans="1:11">
      <c r="A45" s="57">
        <v>44</v>
      </c>
      <c r="B45" s="57" t="s">
        <v>144</v>
      </c>
      <c r="C45" s="57"/>
      <c r="D45" s="57"/>
      <c r="E45" s="57"/>
      <c r="G45" s="57"/>
      <c r="H45" s="57"/>
      <c r="I45" s="57"/>
      <c r="J45" s="57"/>
      <c r="K45" s="57"/>
    </row>
    <row r="46" ht="14.4" spans="1:11">
      <c r="A46" s="57">
        <v>45</v>
      </c>
      <c r="B46" s="57" t="s">
        <v>145</v>
      </c>
      <c r="C46" s="57"/>
      <c r="D46" s="57"/>
      <c r="E46" s="57"/>
      <c r="G46" s="57"/>
      <c r="H46" s="57"/>
      <c r="I46" s="57"/>
      <c r="J46" s="57"/>
      <c r="K46" s="57"/>
    </row>
    <row r="47" ht="14.4" spans="1:11">
      <c r="A47" s="57">
        <v>46</v>
      </c>
      <c r="B47" s="57" t="s">
        <v>146</v>
      </c>
      <c r="C47" s="57"/>
      <c r="D47" s="57"/>
      <c r="E47" s="57"/>
      <c r="G47" s="57"/>
      <c r="H47" s="57"/>
      <c r="I47" s="57"/>
      <c r="J47" s="57"/>
      <c r="K47" s="57"/>
    </row>
    <row r="48" ht="14.4" spans="1:11">
      <c r="A48" s="57">
        <v>47</v>
      </c>
      <c r="B48" s="57" t="s">
        <v>147</v>
      </c>
      <c r="C48" s="57"/>
      <c r="D48" s="57"/>
      <c r="E48" s="57"/>
      <c r="G48" s="57"/>
      <c r="H48" s="57"/>
      <c r="I48" s="57"/>
      <c r="J48" s="57"/>
      <c r="K48" s="57"/>
    </row>
    <row r="49" ht="14.4" spans="1:11">
      <c r="A49" s="57">
        <v>48</v>
      </c>
      <c r="B49" s="57" t="s">
        <v>148</v>
      </c>
      <c r="C49" s="57"/>
      <c r="D49" s="57"/>
      <c r="E49" s="57"/>
      <c r="G49" s="57"/>
      <c r="H49" s="57"/>
      <c r="I49" s="57"/>
      <c r="J49" s="57"/>
      <c r="K49" s="57"/>
    </row>
    <row r="50" ht="14.4" spans="1:11">
      <c r="A50" s="57">
        <v>49</v>
      </c>
      <c r="B50" s="57" t="s">
        <v>149</v>
      </c>
      <c r="C50" s="57"/>
      <c r="D50" s="57"/>
      <c r="E50" s="57"/>
      <c r="G50" s="57"/>
      <c r="H50" s="57"/>
      <c r="I50" s="57"/>
      <c r="J50" s="57"/>
      <c r="K50" s="57"/>
    </row>
    <row r="51" ht="14.4" spans="1:11">
      <c r="A51" s="57">
        <v>50</v>
      </c>
      <c r="B51" s="57" t="s">
        <v>150</v>
      </c>
      <c r="C51" s="57"/>
      <c r="D51" s="57"/>
      <c r="E51" s="57"/>
      <c r="G51" s="57"/>
      <c r="H51" s="57"/>
      <c r="I51" s="57"/>
      <c r="J51" s="57"/>
      <c r="K51" s="57"/>
    </row>
    <row r="52" ht="14.4" spans="1:11">
      <c r="A52" s="57">
        <v>51</v>
      </c>
      <c r="B52" s="57" t="s">
        <v>151</v>
      </c>
      <c r="C52" s="57"/>
      <c r="D52" s="57"/>
      <c r="E52" s="57"/>
      <c r="G52" s="57"/>
      <c r="H52" s="57"/>
      <c r="I52" s="57"/>
      <c r="J52" s="57"/>
      <c r="K52" s="57"/>
    </row>
    <row r="53" ht="14.4" spans="1:11">
      <c r="A53" s="57">
        <v>52</v>
      </c>
      <c r="B53" s="57" t="s">
        <v>152</v>
      </c>
      <c r="C53" s="57"/>
      <c r="D53" s="57"/>
      <c r="E53" s="57"/>
      <c r="G53" s="57"/>
      <c r="H53" s="57"/>
      <c r="I53" s="57"/>
      <c r="J53" s="57"/>
      <c r="K53" s="57"/>
    </row>
    <row r="54" ht="14.4" spans="1:11">
      <c r="A54" s="57">
        <v>53</v>
      </c>
      <c r="B54" s="57" t="s">
        <v>153</v>
      </c>
      <c r="C54" s="57"/>
      <c r="D54" s="57"/>
      <c r="E54" s="57"/>
      <c r="G54" s="57"/>
      <c r="H54" s="57"/>
      <c r="I54" s="57"/>
      <c r="J54" s="57"/>
      <c r="K54" s="57"/>
    </row>
    <row r="55" ht="14.4" spans="1:11">
      <c r="A55" s="57">
        <v>54</v>
      </c>
      <c r="B55" s="57" t="s">
        <v>154</v>
      </c>
      <c r="C55" s="57"/>
      <c r="D55" s="57"/>
      <c r="E55" s="57"/>
      <c r="G55" s="57"/>
      <c r="H55" s="57"/>
      <c r="I55" s="57"/>
      <c r="J55" s="57"/>
      <c r="K55" s="57"/>
    </row>
    <row r="56" ht="14.4" spans="1:11">
      <c r="A56" s="57">
        <v>55</v>
      </c>
      <c r="B56" s="57" t="s">
        <v>155</v>
      </c>
      <c r="C56" s="57"/>
      <c r="D56" s="57"/>
      <c r="E56" s="57"/>
      <c r="G56" s="57"/>
      <c r="H56" s="57"/>
      <c r="I56" s="57"/>
      <c r="J56" s="57"/>
      <c r="K56" s="57"/>
    </row>
    <row r="57" ht="14.4" spans="1:11">
      <c r="A57" s="57">
        <v>56</v>
      </c>
      <c r="B57" s="57" t="s">
        <v>156</v>
      </c>
      <c r="C57" s="57"/>
      <c r="D57" s="57"/>
      <c r="E57" s="57"/>
      <c r="G57" s="57"/>
      <c r="H57" s="57"/>
      <c r="I57" s="57"/>
      <c r="J57" s="57"/>
      <c r="K57" s="57"/>
    </row>
    <row r="58" ht="14.4" spans="1:11">
      <c r="A58" s="57">
        <v>57</v>
      </c>
      <c r="B58" s="57" t="s">
        <v>157</v>
      </c>
      <c r="C58" s="57"/>
      <c r="D58" s="57"/>
      <c r="E58" s="57"/>
      <c r="G58" s="57"/>
      <c r="H58" s="57"/>
      <c r="I58" s="57"/>
      <c r="J58" s="57"/>
      <c r="K58" s="57"/>
    </row>
    <row r="59" ht="14.4" spans="1:11">
      <c r="A59" s="57">
        <v>58</v>
      </c>
      <c r="B59" s="57" t="s">
        <v>158</v>
      </c>
      <c r="C59" s="57"/>
      <c r="D59" s="57"/>
      <c r="E59" s="57"/>
      <c r="G59" s="57"/>
      <c r="H59" s="57"/>
      <c r="I59" s="57"/>
      <c r="J59" s="57"/>
      <c r="K59" s="57"/>
    </row>
    <row r="60" ht="14.4" spans="1:11">
      <c r="A60" s="57">
        <v>59</v>
      </c>
      <c r="B60" s="57" t="s">
        <v>159</v>
      </c>
      <c r="C60" s="57"/>
      <c r="D60" s="57"/>
      <c r="E60" s="57"/>
      <c r="G60" s="57"/>
      <c r="H60" s="57"/>
      <c r="I60" s="57"/>
      <c r="J60" s="57"/>
      <c r="K60" s="57"/>
    </row>
    <row r="61" ht="14.4" spans="1:11">
      <c r="A61" s="57">
        <v>60</v>
      </c>
      <c r="B61" s="57" t="s">
        <v>160</v>
      </c>
      <c r="C61" s="57"/>
      <c r="D61" s="57"/>
      <c r="E61" s="57"/>
      <c r="G61" s="57"/>
      <c r="H61" s="57"/>
      <c r="I61" s="57"/>
      <c r="J61" s="57"/>
      <c r="K61" s="57"/>
    </row>
    <row r="62" ht="14.4" spans="1:11">
      <c r="A62" s="57">
        <v>61</v>
      </c>
      <c r="B62" s="57" t="s">
        <v>161</v>
      </c>
      <c r="C62" s="57"/>
      <c r="D62" s="57"/>
      <c r="E62" s="57"/>
      <c r="G62" s="57"/>
      <c r="H62" s="57"/>
      <c r="I62" s="57"/>
      <c r="J62" s="57"/>
      <c r="K62" s="57"/>
    </row>
    <row r="63" ht="14.4" spans="1:11">
      <c r="A63" s="57">
        <v>62</v>
      </c>
      <c r="B63" s="57" t="s">
        <v>162</v>
      </c>
      <c r="C63" s="57"/>
      <c r="D63" s="57"/>
      <c r="E63" s="57"/>
      <c r="G63" s="57"/>
      <c r="H63" s="57"/>
      <c r="I63" s="57"/>
      <c r="J63" s="57"/>
      <c r="K63" s="57"/>
    </row>
    <row r="64" ht="14.4" spans="1:11">
      <c r="A64" s="57">
        <v>63</v>
      </c>
      <c r="B64" s="57" t="s">
        <v>163</v>
      </c>
      <c r="C64" s="57"/>
      <c r="D64" s="57"/>
      <c r="E64" s="57"/>
      <c r="G64" s="57"/>
      <c r="H64" s="57"/>
      <c r="I64" s="57"/>
      <c r="J64" s="57"/>
      <c r="K64" s="57"/>
    </row>
    <row r="65" ht="14.4" spans="1:11">
      <c r="A65" s="57">
        <v>64</v>
      </c>
      <c r="B65" s="57" t="s">
        <v>164</v>
      </c>
      <c r="C65" s="57"/>
      <c r="D65" s="57"/>
      <c r="E65" s="57"/>
      <c r="G65" s="57"/>
      <c r="H65" s="57"/>
      <c r="I65" s="57"/>
      <c r="J65" s="57"/>
      <c r="K65" s="57"/>
    </row>
    <row r="66" ht="14.4" spans="1:11">
      <c r="A66" s="57">
        <v>65</v>
      </c>
      <c r="B66" s="57" t="s">
        <v>165</v>
      </c>
      <c r="C66" s="57"/>
      <c r="D66" s="57"/>
      <c r="E66" s="57"/>
      <c r="G66" s="57"/>
      <c r="H66" s="57"/>
      <c r="I66" s="57"/>
      <c r="J66" s="57"/>
      <c r="K66" s="57"/>
    </row>
    <row r="67" ht="14.4" spans="1:11">
      <c r="A67" s="57">
        <v>66</v>
      </c>
      <c r="B67" s="57" t="s">
        <v>166</v>
      </c>
      <c r="C67" s="57"/>
      <c r="D67" s="57"/>
      <c r="E67" s="57"/>
      <c r="G67" s="57"/>
      <c r="H67" s="57"/>
      <c r="I67" s="57"/>
      <c r="J67" s="57"/>
      <c r="K67" s="57"/>
    </row>
    <row r="68" ht="14.4" spans="1:11">
      <c r="A68" s="57">
        <v>67</v>
      </c>
      <c r="B68" s="57" t="s">
        <v>167</v>
      </c>
      <c r="C68" s="57"/>
      <c r="D68" s="57"/>
      <c r="E68" s="57"/>
      <c r="G68" s="57"/>
      <c r="H68" s="57"/>
      <c r="I68" s="57"/>
      <c r="J68" s="57"/>
      <c r="K68" s="57"/>
    </row>
    <row r="69" ht="14.4" spans="1:11">
      <c r="A69" s="57">
        <v>68</v>
      </c>
      <c r="B69" s="57" t="s">
        <v>168</v>
      </c>
      <c r="C69" s="57"/>
      <c r="D69" s="57"/>
      <c r="E69" s="57"/>
      <c r="G69" s="57"/>
      <c r="H69" s="57"/>
      <c r="I69" s="57"/>
      <c r="J69" s="57"/>
      <c r="K69" s="57"/>
    </row>
    <row r="70" ht="14.4" spans="1:11">
      <c r="A70" s="57">
        <v>69</v>
      </c>
      <c r="B70" s="57" t="s">
        <v>169</v>
      </c>
      <c r="C70" s="57"/>
      <c r="D70" s="57"/>
      <c r="E70" s="57"/>
      <c r="G70" s="57"/>
      <c r="H70" s="57"/>
      <c r="I70" s="57"/>
      <c r="J70" s="57"/>
      <c r="K70" s="57"/>
    </row>
    <row r="71" ht="14.4" spans="1:11">
      <c r="A71" s="57">
        <v>70</v>
      </c>
      <c r="B71" s="57" t="s">
        <v>170</v>
      </c>
      <c r="C71" s="57"/>
      <c r="D71" s="57"/>
      <c r="E71" s="57"/>
      <c r="G71" s="57"/>
      <c r="H71" s="57"/>
      <c r="I71" s="57"/>
      <c r="J71" s="57"/>
      <c r="K71" s="57"/>
    </row>
    <row r="72" spans="1:11">
      <c r="A72" s="57">
        <v>71</v>
      </c>
      <c r="B72" s="58" t="s">
        <v>102</v>
      </c>
      <c r="C72" s="54" t="s">
        <v>92</v>
      </c>
    </row>
    <row r="73" spans="1:11">
      <c r="A73" s="57">
        <v>72</v>
      </c>
      <c r="B73" s="58" t="s">
        <v>171</v>
      </c>
      <c r="C73" s="54" t="s">
        <v>94</v>
      </c>
    </row>
    <row r="74" spans="1:11">
      <c r="A74" s="57">
        <v>73</v>
      </c>
      <c r="B74" s="58" t="s">
        <v>172</v>
      </c>
      <c r="C74" s="54" t="s">
        <v>92</v>
      </c>
    </row>
  </sheetData>
  <mergeCells count="1">
    <mergeCell ref="F1:F1048576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1E7"/>
  </sheetPr>
  <dimension ref="A1:AR602"/>
  <sheetViews>
    <sheetView zoomScale="25" zoomScaleNormal="25" zoomScaleSheetLayoutView="10" workbookViewId="0">
      <pane xSplit="2" ySplit="2" topLeftCell="C28" activePane="bottomRight" state="frozen"/>
      <selection/>
      <selection pane="topRight"/>
      <selection pane="bottomLeft"/>
      <selection pane="bottomRight" activeCell="E46" sqref="E46"/>
    </sheetView>
  </sheetViews>
  <sheetFormatPr defaultColWidth="9" defaultRowHeight="14.4"/>
  <cols>
    <col min="1" max="1" width="43" customWidth="1"/>
    <col min="2" max="2" width="69.287037037037" customWidth="1"/>
    <col min="3" max="17" width="30.8518518518519" customWidth="1"/>
    <col min="18" max="18" width="5.13888888888889" customWidth="1"/>
    <col min="19" max="23" width="30.8518518518519" customWidth="1"/>
    <col min="24" max="24" width="4.42592592592593" customWidth="1"/>
    <col min="25" max="44" width="30.8518518518519" customWidth="1"/>
  </cols>
  <sheetData>
    <row r="1" ht="92.25" customHeight="1" spans="1:44">
      <c r="A1" s="1" t="s">
        <v>173</v>
      </c>
      <c r="B1" s="2"/>
      <c r="C1" s="3" t="s">
        <v>18</v>
      </c>
      <c r="D1" s="2"/>
      <c r="E1" s="2"/>
      <c r="F1" s="2"/>
      <c r="G1" s="4"/>
      <c r="H1" s="1" t="s">
        <v>19</v>
      </c>
      <c r="I1" s="2"/>
      <c r="J1" s="2"/>
      <c r="K1" s="2"/>
      <c r="L1" s="4"/>
      <c r="M1" s="1" t="s">
        <v>20</v>
      </c>
      <c r="N1" s="2"/>
      <c r="O1" s="2"/>
      <c r="P1" s="2"/>
      <c r="Q1" s="2"/>
      <c r="R1" s="5"/>
      <c r="S1" s="2" t="s">
        <v>21</v>
      </c>
      <c r="T1" s="2"/>
      <c r="U1" s="2"/>
      <c r="V1" s="2"/>
      <c r="W1" s="4"/>
      <c r="X1" s="6"/>
      <c r="Y1" s="1" t="s">
        <v>22</v>
      </c>
      <c r="Z1" s="2"/>
      <c r="AA1" s="2"/>
      <c r="AB1" s="2"/>
      <c r="AC1" s="4"/>
      <c r="AD1" s="1" t="s">
        <v>174</v>
      </c>
      <c r="AE1" s="2"/>
      <c r="AF1" s="2"/>
      <c r="AG1" s="2"/>
      <c r="AH1" s="4"/>
      <c r="AI1" s="1" t="s">
        <v>23</v>
      </c>
      <c r="AJ1" s="2"/>
      <c r="AK1" s="2"/>
      <c r="AL1" s="2"/>
      <c r="AM1" s="4"/>
      <c r="AN1" s="1" t="s">
        <v>175</v>
      </c>
      <c r="AO1" s="2"/>
      <c r="AP1" s="2"/>
      <c r="AQ1" s="2"/>
      <c r="AR1" s="4"/>
    </row>
    <row r="2" ht="70.5" customHeight="1" spans="1:44">
      <c r="A2" s="7"/>
      <c r="B2" s="8"/>
      <c r="C2" s="9"/>
      <c r="D2" s="8"/>
      <c r="E2" s="8"/>
      <c r="F2" s="8"/>
      <c r="G2" s="10"/>
      <c r="H2" s="9"/>
      <c r="I2" s="8"/>
      <c r="J2" s="8"/>
      <c r="K2" s="8"/>
      <c r="L2" s="10"/>
      <c r="M2" s="9"/>
      <c r="N2" s="8"/>
      <c r="O2" s="8"/>
      <c r="P2" s="8"/>
      <c r="Q2" s="8"/>
      <c r="R2" s="11"/>
      <c r="S2" s="8"/>
      <c r="T2" s="8"/>
      <c r="U2" s="8"/>
      <c r="V2" s="8"/>
      <c r="W2" s="10"/>
      <c r="X2" s="6"/>
      <c r="Y2" s="9"/>
      <c r="Z2" s="8"/>
      <c r="AA2" s="8"/>
      <c r="AB2" s="8"/>
      <c r="AC2" s="10"/>
      <c r="AD2" s="9"/>
      <c r="AE2" s="8"/>
      <c r="AF2" s="8"/>
      <c r="AG2" s="8"/>
      <c r="AH2" s="10"/>
      <c r="AI2" s="9"/>
      <c r="AJ2" s="8"/>
      <c r="AK2" s="8"/>
      <c r="AL2" s="8"/>
      <c r="AM2" s="10"/>
      <c r="AN2" s="9"/>
      <c r="AO2" s="8"/>
      <c r="AP2" s="8"/>
      <c r="AQ2" s="8"/>
      <c r="AR2" s="10"/>
    </row>
    <row r="3" ht="46.5" customHeight="1" spans="1:44">
      <c r="A3" s="12" t="s">
        <v>35</v>
      </c>
      <c r="B3" s="13">
        <f ca="1">TODAY()+14</f>
        <v>46281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/>
      <c r="S3" s="18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/>
    </row>
    <row r="4" ht="46.5" customHeight="1" spans="1:44">
      <c r="A4" s="21" t="s">
        <v>37</v>
      </c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  <c r="T4" s="24"/>
      <c r="U4" s="24"/>
      <c r="V4" s="24"/>
      <c r="W4" s="24"/>
      <c r="X4" s="2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9"/>
    </row>
    <row r="5" ht="46.5" customHeight="1" spans="1:44">
      <c r="A5" s="21" t="s">
        <v>38</v>
      </c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  <c r="T5" s="24"/>
      <c r="U5" s="24"/>
      <c r="V5" s="24"/>
      <c r="W5" s="24"/>
      <c r="X5" s="28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9"/>
    </row>
    <row r="6" ht="46.5" customHeight="1" spans="1:44">
      <c r="A6" s="21" t="s">
        <v>40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  <c r="T6" s="24"/>
      <c r="U6" s="24"/>
      <c r="V6" s="24"/>
      <c r="W6" s="24"/>
      <c r="X6" s="28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9"/>
    </row>
    <row r="7" ht="46.5" customHeight="1" spans="1:44">
      <c r="A7" s="21" t="s">
        <v>41</v>
      </c>
      <c r="B7" s="22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  <c r="T7" s="24"/>
      <c r="U7" s="24"/>
      <c r="V7" s="24"/>
      <c r="W7" s="24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9"/>
    </row>
    <row r="8" ht="46.5" customHeight="1" spans="1:44">
      <c r="A8" s="21" t="s">
        <v>42</v>
      </c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  <c r="T8" s="24"/>
      <c r="U8" s="24"/>
      <c r="V8" s="24"/>
      <c r="W8" s="24"/>
      <c r="X8" s="28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9"/>
    </row>
    <row r="9" ht="46.5" customHeight="1" spans="1:44">
      <c r="A9" s="21" t="s">
        <v>44</v>
      </c>
      <c r="B9" s="30">
        <f ca="1">TODAY()+14</f>
        <v>46281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  <c r="T9" s="24"/>
      <c r="U9" s="24"/>
      <c r="V9" s="24"/>
      <c r="W9" s="24"/>
      <c r="X9" s="28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9"/>
    </row>
    <row r="10" ht="46.5" customHeight="1" spans="1:44">
      <c r="A10" s="21" t="s">
        <v>45</v>
      </c>
      <c r="B10" s="3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  <c r="T10" s="24"/>
      <c r="U10" s="24"/>
      <c r="V10" s="24"/>
      <c r="W10" s="24"/>
      <c r="X10" s="2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9"/>
    </row>
    <row r="11" ht="46.5" customHeight="1" spans="1:44">
      <c r="A11" s="21" t="s">
        <v>46</v>
      </c>
      <c r="B11" s="30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6"/>
      <c r="S11" s="27"/>
      <c r="T11" s="24"/>
      <c r="U11" s="24"/>
      <c r="V11" s="24"/>
      <c r="W11" s="24"/>
      <c r="X11" s="28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9"/>
    </row>
    <row r="12" ht="46.5" customHeight="1" spans="1:44">
      <c r="A12" s="21" t="s">
        <v>47</v>
      </c>
      <c r="B12" s="3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6"/>
      <c r="S12" s="27"/>
      <c r="T12" s="24"/>
      <c r="U12" s="24"/>
      <c r="V12" s="24"/>
      <c r="W12" s="24"/>
      <c r="X12" s="28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9"/>
    </row>
    <row r="13" ht="46.5" customHeight="1" spans="1:44">
      <c r="A13" s="21" t="s">
        <v>48</v>
      </c>
      <c r="B13" s="30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6"/>
      <c r="S13" s="27"/>
      <c r="T13" s="24"/>
      <c r="U13" s="24"/>
      <c r="V13" s="24"/>
      <c r="W13" s="24"/>
      <c r="X13" s="28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9"/>
    </row>
    <row r="14" ht="46.5" customHeight="1" spans="1:44">
      <c r="A14" s="21" t="s">
        <v>49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  <c r="S14" s="36"/>
      <c r="T14" s="33"/>
      <c r="U14" s="33"/>
      <c r="V14" s="33"/>
      <c r="W14" s="33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7"/>
    </row>
    <row r="15" ht="46.5" customHeight="1" spans="1:44">
      <c r="A15" s="21" t="s">
        <v>35</v>
      </c>
      <c r="B15" s="13">
        <f ca="1">B3+1</f>
        <v>46282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8"/>
      <c r="T15" s="15"/>
      <c r="U15" s="15"/>
      <c r="V15" s="15"/>
      <c r="W15" s="15"/>
      <c r="X15" s="28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/>
    </row>
    <row r="16" ht="46.5" customHeight="1" spans="1:44">
      <c r="A16" s="21" t="s">
        <v>37</v>
      </c>
      <c r="B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6"/>
      <c r="S16" s="27"/>
      <c r="T16" s="24"/>
      <c r="U16" s="24"/>
      <c r="V16" s="24"/>
      <c r="W16" s="24"/>
      <c r="X16" s="28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9"/>
    </row>
    <row r="17" ht="46.5" customHeight="1" spans="1:44">
      <c r="A17" s="21" t="s">
        <v>38</v>
      </c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6"/>
      <c r="S17" s="27"/>
      <c r="T17" s="24"/>
      <c r="U17" s="24"/>
      <c r="V17" s="24"/>
      <c r="W17" s="24"/>
      <c r="X17" s="2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9"/>
    </row>
    <row r="18" ht="46.5" customHeight="1" spans="1:44">
      <c r="A18" s="21" t="s">
        <v>40</v>
      </c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7"/>
      <c r="T18" s="24"/>
      <c r="U18" s="24"/>
      <c r="V18" s="24"/>
      <c r="W18" s="24"/>
      <c r="X18" s="28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9"/>
    </row>
    <row r="19" ht="46.5" customHeight="1" spans="1:44">
      <c r="A19" s="21" t="s">
        <v>41</v>
      </c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6"/>
      <c r="S19" s="27"/>
      <c r="T19" s="24"/>
      <c r="U19" s="24"/>
      <c r="V19" s="24"/>
      <c r="W19" s="24"/>
      <c r="X19" s="28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9"/>
    </row>
    <row r="20" ht="46.5" customHeight="1" spans="1:44">
      <c r="A20" s="21" t="s">
        <v>42</v>
      </c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6"/>
      <c r="S20" s="27"/>
      <c r="T20" s="24"/>
      <c r="U20" s="24"/>
      <c r="V20" s="24"/>
      <c r="W20" s="24"/>
      <c r="X20" s="28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9"/>
    </row>
    <row r="21" ht="46.5" customHeight="1" spans="1:44">
      <c r="A21" s="21" t="s">
        <v>44</v>
      </c>
      <c r="B21" s="30">
        <f ca="1">B9+1</f>
        <v>46282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6"/>
      <c r="S21" s="27"/>
      <c r="T21" s="24"/>
      <c r="U21" s="24"/>
      <c r="V21" s="24"/>
      <c r="W21" s="24"/>
      <c r="X21" s="28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9"/>
    </row>
    <row r="22" ht="46.5" customHeight="1" spans="1:44">
      <c r="A22" s="21" t="s">
        <v>45</v>
      </c>
      <c r="B22" s="3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6"/>
      <c r="S22" s="27"/>
      <c r="T22" s="24"/>
      <c r="U22" s="24"/>
      <c r="V22" s="24"/>
      <c r="W22" s="24"/>
      <c r="X22" s="28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9"/>
    </row>
    <row r="23" ht="46.5" customHeight="1" spans="1:44">
      <c r="A23" s="21" t="s">
        <v>46</v>
      </c>
      <c r="B23" s="30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6"/>
      <c r="S23" s="27"/>
      <c r="T23" s="24"/>
      <c r="U23" s="24"/>
      <c r="V23" s="24"/>
      <c r="W23" s="24"/>
      <c r="X23" s="28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9"/>
    </row>
    <row r="24" ht="46.5" customHeight="1" spans="1:44">
      <c r="A24" s="21" t="s">
        <v>47</v>
      </c>
      <c r="B24" s="30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/>
      <c r="T24" s="24"/>
      <c r="U24" s="24"/>
      <c r="V24" s="24"/>
      <c r="W24" s="24"/>
      <c r="X24" s="28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9"/>
    </row>
    <row r="25" ht="46.5" customHeight="1" spans="1:44">
      <c r="A25" s="21" t="s">
        <v>48</v>
      </c>
      <c r="B25" s="30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6"/>
      <c r="S25" s="27"/>
      <c r="T25" s="24"/>
      <c r="U25" s="24"/>
      <c r="V25" s="24"/>
      <c r="W25" s="24"/>
      <c r="X25" s="28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9"/>
    </row>
    <row r="26" ht="46.5" customHeight="1" spans="1:44">
      <c r="A26" s="21" t="s">
        <v>49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5"/>
      <c r="S26" s="36"/>
      <c r="T26" s="33"/>
      <c r="U26" s="33"/>
      <c r="V26" s="33"/>
      <c r="W26" s="33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7"/>
    </row>
    <row r="27" ht="46.5" customHeight="1" spans="1:44">
      <c r="A27" s="21" t="s">
        <v>35</v>
      </c>
      <c r="B27" s="13">
        <f ca="1">B15+1</f>
        <v>46283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8"/>
      <c r="T27" s="15"/>
      <c r="U27" s="15"/>
      <c r="V27" s="15"/>
      <c r="W27" s="15"/>
      <c r="X27" s="2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0"/>
    </row>
    <row r="28" ht="46.5" customHeight="1" spans="1:44">
      <c r="A28" s="21" t="s">
        <v>37</v>
      </c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7"/>
      <c r="T28" s="24"/>
      <c r="U28" s="24"/>
      <c r="V28" s="24"/>
      <c r="W28" s="24"/>
      <c r="X28" s="2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9"/>
    </row>
    <row r="29" ht="46.5" customHeight="1" spans="1:44">
      <c r="A29" s="21" t="s">
        <v>38</v>
      </c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6"/>
      <c r="S29" s="27"/>
      <c r="T29" s="24"/>
      <c r="U29" s="24"/>
      <c r="V29" s="24"/>
      <c r="W29" s="24"/>
      <c r="X29" s="28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9"/>
    </row>
    <row r="30" ht="46.5" customHeight="1" spans="1:44">
      <c r="A30" s="21" t="s">
        <v>40</v>
      </c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6"/>
      <c r="S30" s="27"/>
      <c r="T30" s="24"/>
      <c r="U30" s="24"/>
      <c r="V30" s="24"/>
      <c r="W30" s="24"/>
      <c r="X30" s="28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9"/>
    </row>
    <row r="31" ht="46.5" customHeight="1" spans="1:44">
      <c r="A31" s="21" t="s">
        <v>41</v>
      </c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6"/>
      <c r="S31" s="27"/>
      <c r="T31" s="24"/>
      <c r="U31" s="24"/>
      <c r="V31" s="24"/>
      <c r="W31" s="24"/>
      <c r="X31" s="28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9"/>
    </row>
    <row r="32" ht="46.5" customHeight="1" spans="1:44">
      <c r="A32" s="21" t="s">
        <v>42</v>
      </c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6"/>
      <c r="S32" s="27"/>
      <c r="T32" s="24"/>
      <c r="U32" s="24"/>
      <c r="V32" s="24"/>
      <c r="W32" s="24"/>
      <c r="X32" s="28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9"/>
    </row>
    <row r="33" ht="46.5" customHeight="1" spans="1:44">
      <c r="A33" s="21" t="s">
        <v>44</v>
      </c>
      <c r="B33" s="30">
        <f ca="1">B21+1</f>
        <v>46283</v>
      </c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6"/>
      <c r="S33" s="27"/>
      <c r="T33" s="24"/>
      <c r="U33" s="24"/>
      <c r="V33" s="24"/>
      <c r="W33" s="24"/>
      <c r="X33" s="28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9"/>
    </row>
    <row r="34" ht="46.5" customHeight="1" spans="1:44">
      <c r="A34" s="21" t="s">
        <v>45</v>
      </c>
      <c r="B34" s="30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6"/>
      <c r="S34" s="27"/>
      <c r="T34" s="24"/>
      <c r="U34" s="24"/>
      <c r="V34" s="24"/>
      <c r="W34" s="24"/>
      <c r="X34" s="28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9"/>
    </row>
    <row r="35" ht="46.5" customHeight="1" spans="1:44">
      <c r="A35" s="21" t="s">
        <v>46</v>
      </c>
      <c r="B35" s="30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6"/>
      <c r="S35" s="27"/>
      <c r="T35" s="24"/>
      <c r="U35" s="24"/>
      <c r="V35" s="24"/>
      <c r="W35" s="24"/>
      <c r="X35" s="28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9"/>
    </row>
    <row r="36" ht="46.5" customHeight="1" spans="1:44">
      <c r="A36" s="21" t="s">
        <v>47</v>
      </c>
      <c r="B36" s="30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6"/>
      <c r="S36" s="27"/>
      <c r="T36" s="24"/>
      <c r="U36" s="24"/>
      <c r="V36" s="24"/>
      <c r="W36" s="24"/>
      <c r="X36" s="28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9"/>
    </row>
    <row r="37" ht="46.5" customHeight="1" spans="1:44">
      <c r="A37" s="21" t="s">
        <v>48</v>
      </c>
      <c r="B37" s="30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6"/>
      <c r="S37" s="27"/>
      <c r="T37" s="24"/>
      <c r="U37" s="24"/>
      <c r="V37" s="24"/>
      <c r="W37" s="24"/>
      <c r="X37" s="28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9"/>
    </row>
    <row r="38" ht="46.5" customHeight="1" spans="1:44">
      <c r="A38" s="21" t="s">
        <v>49</v>
      </c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5"/>
      <c r="S38" s="36"/>
      <c r="T38" s="33"/>
      <c r="U38" s="33"/>
      <c r="V38" s="33"/>
      <c r="W38" s="33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7"/>
    </row>
    <row r="39" ht="46.5" customHeight="1" spans="1:44">
      <c r="A39" s="21" t="s">
        <v>35</v>
      </c>
      <c r="B39" s="13">
        <f ca="1" t="shared" ref="B39" si="0">B27+1</f>
        <v>46284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8"/>
      <c r="T39" s="15"/>
      <c r="U39" s="15"/>
      <c r="V39" s="15"/>
      <c r="W39" s="15"/>
      <c r="X39" s="2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0"/>
    </row>
    <row r="40" ht="46.5" customHeight="1" spans="1:44">
      <c r="A40" s="21" t="s">
        <v>37</v>
      </c>
      <c r="B40" s="22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6"/>
      <c r="S40" s="27"/>
      <c r="T40" s="24"/>
      <c r="U40" s="24"/>
      <c r="V40" s="24"/>
      <c r="W40" s="24"/>
      <c r="X40" s="28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9"/>
    </row>
    <row r="41" ht="46.5" customHeight="1" spans="1:44">
      <c r="A41" s="21" t="s">
        <v>38</v>
      </c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6"/>
      <c r="S41" s="27"/>
      <c r="T41" s="24"/>
      <c r="U41" s="24"/>
      <c r="V41" s="24"/>
      <c r="W41" s="24"/>
      <c r="X41" s="28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9"/>
    </row>
    <row r="42" ht="46.5" customHeight="1" spans="1:44">
      <c r="A42" s="21" t="s">
        <v>40</v>
      </c>
      <c r="B42" s="22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6"/>
      <c r="S42" s="27"/>
      <c r="T42" s="24"/>
      <c r="U42" s="24"/>
      <c r="V42" s="24"/>
      <c r="W42" s="24"/>
      <c r="X42" s="28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9"/>
    </row>
    <row r="43" ht="46.5" customHeight="1" spans="1:44">
      <c r="A43" s="21" t="s">
        <v>41</v>
      </c>
      <c r="B43" s="22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6"/>
      <c r="S43" s="27"/>
      <c r="T43" s="24"/>
      <c r="U43" s="24"/>
      <c r="V43" s="24"/>
      <c r="W43" s="24"/>
      <c r="X43" s="28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9"/>
    </row>
    <row r="44" ht="46.5" customHeight="1" spans="1:44">
      <c r="A44" s="21" t="s">
        <v>42</v>
      </c>
      <c r="B44" s="2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6"/>
      <c r="S44" s="27"/>
      <c r="T44" s="24"/>
      <c r="U44" s="24"/>
      <c r="V44" s="24"/>
      <c r="W44" s="24"/>
      <c r="X44" s="28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9"/>
    </row>
    <row r="45" ht="46.5" customHeight="1" spans="1:44">
      <c r="A45" s="21" t="s">
        <v>44</v>
      </c>
      <c r="B45" s="30">
        <f ca="1" t="shared" ref="B45" si="1">B33+1</f>
        <v>46284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6"/>
      <c r="S45" s="27"/>
      <c r="T45" s="24"/>
      <c r="U45" s="24"/>
      <c r="V45" s="24"/>
      <c r="W45" s="24"/>
      <c r="X45" s="28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9"/>
    </row>
    <row r="46" ht="46.5" customHeight="1" spans="1:44">
      <c r="A46" s="21" t="s">
        <v>45</v>
      </c>
      <c r="B46" s="30"/>
      <c r="C46" s="23"/>
      <c r="D46" s="24"/>
      <c r="E46" s="24"/>
      <c r="F46" s="24"/>
      <c r="G46" s="53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6"/>
      <c r="S46" s="27"/>
      <c r="T46" s="24"/>
      <c r="U46" s="24"/>
      <c r="V46" s="24"/>
      <c r="W46" s="24"/>
      <c r="X46" s="28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9"/>
    </row>
    <row r="47" ht="46.5" customHeight="1" spans="1:44">
      <c r="A47" s="21" t="s">
        <v>46</v>
      </c>
      <c r="B47" s="30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6"/>
      <c r="S47" s="27"/>
      <c r="T47" s="24"/>
      <c r="U47" s="24"/>
      <c r="V47" s="24"/>
      <c r="W47" s="24"/>
      <c r="X47" s="28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9"/>
    </row>
    <row r="48" ht="46.5" customHeight="1" spans="1:44">
      <c r="A48" s="21" t="s">
        <v>47</v>
      </c>
      <c r="B48" s="30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6"/>
      <c r="S48" s="27"/>
      <c r="T48" s="24"/>
      <c r="U48" s="24"/>
      <c r="V48" s="24"/>
      <c r="W48" s="24"/>
      <c r="X48" s="28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9"/>
    </row>
    <row r="49" ht="46.5" customHeight="1" spans="1:44">
      <c r="A49" s="21" t="s">
        <v>48</v>
      </c>
      <c r="B49" s="30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6"/>
      <c r="S49" s="27"/>
      <c r="T49" s="24"/>
      <c r="U49" s="24"/>
      <c r="V49" s="24"/>
      <c r="W49" s="24"/>
      <c r="X49" s="28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9"/>
    </row>
    <row r="50" ht="46.5" customHeight="1" spans="1:44">
      <c r="A50" s="21" t="s">
        <v>49</v>
      </c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5"/>
      <c r="S50" s="36"/>
      <c r="T50" s="33"/>
      <c r="U50" s="33"/>
      <c r="V50" s="33"/>
      <c r="W50" s="33"/>
      <c r="X50" s="28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7"/>
    </row>
    <row r="51" ht="46.5" customHeight="1" spans="1:44">
      <c r="A51" s="21" t="s">
        <v>35</v>
      </c>
      <c r="B51" s="13">
        <f ca="1" t="shared" ref="B51" si="2">B39+1</f>
        <v>46285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8"/>
      <c r="T51" s="15"/>
      <c r="U51" s="15"/>
      <c r="V51" s="15"/>
      <c r="W51" s="15"/>
      <c r="X51" s="2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0"/>
    </row>
    <row r="52" ht="46.5" customHeight="1" spans="1:44">
      <c r="A52" s="21" t="s">
        <v>37</v>
      </c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6"/>
      <c r="S52" s="27"/>
      <c r="T52" s="24"/>
      <c r="U52" s="24"/>
      <c r="V52" s="24"/>
      <c r="W52" s="24"/>
      <c r="X52" s="28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9"/>
    </row>
    <row r="53" ht="46.5" customHeight="1" spans="1:44">
      <c r="A53" s="21" t="s">
        <v>38</v>
      </c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6"/>
      <c r="S53" s="27"/>
      <c r="T53" s="24"/>
      <c r="U53" s="24"/>
      <c r="V53" s="24"/>
      <c r="W53" s="24"/>
      <c r="X53" s="28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9"/>
    </row>
    <row r="54" ht="46.5" customHeight="1" spans="1:44">
      <c r="A54" s="21" t="s">
        <v>40</v>
      </c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6"/>
      <c r="S54" s="27"/>
      <c r="T54" s="24"/>
      <c r="U54" s="24"/>
      <c r="V54" s="24"/>
      <c r="W54" s="24"/>
      <c r="X54" s="28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9"/>
    </row>
    <row r="55" ht="46.5" customHeight="1" spans="1:44">
      <c r="A55" s="21" t="s">
        <v>41</v>
      </c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6"/>
      <c r="S55" s="27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9"/>
    </row>
    <row r="56" ht="46.5" customHeight="1" spans="1:44">
      <c r="A56" s="21" t="s">
        <v>42</v>
      </c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6"/>
      <c r="S56" s="27"/>
      <c r="T56" s="24"/>
      <c r="U56" s="24"/>
      <c r="V56" s="24"/>
      <c r="W56" s="24"/>
      <c r="X56" s="28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9"/>
    </row>
    <row r="57" ht="46.5" customHeight="1" spans="1:44">
      <c r="A57" s="21" t="s">
        <v>44</v>
      </c>
      <c r="B57" s="30">
        <f ca="1" t="shared" ref="B57" si="3">B45+1</f>
        <v>46285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6"/>
      <c r="S57" s="27"/>
      <c r="T57" s="24"/>
      <c r="U57" s="24"/>
      <c r="V57" s="24"/>
      <c r="W57" s="24"/>
      <c r="X57" s="28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9"/>
    </row>
    <row r="58" ht="46.5" customHeight="1" spans="1:44">
      <c r="A58" s="21" t="s">
        <v>45</v>
      </c>
      <c r="B58" s="30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6"/>
      <c r="S58" s="27"/>
      <c r="T58" s="24"/>
      <c r="U58" s="24"/>
      <c r="V58" s="24"/>
      <c r="W58" s="24"/>
      <c r="X58" s="28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9"/>
    </row>
    <row r="59" ht="46.5" customHeight="1" spans="1:44">
      <c r="A59" s="21" t="s">
        <v>46</v>
      </c>
      <c r="B59" s="30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6"/>
      <c r="S59" s="27"/>
      <c r="T59" s="24"/>
      <c r="U59" s="24"/>
      <c r="V59" s="24"/>
      <c r="W59" s="24"/>
      <c r="X59" s="28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9"/>
    </row>
    <row r="60" ht="46.5" customHeight="1" spans="1:44">
      <c r="A60" s="21" t="s">
        <v>47</v>
      </c>
      <c r="B60" s="30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6"/>
      <c r="S60" s="27"/>
      <c r="T60" s="24"/>
      <c r="U60" s="24"/>
      <c r="V60" s="24"/>
      <c r="W60" s="24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9"/>
    </row>
    <row r="61" ht="46.5" customHeight="1" spans="1:44">
      <c r="A61" s="21" t="s">
        <v>48</v>
      </c>
      <c r="B61" s="30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6"/>
      <c r="S61" s="27"/>
      <c r="T61" s="24"/>
      <c r="U61" s="24"/>
      <c r="V61" s="24"/>
      <c r="W61" s="24"/>
      <c r="X61" s="28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9"/>
    </row>
    <row r="62" ht="46.5" customHeight="1" spans="1:44">
      <c r="A62" s="21" t="s">
        <v>49</v>
      </c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5"/>
      <c r="S62" s="36"/>
      <c r="T62" s="33"/>
      <c r="U62" s="33"/>
      <c r="V62" s="33"/>
      <c r="W62" s="33"/>
      <c r="X62" s="28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7"/>
    </row>
    <row r="63" ht="46.5" customHeight="1" spans="1:44">
      <c r="A63" s="21" t="s">
        <v>35</v>
      </c>
      <c r="B63" s="13">
        <f ca="1" t="shared" ref="B63" si="4">B51+1</f>
        <v>46286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8"/>
      <c r="T63" s="15"/>
      <c r="U63" s="15"/>
      <c r="V63" s="15"/>
      <c r="W63" s="15"/>
      <c r="X63" s="2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0"/>
    </row>
    <row r="64" ht="46.5" customHeight="1" spans="1:44">
      <c r="A64" s="21" t="s">
        <v>37</v>
      </c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6"/>
      <c r="S64" s="27"/>
      <c r="T64" s="24"/>
      <c r="U64" s="24"/>
      <c r="V64" s="24"/>
      <c r="W64" s="24"/>
      <c r="X64" s="28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9"/>
    </row>
    <row r="65" ht="46.5" customHeight="1" spans="1:44">
      <c r="A65" s="21" t="s">
        <v>38</v>
      </c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6"/>
      <c r="S65" s="27"/>
      <c r="T65" s="24"/>
      <c r="U65" s="24"/>
      <c r="V65" s="24"/>
      <c r="W65" s="24"/>
      <c r="X65" s="28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9"/>
    </row>
    <row r="66" ht="46.5" customHeight="1" spans="1:44">
      <c r="A66" s="21" t="s">
        <v>40</v>
      </c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6"/>
      <c r="S66" s="27"/>
      <c r="T66" s="24"/>
      <c r="U66" s="24"/>
      <c r="V66" s="24"/>
      <c r="W66" s="24"/>
      <c r="X66" s="28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9"/>
    </row>
    <row r="67" ht="46.5" customHeight="1" spans="1:44">
      <c r="A67" s="21" t="s">
        <v>41</v>
      </c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6"/>
      <c r="S67" s="27"/>
      <c r="T67" s="24"/>
      <c r="U67" s="24"/>
      <c r="V67" s="24"/>
      <c r="W67" s="24"/>
      <c r="X67" s="28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9"/>
    </row>
    <row r="68" ht="46.5" customHeight="1" spans="1:44">
      <c r="A68" s="21" t="s">
        <v>42</v>
      </c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6"/>
      <c r="S68" s="27"/>
      <c r="T68" s="24"/>
      <c r="U68" s="24"/>
      <c r="V68" s="24"/>
      <c r="W68" s="24"/>
      <c r="X68" s="28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9"/>
    </row>
    <row r="69" ht="46.5" customHeight="1" spans="1:44">
      <c r="A69" s="21" t="s">
        <v>44</v>
      </c>
      <c r="B69" s="30">
        <f ca="1" t="shared" ref="B69" si="5">B57+1</f>
        <v>46286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6"/>
      <c r="S69" s="27"/>
      <c r="T69" s="24"/>
      <c r="U69" s="24"/>
      <c r="V69" s="24"/>
      <c r="W69" s="24"/>
      <c r="X69" s="28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9"/>
    </row>
    <row r="70" ht="46.5" customHeight="1" spans="1:44">
      <c r="A70" s="21" t="s">
        <v>45</v>
      </c>
      <c r="B70" s="30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6"/>
      <c r="S70" s="27"/>
      <c r="T70" s="24"/>
      <c r="U70" s="24"/>
      <c r="V70" s="24"/>
      <c r="W70" s="24"/>
      <c r="X70" s="28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9"/>
    </row>
    <row r="71" ht="46.5" customHeight="1" spans="1:44">
      <c r="A71" s="21" t="s">
        <v>46</v>
      </c>
      <c r="B71" s="30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6"/>
      <c r="S71" s="27"/>
      <c r="T71" s="24"/>
      <c r="U71" s="24"/>
      <c r="V71" s="24"/>
      <c r="W71" s="24"/>
      <c r="X71" s="28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9"/>
    </row>
    <row r="72" ht="46.5" customHeight="1" spans="1:44">
      <c r="A72" s="21" t="s">
        <v>47</v>
      </c>
      <c r="B72" s="30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6"/>
      <c r="S72" s="27"/>
      <c r="T72" s="24"/>
      <c r="U72" s="24"/>
      <c r="V72" s="24"/>
      <c r="W72" s="24"/>
      <c r="X72" s="28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9"/>
    </row>
    <row r="73" ht="46.5" customHeight="1" spans="1:44">
      <c r="A73" s="21" t="s">
        <v>48</v>
      </c>
      <c r="B73" s="30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6"/>
      <c r="S73" s="27"/>
      <c r="T73" s="24"/>
      <c r="U73" s="24"/>
      <c r="V73" s="24"/>
      <c r="W73" s="24"/>
      <c r="X73" s="28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9"/>
    </row>
    <row r="74" ht="46.5" customHeight="1" spans="1:44">
      <c r="A74" s="21" t="s">
        <v>49</v>
      </c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5"/>
      <c r="S74" s="36"/>
      <c r="T74" s="33"/>
      <c r="U74" s="33"/>
      <c r="V74" s="33"/>
      <c r="W74" s="33"/>
      <c r="X74" s="28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</row>
    <row r="75" ht="46.5" customHeight="1" spans="1:44">
      <c r="A75" s="21" t="s">
        <v>35</v>
      </c>
      <c r="B75" s="13">
        <f ca="1" t="shared" ref="B75" si="6">B63+1</f>
        <v>46287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8"/>
      <c r="T75" s="15"/>
      <c r="U75" s="15"/>
      <c r="V75" s="15"/>
      <c r="W75" s="15"/>
      <c r="X75" s="2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0"/>
    </row>
    <row r="76" ht="46.5" customHeight="1" spans="1:44">
      <c r="A76" s="21" t="s">
        <v>37</v>
      </c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6"/>
      <c r="S76" s="27"/>
      <c r="T76" s="24"/>
      <c r="U76" s="24"/>
      <c r="V76" s="24"/>
      <c r="W76" s="24"/>
      <c r="X76" s="28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9"/>
    </row>
    <row r="77" ht="46.5" customHeight="1" spans="1:44">
      <c r="A77" s="21" t="s">
        <v>38</v>
      </c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6"/>
      <c r="S77" s="27"/>
      <c r="T77" s="24"/>
      <c r="U77" s="24"/>
      <c r="V77" s="24"/>
      <c r="W77" s="24"/>
      <c r="X77" s="28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9"/>
    </row>
    <row r="78" ht="46.5" customHeight="1" spans="1:44">
      <c r="A78" s="21" t="s">
        <v>40</v>
      </c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6"/>
      <c r="S78" s="27"/>
      <c r="T78" s="24"/>
      <c r="U78" s="24"/>
      <c r="V78" s="24"/>
      <c r="W78" s="24"/>
      <c r="X78" s="28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9"/>
    </row>
    <row r="79" ht="46.5" customHeight="1" spans="1:44">
      <c r="A79" s="21" t="s">
        <v>41</v>
      </c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6"/>
      <c r="S79" s="27"/>
      <c r="T79" s="24"/>
      <c r="U79" s="24"/>
      <c r="V79" s="24"/>
      <c r="W79" s="24"/>
      <c r="X79" s="28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9"/>
    </row>
    <row r="80" ht="46.5" customHeight="1" spans="1:44">
      <c r="A80" s="21" t="s">
        <v>42</v>
      </c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6"/>
      <c r="S80" s="27"/>
      <c r="T80" s="24"/>
      <c r="U80" s="24"/>
      <c r="V80" s="24"/>
      <c r="W80" s="24"/>
      <c r="X80" s="28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9"/>
    </row>
    <row r="81" ht="46.5" customHeight="1" spans="1:44">
      <c r="A81" s="21" t="s">
        <v>44</v>
      </c>
      <c r="B81" s="30">
        <f ca="1" t="shared" ref="B81" si="7">B69+1</f>
        <v>46287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6"/>
      <c r="S81" s="27"/>
      <c r="T81" s="24"/>
      <c r="U81" s="24"/>
      <c r="V81" s="24"/>
      <c r="W81" s="24"/>
      <c r="X81" s="28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9"/>
    </row>
    <row r="82" ht="46.5" customHeight="1" spans="1:44">
      <c r="A82" s="21" t="s">
        <v>45</v>
      </c>
      <c r="B82" s="30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6"/>
      <c r="S82" s="27"/>
      <c r="T82" s="24"/>
      <c r="U82" s="24"/>
      <c r="V82" s="24"/>
      <c r="W82" s="24"/>
      <c r="X82" s="28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9"/>
    </row>
    <row r="83" ht="46.5" customHeight="1" spans="1:44">
      <c r="A83" s="21" t="s">
        <v>46</v>
      </c>
      <c r="B83" s="30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6"/>
      <c r="S83" s="27"/>
      <c r="T83" s="24"/>
      <c r="U83" s="24"/>
      <c r="V83" s="24"/>
      <c r="W83" s="24"/>
      <c r="X83" s="28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9"/>
    </row>
    <row r="84" ht="46.5" customHeight="1" spans="1:44">
      <c r="A84" s="21" t="s">
        <v>47</v>
      </c>
      <c r="B84" s="30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6"/>
      <c r="S84" s="27"/>
      <c r="T84" s="24"/>
      <c r="U84" s="24"/>
      <c r="V84" s="24"/>
      <c r="W84" s="24"/>
      <c r="X84" s="28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9"/>
    </row>
    <row r="85" ht="46.5" customHeight="1" spans="1:44">
      <c r="A85" s="21" t="s">
        <v>48</v>
      </c>
      <c r="B85" s="30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6"/>
      <c r="S85" s="27"/>
      <c r="T85" s="24"/>
      <c r="U85" s="24"/>
      <c r="V85" s="24"/>
      <c r="W85" s="24"/>
      <c r="X85" s="28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9"/>
    </row>
    <row r="86" ht="46.5" customHeight="1" spans="1:44">
      <c r="A86" s="21" t="s">
        <v>49</v>
      </c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5"/>
      <c r="S86" s="36"/>
      <c r="T86" s="33"/>
      <c r="U86" s="33"/>
      <c r="V86" s="33"/>
      <c r="W86" s="33"/>
      <c r="X86" s="2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</row>
    <row r="87" ht="46.5" customHeight="1" spans="1:44">
      <c r="A87" s="21" t="s">
        <v>35</v>
      </c>
      <c r="B87" s="13">
        <f ca="1" t="shared" ref="B87" si="8">B75+1</f>
        <v>46288</v>
      </c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8"/>
      <c r="T87" s="15"/>
      <c r="U87" s="15"/>
      <c r="V87" s="15"/>
      <c r="W87" s="15"/>
      <c r="X87" s="2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0"/>
    </row>
    <row r="88" ht="46.5" customHeight="1" spans="1:44">
      <c r="A88" s="21" t="s">
        <v>37</v>
      </c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6"/>
      <c r="S88" s="27"/>
      <c r="T88" s="24"/>
      <c r="U88" s="24"/>
      <c r="V88" s="24"/>
      <c r="W88" s="24"/>
      <c r="X88" s="28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9"/>
    </row>
    <row r="89" ht="46.5" customHeight="1" spans="1:44">
      <c r="A89" s="21" t="s">
        <v>38</v>
      </c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6"/>
      <c r="S89" s="27"/>
      <c r="T89" s="24"/>
      <c r="U89" s="24"/>
      <c r="V89" s="24"/>
      <c r="W89" s="24"/>
      <c r="X89" s="28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9"/>
    </row>
    <row r="90" ht="46.5" customHeight="1" spans="1:44">
      <c r="A90" s="21" t="s">
        <v>40</v>
      </c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6"/>
      <c r="S90" s="27"/>
      <c r="T90" s="24"/>
      <c r="U90" s="24"/>
      <c r="V90" s="24"/>
      <c r="W90" s="24"/>
      <c r="X90" s="28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9"/>
    </row>
    <row r="91" ht="46.5" customHeight="1" spans="1:44">
      <c r="A91" s="21" t="s">
        <v>41</v>
      </c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6"/>
      <c r="S91" s="27"/>
      <c r="T91" s="24"/>
      <c r="U91" s="24"/>
      <c r="V91" s="24"/>
      <c r="W91" s="24"/>
      <c r="X91" s="28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9"/>
    </row>
    <row r="92" ht="46.5" customHeight="1" spans="1:44">
      <c r="A92" s="21" t="s">
        <v>42</v>
      </c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6"/>
      <c r="S92" s="27"/>
      <c r="T92" s="24"/>
      <c r="U92" s="24"/>
      <c r="V92" s="24"/>
      <c r="W92" s="24"/>
      <c r="X92" s="2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9"/>
    </row>
    <row r="93" ht="46.5" customHeight="1" spans="1:44">
      <c r="A93" s="21" t="s">
        <v>44</v>
      </c>
      <c r="B93" s="30">
        <f ca="1" t="shared" ref="B93" si="9">B81+1</f>
        <v>46288</v>
      </c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6"/>
      <c r="S93" s="27"/>
      <c r="T93" s="24"/>
      <c r="U93" s="24"/>
      <c r="V93" s="24"/>
      <c r="W93" s="24"/>
      <c r="X93" s="28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Q93" s="24"/>
      <c r="AR93" s="29"/>
    </row>
    <row r="94" ht="46.5" customHeight="1" spans="1:44">
      <c r="A94" s="21" t="s">
        <v>45</v>
      </c>
      <c r="B94" s="30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6"/>
      <c r="S94" s="27"/>
      <c r="T94" s="24"/>
      <c r="U94" s="24"/>
      <c r="V94" s="24"/>
      <c r="W94" s="24"/>
      <c r="X94" s="28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9"/>
    </row>
    <row r="95" ht="46.5" customHeight="1" spans="1:44">
      <c r="A95" s="21" t="s">
        <v>46</v>
      </c>
      <c r="B95" s="30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6"/>
      <c r="S95" s="27"/>
      <c r="T95" s="24"/>
      <c r="U95" s="24"/>
      <c r="V95" s="24"/>
      <c r="W95" s="24"/>
      <c r="X95" s="28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9"/>
    </row>
    <row r="96" ht="46.5" customHeight="1" spans="1:44">
      <c r="A96" s="21" t="s">
        <v>47</v>
      </c>
      <c r="B96" s="30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6"/>
      <c r="S96" s="27"/>
      <c r="T96" s="24"/>
      <c r="U96" s="24"/>
      <c r="V96" s="24"/>
      <c r="W96" s="24"/>
      <c r="X96" s="28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9"/>
    </row>
    <row r="97" ht="46.5" customHeight="1" spans="1:44">
      <c r="A97" s="21" t="s">
        <v>48</v>
      </c>
      <c r="B97" s="30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6"/>
      <c r="S97" s="27"/>
      <c r="T97" s="24"/>
      <c r="U97" s="24"/>
      <c r="V97" s="24"/>
      <c r="W97" s="24"/>
      <c r="X97" s="28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9"/>
    </row>
    <row r="98" ht="46.5" customHeight="1" spans="1:44">
      <c r="A98" s="21" t="s">
        <v>49</v>
      </c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5"/>
      <c r="S98" s="36"/>
      <c r="T98" s="33"/>
      <c r="U98" s="33"/>
      <c r="V98" s="33"/>
      <c r="W98" s="33"/>
      <c r="X98" s="28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7"/>
    </row>
    <row r="99" ht="46.5" customHeight="1" spans="1:44">
      <c r="A99" s="21" t="s">
        <v>35</v>
      </c>
      <c r="B99" s="13">
        <f ca="1" t="shared" ref="B99" si="10">B87+1</f>
        <v>46289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8"/>
      <c r="T99" s="15"/>
      <c r="U99" s="15"/>
      <c r="V99" s="15"/>
      <c r="W99" s="15"/>
      <c r="X99" s="2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0"/>
    </row>
    <row r="100" ht="46.5" customHeight="1" spans="1:44">
      <c r="A100" s="21" t="s">
        <v>37</v>
      </c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6"/>
      <c r="S100" s="27"/>
      <c r="T100" s="24"/>
      <c r="U100" s="24"/>
      <c r="V100" s="24"/>
      <c r="W100" s="24"/>
      <c r="X100" s="28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9"/>
    </row>
    <row r="101" ht="46.5" customHeight="1" spans="1:44">
      <c r="A101" s="21" t="s">
        <v>38</v>
      </c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6"/>
      <c r="S101" s="27"/>
      <c r="T101" s="24"/>
      <c r="U101" s="24"/>
      <c r="V101" s="24"/>
      <c r="W101" s="24"/>
      <c r="X101" s="28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9"/>
    </row>
    <row r="102" ht="46.5" customHeight="1" spans="1:44">
      <c r="A102" s="21" t="s">
        <v>40</v>
      </c>
      <c r="B102" s="22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6"/>
      <c r="S102" s="27"/>
      <c r="T102" s="24"/>
      <c r="U102" s="24"/>
      <c r="V102" s="24"/>
      <c r="W102" s="24"/>
      <c r="X102" s="28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9"/>
    </row>
    <row r="103" ht="46.5" customHeight="1" spans="1:44">
      <c r="A103" s="21" t="s">
        <v>41</v>
      </c>
      <c r="B103" s="22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6"/>
      <c r="S103" s="27"/>
      <c r="T103" s="24"/>
      <c r="U103" s="24"/>
      <c r="V103" s="24"/>
      <c r="W103" s="24"/>
      <c r="X103" s="28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9"/>
    </row>
    <row r="104" ht="46.5" customHeight="1" spans="1:44">
      <c r="A104" s="21" t="s">
        <v>42</v>
      </c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6"/>
      <c r="S104" s="27"/>
      <c r="T104" s="24"/>
      <c r="U104" s="24"/>
      <c r="V104" s="24"/>
      <c r="W104" s="24"/>
      <c r="X104" s="28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9"/>
    </row>
    <row r="105" ht="46.5" customHeight="1" spans="1:44">
      <c r="A105" s="21" t="s">
        <v>44</v>
      </c>
      <c r="B105" s="30">
        <f ca="1" t="shared" ref="B105" si="11">B93+1</f>
        <v>46289</v>
      </c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6"/>
      <c r="S105" s="27"/>
      <c r="T105" s="24"/>
      <c r="U105" s="24"/>
      <c r="V105" s="24"/>
      <c r="W105" s="24"/>
      <c r="X105" s="28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9"/>
    </row>
    <row r="106" ht="46.5" customHeight="1" spans="1:44">
      <c r="A106" s="21" t="s">
        <v>45</v>
      </c>
      <c r="B106" s="30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6"/>
      <c r="S106" s="27"/>
      <c r="T106" s="24"/>
      <c r="U106" s="24"/>
      <c r="V106" s="24"/>
      <c r="W106" s="24"/>
      <c r="X106" s="28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9"/>
    </row>
    <row r="107" ht="46.5" customHeight="1" spans="1:44">
      <c r="A107" s="21" t="s">
        <v>46</v>
      </c>
      <c r="B107" s="30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6"/>
      <c r="S107" s="27"/>
      <c r="T107" s="24"/>
      <c r="U107" s="24"/>
      <c r="V107" s="24"/>
      <c r="W107" s="24"/>
      <c r="X107" s="28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9"/>
    </row>
    <row r="108" ht="46.5" customHeight="1" spans="1:44">
      <c r="A108" s="21" t="s">
        <v>47</v>
      </c>
      <c r="B108" s="30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6"/>
      <c r="S108" s="27"/>
      <c r="T108" s="24"/>
      <c r="U108" s="24"/>
      <c r="V108" s="24"/>
      <c r="W108" s="24"/>
      <c r="X108" s="28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9"/>
    </row>
    <row r="109" ht="46.5" customHeight="1" spans="1:44">
      <c r="A109" s="21" t="s">
        <v>48</v>
      </c>
      <c r="B109" s="30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6"/>
      <c r="S109" s="27"/>
      <c r="T109" s="24"/>
      <c r="U109" s="24"/>
      <c r="V109" s="24"/>
      <c r="W109" s="24"/>
      <c r="X109" s="28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9"/>
    </row>
    <row r="110" ht="46.5" customHeight="1" spans="1:44">
      <c r="A110" s="21" t="s">
        <v>49</v>
      </c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5"/>
      <c r="S110" s="36"/>
      <c r="T110" s="33"/>
      <c r="U110" s="33"/>
      <c r="V110" s="33"/>
      <c r="W110" s="33"/>
      <c r="X110" s="28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7"/>
    </row>
    <row r="111" ht="46.5" customHeight="1" spans="1:44">
      <c r="A111" s="21" t="s">
        <v>35</v>
      </c>
      <c r="B111" s="13">
        <f ca="1" t="shared" ref="B111" si="12">B99+1</f>
        <v>46290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8"/>
      <c r="T111" s="15"/>
      <c r="U111" s="15"/>
      <c r="V111" s="15"/>
      <c r="W111" s="15"/>
      <c r="X111" s="2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0"/>
    </row>
    <row r="112" ht="46.5" customHeight="1" spans="1:44">
      <c r="A112" s="21" t="s">
        <v>37</v>
      </c>
      <c r="B112" s="22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6"/>
      <c r="S112" s="27"/>
      <c r="T112" s="24"/>
      <c r="U112" s="24"/>
      <c r="V112" s="24"/>
      <c r="W112" s="24"/>
      <c r="X112" s="28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9"/>
    </row>
    <row r="113" ht="46.5" customHeight="1" spans="1:44">
      <c r="A113" s="21" t="s">
        <v>38</v>
      </c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6"/>
      <c r="S113" s="27"/>
      <c r="T113" s="24"/>
      <c r="U113" s="24"/>
      <c r="V113" s="24"/>
      <c r="W113" s="24"/>
      <c r="X113" s="28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9"/>
    </row>
    <row r="114" ht="46.5" customHeight="1" spans="1:44">
      <c r="A114" s="21" t="s">
        <v>40</v>
      </c>
      <c r="B114" s="22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6"/>
      <c r="S114" s="27"/>
      <c r="T114" s="24"/>
      <c r="U114" s="24"/>
      <c r="V114" s="24"/>
      <c r="W114" s="24"/>
      <c r="X114" s="28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9"/>
    </row>
    <row r="115" ht="46.5" customHeight="1" spans="1:44">
      <c r="A115" s="21" t="s">
        <v>41</v>
      </c>
      <c r="B115" s="22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6"/>
      <c r="S115" s="27"/>
      <c r="T115" s="24"/>
      <c r="U115" s="24"/>
      <c r="V115" s="24"/>
      <c r="W115" s="24"/>
      <c r="X115" s="28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9"/>
    </row>
    <row r="116" ht="46.5" customHeight="1" spans="1:44">
      <c r="A116" s="21" t="s">
        <v>42</v>
      </c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6"/>
      <c r="S116" s="27"/>
      <c r="T116" s="24"/>
      <c r="U116" s="24"/>
      <c r="V116" s="24"/>
      <c r="W116" s="24"/>
      <c r="X116" s="28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9"/>
    </row>
    <row r="117" ht="46.5" customHeight="1" spans="1:44">
      <c r="A117" s="21" t="s">
        <v>44</v>
      </c>
      <c r="B117" s="30">
        <f ca="1" t="shared" ref="B117" si="13">B105+1</f>
        <v>46290</v>
      </c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6"/>
      <c r="S117" s="27"/>
      <c r="T117" s="24"/>
      <c r="U117" s="24"/>
      <c r="V117" s="24"/>
      <c r="W117" s="24"/>
      <c r="X117" s="28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9"/>
    </row>
    <row r="118" ht="46.5" customHeight="1" spans="1:44">
      <c r="A118" s="21" t="s">
        <v>45</v>
      </c>
      <c r="B118" s="30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6"/>
      <c r="S118" s="27"/>
      <c r="T118" s="24"/>
      <c r="U118" s="24"/>
      <c r="V118" s="24"/>
      <c r="W118" s="24"/>
      <c r="X118" s="28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9"/>
    </row>
    <row r="119" ht="46.5" customHeight="1" spans="1:44">
      <c r="A119" s="21" t="s">
        <v>46</v>
      </c>
      <c r="B119" s="30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6"/>
      <c r="S119" s="27"/>
      <c r="T119" s="24"/>
      <c r="U119" s="24"/>
      <c r="V119" s="24"/>
      <c r="W119" s="24"/>
      <c r="X119" s="28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9"/>
    </row>
    <row r="120" ht="46.5" customHeight="1" spans="1:44">
      <c r="A120" s="21" t="s">
        <v>47</v>
      </c>
      <c r="B120" s="30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6"/>
      <c r="S120" s="27"/>
      <c r="T120" s="24"/>
      <c r="U120" s="24"/>
      <c r="V120" s="24"/>
      <c r="W120" s="24"/>
      <c r="X120" s="28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9"/>
    </row>
    <row r="121" ht="46.5" customHeight="1" spans="1:44">
      <c r="A121" s="21" t="s">
        <v>48</v>
      </c>
      <c r="B121" s="30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6"/>
      <c r="S121" s="27"/>
      <c r="T121" s="24"/>
      <c r="U121" s="24"/>
      <c r="V121" s="24"/>
      <c r="W121" s="24"/>
      <c r="X121" s="28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9"/>
    </row>
    <row r="122" ht="46.5" customHeight="1" spans="1:44">
      <c r="A122" s="21" t="s">
        <v>49</v>
      </c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5"/>
      <c r="S122" s="36"/>
      <c r="T122" s="33"/>
      <c r="U122" s="33"/>
      <c r="V122" s="33"/>
      <c r="W122" s="33"/>
      <c r="X122" s="28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7"/>
    </row>
    <row r="123" ht="46.5" customHeight="1" spans="1:44">
      <c r="A123" s="21" t="s">
        <v>35</v>
      </c>
      <c r="B123" s="13">
        <f ca="1" t="shared" ref="B123" si="14">B111+1</f>
        <v>46291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8"/>
      <c r="T123" s="15"/>
      <c r="U123" s="15"/>
      <c r="V123" s="15"/>
      <c r="W123" s="15"/>
      <c r="X123" s="28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20"/>
    </row>
    <row r="124" ht="46.5" customHeight="1" spans="1:44">
      <c r="A124" s="21" t="s">
        <v>37</v>
      </c>
      <c r="B124" s="22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6"/>
      <c r="S124" s="27"/>
      <c r="T124" s="24"/>
      <c r="U124" s="24"/>
      <c r="V124" s="24"/>
      <c r="W124" s="24"/>
      <c r="X124" s="28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9"/>
    </row>
    <row r="125" ht="46.5" customHeight="1" spans="1:44">
      <c r="A125" s="21" t="s">
        <v>38</v>
      </c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6"/>
      <c r="S125" s="27"/>
      <c r="T125" s="24"/>
      <c r="U125" s="24"/>
      <c r="V125" s="24"/>
      <c r="W125" s="24"/>
      <c r="X125" s="28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9"/>
    </row>
    <row r="126" ht="46.5" customHeight="1" spans="1:44">
      <c r="A126" s="21" t="s">
        <v>40</v>
      </c>
      <c r="B126" s="22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6"/>
      <c r="S126" s="27"/>
      <c r="T126" s="24"/>
      <c r="U126" s="24"/>
      <c r="V126" s="24"/>
      <c r="W126" s="24"/>
      <c r="X126" s="28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9"/>
    </row>
    <row r="127" ht="46.5" customHeight="1" spans="1:44">
      <c r="A127" s="21" t="s">
        <v>41</v>
      </c>
      <c r="B127" s="22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6"/>
      <c r="S127" s="27"/>
      <c r="T127" s="24"/>
      <c r="U127" s="24"/>
      <c r="V127" s="24"/>
      <c r="W127" s="24"/>
      <c r="X127" s="28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9"/>
    </row>
    <row r="128" ht="46.5" customHeight="1" spans="1:44">
      <c r="A128" s="21" t="s">
        <v>42</v>
      </c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6"/>
      <c r="S128" s="27"/>
      <c r="U128" s="24"/>
      <c r="V128" s="24"/>
      <c r="W128" s="24"/>
      <c r="X128" s="28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9"/>
    </row>
    <row r="129" ht="46.5" customHeight="1" spans="1:44">
      <c r="A129" s="21" t="s">
        <v>44</v>
      </c>
      <c r="B129" s="30">
        <f ca="1" t="shared" ref="B129" si="15">B117+1</f>
        <v>46291</v>
      </c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6"/>
      <c r="S129" s="27"/>
      <c r="T129" s="24"/>
      <c r="U129" s="24"/>
      <c r="V129" s="24"/>
      <c r="W129" s="24"/>
      <c r="X129" s="28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9"/>
    </row>
    <row r="130" ht="46.5" customHeight="1" spans="1:44">
      <c r="A130" s="21" t="s">
        <v>45</v>
      </c>
      <c r="B130" s="30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6"/>
      <c r="S130" s="27"/>
      <c r="T130" s="24"/>
      <c r="U130" s="24"/>
      <c r="V130" s="24"/>
      <c r="W130" s="24"/>
      <c r="X130" s="28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9"/>
    </row>
    <row r="131" ht="46.5" customHeight="1" spans="1:44">
      <c r="A131" s="21" t="s">
        <v>46</v>
      </c>
      <c r="B131" s="30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6"/>
      <c r="S131" s="27"/>
      <c r="T131" s="24"/>
      <c r="U131" s="24"/>
      <c r="V131" s="24"/>
      <c r="W131" s="24"/>
      <c r="X131" s="28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9"/>
    </row>
    <row r="132" ht="46.5" customHeight="1" spans="1:44">
      <c r="A132" s="21" t="s">
        <v>47</v>
      </c>
      <c r="B132" s="30"/>
      <c r="C132" s="23"/>
      <c r="D132" s="24"/>
      <c r="E132" s="24"/>
      <c r="F132" s="24"/>
      <c r="H132" s="24"/>
      <c r="I132" s="24"/>
      <c r="J132" s="24"/>
      <c r="K132" s="24"/>
      <c r="L132" s="24">
        <v>139</v>
      </c>
      <c r="M132" s="24"/>
      <c r="N132" s="24"/>
      <c r="O132" s="24"/>
      <c r="P132" s="24"/>
      <c r="Q132" s="25"/>
      <c r="R132" s="26"/>
      <c r="S132" s="27"/>
      <c r="T132" s="24"/>
      <c r="U132" s="24"/>
      <c r="V132" s="24"/>
      <c r="W132" s="24"/>
      <c r="X132" s="28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9"/>
    </row>
    <row r="133" ht="46.5" customHeight="1" spans="1:44">
      <c r="A133" s="21" t="s">
        <v>48</v>
      </c>
      <c r="B133" s="30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6"/>
      <c r="S133" s="27"/>
      <c r="T133" s="24"/>
      <c r="U133" s="24"/>
      <c r="V133" s="24"/>
      <c r="W133" s="24"/>
      <c r="X133" s="28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9"/>
    </row>
    <row r="134" ht="46.5" customHeight="1" spans="1:44">
      <c r="A134" s="21" t="s">
        <v>49</v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5"/>
      <c r="S134" s="36"/>
      <c r="T134" s="33"/>
      <c r="U134" s="33"/>
      <c r="V134" s="33"/>
      <c r="W134" s="33"/>
      <c r="X134" s="28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7"/>
    </row>
    <row r="135" ht="46.5" customHeight="1" spans="1:44">
      <c r="A135" s="21" t="s">
        <v>35</v>
      </c>
      <c r="B135" s="13">
        <f ca="1" t="shared" ref="B135" si="16">B123+1</f>
        <v>46292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8"/>
      <c r="T135" s="15"/>
      <c r="U135" s="15"/>
      <c r="V135" s="15"/>
      <c r="W135" s="15"/>
      <c r="X135" s="28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20"/>
    </row>
    <row r="136" ht="46.5" customHeight="1" spans="1:44">
      <c r="A136" s="21" t="s">
        <v>37</v>
      </c>
      <c r="B136" s="22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6"/>
      <c r="S136" s="27"/>
      <c r="T136" s="24"/>
      <c r="U136" s="24"/>
      <c r="V136" s="24"/>
      <c r="W136" s="24"/>
      <c r="X136" s="28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9"/>
    </row>
    <row r="137" ht="46.5" customHeight="1" spans="1:44">
      <c r="A137" s="21" t="s">
        <v>38</v>
      </c>
      <c r="B137" s="22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6"/>
      <c r="S137" s="27"/>
      <c r="T137" s="24"/>
      <c r="U137" s="24"/>
      <c r="V137" s="24"/>
      <c r="W137" s="24"/>
      <c r="X137" s="28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9"/>
    </row>
    <row r="138" ht="46.5" customHeight="1" spans="1:44">
      <c r="A138" s="21" t="s">
        <v>40</v>
      </c>
      <c r="B138" s="22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6"/>
      <c r="S138" s="27"/>
      <c r="T138" s="24"/>
      <c r="U138" s="24"/>
      <c r="V138" s="24"/>
      <c r="W138" s="24"/>
      <c r="X138" s="28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9"/>
    </row>
    <row r="139" ht="46.5" customHeight="1" spans="1:44">
      <c r="A139" s="21" t="s">
        <v>41</v>
      </c>
      <c r="B139" s="22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6"/>
      <c r="S139" s="27"/>
      <c r="T139" s="24"/>
      <c r="U139" s="24"/>
      <c r="V139" s="24"/>
      <c r="W139" s="24"/>
      <c r="X139" s="28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9"/>
    </row>
    <row r="140" ht="46.5" customHeight="1" spans="1:44">
      <c r="A140" s="21" t="s">
        <v>42</v>
      </c>
      <c r="B140" s="22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6"/>
      <c r="S140" s="27"/>
      <c r="T140" s="24"/>
      <c r="U140" s="24"/>
      <c r="V140" s="24"/>
      <c r="W140" s="24"/>
      <c r="X140" s="28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9"/>
    </row>
    <row r="141" ht="46.5" customHeight="1" spans="1:44">
      <c r="A141" s="21" t="s">
        <v>44</v>
      </c>
      <c r="B141" s="30">
        <f ca="1" t="shared" ref="B141" si="17">B129+1</f>
        <v>46292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6"/>
      <c r="S141" s="27"/>
      <c r="T141" s="24"/>
      <c r="U141" s="24"/>
      <c r="V141" s="24"/>
      <c r="W141" s="24"/>
      <c r="X141" s="28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9"/>
    </row>
    <row r="142" ht="46.5" customHeight="1" spans="1:44">
      <c r="A142" s="21" t="s">
        <v>45</v>
      </c>
      <c r="B142" s="30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6"/>
      <c r="S142" s="27"/>
      <c r="T142" s="24"/>
      <c r="U142" s="24"/>
      <c r="V142" s="24"/>
      <c r="W142" s="24"/>
      <c r="X142" s="28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9"/>
    </row>
    <row r="143" ht="46.5" customHeight="1" spans="1:44">
      <c r="A143" s="21" t="s">
        <v>46</v>
      </c>
      <c r="B143" s="30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6"/>
      <c r="S143" s="27"/>
      <c r="T143" s="24"/>
      <c r="U143" s="24"/>
      <c r="V143" s="24"/>
      <c r="W143" s="24"/>
      <c r="X143" s="28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9"/>
    </row>
    <row r="144" ht="46.5" customHeight="1" spans="1:44">
      <c r="A144" s="21" t="s">
        <v>47</v>
      </c>
      <c r="B144" s="30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6"/>
      <c r="S144" s="27"/>
      <c r="T144" s="24"/>
      <c r="U144" s="24"/>
      <c r="V144" s="24"/>
      <c r="W144" s="24"/>
      <c r="X144" s="28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9"/>
    </row>
    <row r="145" ht="46.5" customHeight="1" spans="1:44">
      <c r="A145" s="21" t="s">
        <v>48</v>
      </c>
      <c r="B145" s="30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6"/>
      <c r="S145" s="27"/>
      <c r="T145" s="24"/>
      <c r="U145" s="24"/>
      <c r="V145" s="24"/>
      <c r="W145" s="24"/>
      <c r="X145" s="28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9"/>
    </row>
    <row r="146" ht="46.5" customHeight="1" spans="1:44">
      <c r="A146" s="21" t="s">
        <v>49</v>
      </c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5"/>
      <c r="S146" s="36"/>
      <c r="T146" s="33"/>
      <c r="U146" s="33"/>
      <c r="V146" s="33"/>
      <c r="W146" s="33"/>
      <c r="X146" s="28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7"/>
    </row>
    <row r="147" ht="46.5" customHeight="1" spans="1:44">
      <c r="A147" s="21" t="s">
        <v>35</v>
      </c>
      <c r="B147" s="13">
        <f ca="1" t="shared" ref="B147" si="18">B135+1</f>
        <v>46293</v>
      </c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8"/>
      <c r="T147" s="15"/>
      <c r="U147" s="15"/>
      <c r="V147" s="15"/>
      <c r="W147" s="15"/>
      <c r="X147" s="28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0"/>
    </row>
    <row r="148" ht="46.5" customHeight="1" spans="1:44">
      <c r="A148" s="21" t="s">
        <v>37</v>
      </c>
      <c r="B148" s="22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6"/>
      <c r="S148" s="27"/>
      <c r="T148" s="24"/>
      <c r="U148" s="24"/>
      <c r="V148" s="24"/>
      <c r="W148" s="24"/>
      <c r="X148" s="28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9"/>
    </row>
    <row r="149" ht="46.5" customHeight="1" spans="1:44">
      <c r="A149" s="21" t="s">
        <v>38</v>
      </c>
      <c r="B149" s="22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6"/>
      <c r="S149" s="27"/>
      <c r="T149" s="24"/>
      <c r="U149" s="24"/>
      <c r="V149" s="24"/>
      <c r="W149" s="24"/>
      <c r="X149" s="2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9"/>
    </row>
    <row r="150" ht="46.5" customHeight="1" spans="1:44">
      <c r="A150" s="21" t="s">
        <v>40</v>
      </c>
      <c r="B150" s="22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6"/>
      <c r="S150" s="27"/>
      <c r="T150" s="24"/>
      <c r="U150" s="24"/>
      <c r="V150" s="24"/>
      <c r="W150" s="24"/>
      <c r="X150" s="28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9"/>
    </row>
    <row r="151" ht="46.5" customHeight="1" spans="1:44">
      <c r="A151" s="21" t="s">
        <v>41</v>
      </c>
      <c r="B151" s="22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6"/>
      <c r="S151" s="27"/>
      <c r="T151" s="24"/>
      <c r="U151" s="24"/>
      <c r="V151" s="24"/>
      <c r="W151" s="24"/>
      <c r="X151" s="28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9"/>
    </row>
    <row r="152" ht="46.5" customHeight="1" spans="1:44">
      <c r="A152" s="21" t="s">
        <v>42</v>
      </c>
      <c r="B152" s="22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6"/>
      <c r="S152" s="27"/>
      <c r="T152" s="24"/>
      <c r="U152" s="24"/>
      <c r="V152" s="24"/>
      <c r="W152" s="24"/>
      <c r="X152" s="28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9"/>
    </row>
    <row r="153" ht="46.5" customHeight="1" spans="1:44">
      <c r="A153" s="21" t="s">
        <v>44</v>
      </c>
      <c r="B153" s="30">
        <f ca="1" t="shared" ref="B153" si="19">B141+1</f>
        <v>46293</v>
      </c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6"/>
      <c r="S153" s="27"/>
      <c r="T153" s="24"/>
      <c r="U153" s="24"/>
      <c r="V153" s="24"/>
      <c r="W153" s="24"/>
      <c r="X153" s="28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9"/>
    </row>
    <row r="154" ht="46.5" customHeight="1" spans="1:44">
      <c r="A154" s="21" t="s">
        <v>45</v>
      </c>
      <c r="B154" s="30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6"/>
      <c r="S154" s="27"/>
      <c r="T154" s="24"/>
      <c r="U154" s="24"/>
      <c r="V154" s="24"/>
      <c r="W154" s="24"/>
      <c r="X154" s="28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9"/>
    </row>
    <row r="155" ht="46.5" customHeight="1" spans="1:44">
      <c r="A155" s="21" t="s">
        <v>46</v>
      </c>
      <c r="B155" s="30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6"/>
      <c r="S155" s="27"/>
      <c r="T155" s="24"/>
      <c r="U155" s="24"/>
      <c r="V155" s="24"/>
      <c r="W155" s="24"/>
      <c r="X155" s="28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9"/>
    </row>
    <row r="156" ht="46.5" customHeight="1" spans="1:44">
      <c r="A156" s="21" t="s">
        <v>47</v>
      </c>
      <c r="B156" s="30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6"/>
      <c r="S156" s="27"/>
      <c r="T156" s="24"/>
      <c r="U156" s="24"/>
      <c r="V156" s="24"/>
      <c r="W156" s="24"/>
      <c r="X156" s="28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9"/>
    </row>
    <row r="157" ht="46.5" customHeight="1" spans="1:44">
      <c r="A157" s="21" t="s">
        <v>48</v>
      </c>
      <c r="B157" s="30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6"/>
      <c r="S157" s="27"/>
      <c r="T157" s="24"/>
      <c r="U157" s="24"/>
      <c r="V157" s="24"/>
      <c r="W157" s="24"/>
      <c r="X157" s="28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9"/>
    </row>
    <row r="158" ht="46.5" customHeight="1" spans="1:44">
      <c r="A158" s="21" t="s">
        <v>49</v>
      </c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5"/>
      <c r="S158" s="36"/>
      <c r="T158" s="33"/>
      <c r="U158" s="33"/>
      <c r="V158" s="33"/>
      <c r="W158" s="33"/>
      <c r="X158" s="28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7"/>
    </row>
    <row r="159" ht="46.5" customHeight="1" spans="1:44">
      <c r="A159" s="21" t="s">
        <v>35</v>
      </c>
      <c r="B159" s="13">
        <f ca="1" t="shared" ref="B159" si="20">B147+1</f>
        <v>46294</v>
      </c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8"/>
      <c r="T159" s="15"/>
      <c r="U159" s="15"/>
      <c r="V159" s="15"/>
      <c r="W159" s="15"/>
      <c r="X159" s="28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0"/>
    </row>
    <row r="160" ht="46.5" customHeight="1" spans="1:44">
      <c r="A160" s="21" t="s">
        <v>37</v>
      </c>
      <c r="B160" s="22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6"/>
      <c r="S160" s="27"/>
      <c r="T160" s="24"/>
      <c r="U160" s="24"/>
      <c r="V160" s="24"/>
      <c r="W160" s="24"/>
      <c r="X160" s="28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9"/>
    </row>
    <row r="161" ht="46.5" customHeight="1" spans="1:44">
      <c r="A161" s="21" t="s">
        <v>38</v>
      </c>
      <c r="B161" s="22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6"/>
      <c r="S161" s="27"/>
      <c r="T161" s="24"/>
      <c r="U161" s="24"/>
      <c r="V161" s="24"/>
      <c r="W161" s="24"/>
      <c r="X161" s="28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9"/>
    </row>
    <row r="162" ht="46.5" customHeight="1" spans="1:44">
      <c r="A162" s="21" t="s">
        <v>40</v>
      </c>
      <c r="B162" s="22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6"/>
      <c r="S162" s="27"/>
      <c r="T162" s="24"/>
      <c r="U162" s="24"/>
      <c r="V162" s="24"/>
      <c r="W162" s="24"/>
      <c r="X162" s="28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9"/>
    </row>
    <row r="163" ht="46.5" customHeight="1" spans="1:44">
      <c r="A163" s="21" t="s">
        <v>41</v>
      </c>
      <c r="B163" s="22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6"/>
      <c r="S163" s="27"/>
      <c r="T163" s="24"/>
      <c r="U163" s="24"/>
      <c r="V163" s="24"/>
      <c r="W163" s="24"/>
      <c r="X163" s="28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9"/>
    </row>
    <row r="164" ht="46.5" customHeight="1" spans="1:44">
      <c r="A164" s="21" t="s">
        <v>42</v>
      </c>
      <c r="B164" s="22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6"/>
      <c r="S164" s="27"/>
      <c r="T164" s="24"/>
      <c r="U164" s="24"/>
      <c r="V164" s="24"/>
      <c r="W164" s="24"/>
      <c r="X164" s="28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9"/>
    </row>
    <row r="165" ht="46.5" customHeight="1" spans="1:44">
      <c r="A165" s="21" t="s">
        <v>44</v>
      </c>
      <c r="B165" s="30">
        <f ca="1" t="shared" ref="B165" si="21">B153+1</f>
        <v>46294</v>
      </c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6"/>
      <c r="S165" s="27"/>
      <c r="T165" s="24"/>
      <c r="U165" s="24"/>
      <c r="V165" s="24"/>
      <c r="W165" s="24"/>
      <c r="X165" s="28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9"/>
    </row>
    <row r="166" ht="46.5" customHeight="1" spans="1:44">
      <c r="A166" s="21" t="s">
        <v>45</v>
      </c>
      <c r="B166" s="30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6"/>
      <c r="S166" s="27"/>
      <c r="T166" s="24"/>
      <c r="U166" s="24"/>
      <c r="V166" s="24"/>
      <c r="W166" s="24"/>
      <c r="X166" s="28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9"/>
    </row>
    <row r="167" ht="46.5" customHeight="1" spans="1:44">
      <c r="A167" s="21" t="s">
        <v>46</v>
      </c>
      <c r="B167" s="30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6"/>
      <c r="S167" s="27"/>
      <c r="T167" s="24"/>
      <c r="U167" s="24"/>
      <c r="V167" s="24"/>
      <c r="W167" s="24"/>
      <c r="X167" s="28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9"/>
    </row>
    <row r="168" ht="46.5" customHeight="1" spans="1:44">
      <c r="A168" s="21" t="s">
        <v>47</v>
      </c>
      <c r="B168" s="30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6"/>
      <c r="S168" s="27"/>
      <c r="T168" s="24"/>
      <c r="U168" s="24"/>
      <c r="V168" s="24"/>
      <c r="W168" s="24"/>
      <c r="X168" s="28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9"/>
    </row>
    <row r="169" ht="46.5" customHeight="1" spans="1:44">
      <c r="A169" s="21" t="s">
        <v>48</v>
      </c>
      <c r="B169" s="30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6"/>
      <c r="S169" s="27"/>
      <c r="T169" s="24"/>
      <c r="U169" s="24"/>
      <c r="V169" s="24"/>
      <c r="W169" s="24"/>
      <c r="X169" s="28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9"/>
    </row>
    <row r="170" ht="46.5" customHeight="1" spans="1:44">
      <c r="A170" s="21" t="s">
        <v>49</v>
      </c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5"/>
      <c r="S170" s="36"/>
      <c r="T170" s="33"/>
      <c r="U170" s="33"/>
      <c r="V170" s="33"/>
      <c r="W170" s="33"/>
      <c r="X170" s="28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7"/>
    </row>
    <row r="171" ht="46.5" customHeight="1" spans="1:44">
      <c r="A171" s="21" t="s">
        <v>35</v>
      </c>
      <c r="B171" s="13">
        <f ca="1" t="shared" ref="B171" si="22">B159+1</f>
        <v>46295</v>
      </c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8"/>
      <c r="T171" s="15"/>
      <c r="U171" s="15"/>
      <c r="V171" s="15"/>
      <c r="W171" s="15"/>
      <c r="X171" s="28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0"/>
    </row>
    <row r="172" ht="46.5" customHeight="1" spans="1:44">
      <c r="A172" s="21" t="s">
        <v>37</v>
      </c>
      <c r="B172" s="22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6"/>
      <c r="S172" s="27"/>
      <c r="T172" s="24"/>
      <c r="U172" s="24"/>
      <c r="V172" s="24"/>
      <c r="W172" s="24"/>
      <c r="X172" s="28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9"/>
    </row>
    <row r="173" ht="46.5" customHeight="1" spans="1:44">
      <c r="A173" s="21" t="s">
        <v>38</v>
      </c>
      <c r="B173" s="22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6"/>
      <c r="S173" s="27"/>
      <c r="T173" s="24"/>
      <c r="U173" s="24"/>
      <c r="V173" s="24"/>
      <c r="W173" s="24"/>
      <c r="X173" s="28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9"/>
    </row>
    <row r="174" ht="46.5" customHeight="1" spans="1:44">
      <c r="A174" s="21" t="s">
        <v>40</v>
      </c>
      <c r="B174" s="22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6"/>
      <c r="S174" s="27"/>
      <c r="T174" s="24"/>
      <c r="U174" s="24"/>
      <c r="V174" s="24"/>
      <c r="W174" s="24"/>
      <c r="X174" s="28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9"/>
    </row>
    <row r="175" ht="46.5" customHeight="1" spans="1:44">
      <c r="A175" s="21" t="s">
        <v>41</v>
      </c>
      <c r="B175" s="22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6"/>
      <c r="S175" s="27"/>
      <c r="T175" s="24"/>
      <c r="U175" s="24"/>
      <c r="V175" s="24"/>
      <c r="W175" s="24"/>
      <c r="X175" s="28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9"/>
    </row>
    <row r="176" ht="46.5" customHeight="1" spans="1:44">
      <c r="A176" s="21" t="s">
        <v>42</v>
      </c>
      <c r="B176" s="22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6"/>
      <c r="S176" s="27"/>
      <c r="T176" s="24"/>
      <c r="U176" s="24"/>
      <c r="V176" s="24"/>
      <c r="W176" s="24"/>
      <c r="X176" s="28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9"/>
    </row>
    <row r="177" ht="46.5" customHeight="1" spans="1:44">
      <c r="A177" s="21" t="s">
        <v>44</v>
      </c>
      <c r="B177" s="30">
        <f ca="1" t="shared" ref="B177" si="23">B165+1</f>
        <v>46295</v>
      </c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6"/>
      <c r="S177" s="27"/>
      <c r="T177" s="24"/>
      <c r="U177" s="24"/>
      <c r="V177" s="24"/>
      <c r="W177" s="24"/>
      <c r="X177" s="28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9"/>
    </row>
    <row r="178" ht="46.5" customHeight="1" spans="1:44">
      <c r="A178" s="21" t="s">
        <v>45</v>
      </c>
      <c r="B178" s="30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6"/>
      <c r="S178" s="27"/>
      <c r="T178" s="24"/>
      <c r="U178" s="24"/>
      <c r="V178" s="24"/>
      <c r="W178" s="24"/>
      <c r="X178" s="28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9"/>
    </row>
    <row r="179" ht="46.5" customHeight="1" spans="1:44">
      <c r="A179" s="21" t="s">
        <v>46</v>
      </c>
      <c r="B179" s="30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6"/>
      <c r="S179" s="27"/>
      <c r="T179" s="24"/>
      <c r="U179" s="24"/>
      <c r="V179" s="24"/>
      <c r="W179" s="24"/>
      <c r="X179" s="28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9"/>
    </row>
    <row r="180" ht="46.5" customHeight="1" spans="1:44">
      <c r="A180" s="21" t="s">
        <v>47</v>
      </c>
      <c r="B180" s="30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6"/>
      <c r="S180" s="27"/>
      <c r="T180" s="24"/>
      <c r="U180" s="24"/>
      <c r="V180" s="24"/>
      <c r="W180" s="24"/>
      <c r="X180" s="28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9"/>
    </row>
    <row r="181" ht="46.5" customHeight="1" spans="1:44">
      <c r="A181" s="21" t="s">
        <v>48</v>
      </c>
      <c r="B181" s="30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6"/>
      <c r="S181" s="27"/>
      <c r="T181" s="24"/>
      <c r="U181" s="24"/>
      <c r="V181" s="24"/>
      <c r="W181" s="24"/>
      <c r="X181" s="28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9"/>
    </row>
    <row r="182" ht="46.5" customHeight="1" spans="1:44">
      <c r="A182" s="21" t="s">
        <v>49</v>
      </c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5"/>
      <c r="S182" s="36"/>
      <c r="T182" s="33"/>
      <c r="U182" s="33"/>
      <c r="V182" s="33"/>
      <c r="W182" s="33"/>
      <c r="X182" s="28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7"/>
    </row>
    <row r="183" ht="46.5" customHeight="1" spans="1:44">
      <c r="A183" s="21" t="s">
        <v>35</v>
      </c>
      <c r="B183" s="13">
        <f ca="1" t="shared" ref="B183" si="24">B171+1</f>
        <v>46296</v>
      </c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8"/>
      <c r="T183" s="15"/>
      <c r="U183" s="15"/>
      <c r="V183" s="15"/>
      <c r="W183" s="15"/>
      <c r="X183" s="28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0"/>
    </row>
    <row r="184" ht="46.5" customHeight="1" spans="1:44">
      <c r="A184" s="21" t="s">
        <v>37</v>
      </c>
      <c r="B184" s="22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6"/>
      <c r="S184" s="27"/>
      <c r="T184" s="24"/>
      <c r="U184" s="24"/>
      <c r="V184" s="24"/>
      <c r="W184" s="24"/>
      <c r="X184" s="28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9"/>
    </row>
    <row r="185" ht="46.5" customHeight="1" spans="1:44">
      <c r="A185" s="21" t="s">
        <v>38</v>
      </c>
      <c r="B185" s="22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6"/>
      <c r="S185" s="27"/>
      <c r="T185" s="24"/>
      <c r="U185" s="24"/>
      <c r="V185" s="24"/>
      <c r="W185" s="24"/>
      <c r="X185" s="28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9"/>
    </row>
    <row r="186" ht="46.5" customHeight="1" spans="1:44">
      <c r="A186" s="21" t="s">
        <v>40</v>
      </c>
      <c r="B186" s="22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6"/>
      <c r="S186" s="27"/>
      <c r="T186" s="24"/>
      <c r="U186" s="24"/>
      <c r="V186" s="24"/>
      <c r="W186" s="24"/>
      <c r="X186" s="28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9"/>
    </row>
    <row r="187" ht="46.5" customHeight="1" spans="1:44">
      <c r="A187" s="21" t="s">
        <v>41</v>
      </c>
      <c r="B187" s="22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6"/>
      <c r="S187" s="27"/>
      <c r="T187" s="24"/>
      <c r="U187" s="24"/>
      <c r="V187" s="24"/>
      <c r="W187" s="24"/>
      <c r="X187" s="28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9"/>
    </row>
    <row r="188" ht="46.5" customHeight="1" spans="1:44">
      <c r="A188" s="21" t="s">
        <v>42</v>
      </c>
      <c r="B188" s="22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6"/>
      <c r="S188" s="27"/>
      <c r="T188" s="24"/>
      <c r="U188" s="24"/>
      <c r="V188" s="24"/>
      <c r="W188" s="24"/>
      <c r="X188" s="28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9"/>
    </row>
    <row r="189" ht="46.5" customHeight="1" spans="1:44">
      <c r="A189" s="21" t="s">
        <v>44</v>
      </c>
      <c r="B189" s="30">
        <f ca="1" t="shared" ref="B189" si="25">B177+1</f>
        <v>46296</v>
      </c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6"/>
      <c r="S189" s="27"/>
      <c r="T189" s="24"/>
      <c r="U189" s="24"/>
      <c r="V189" s="24"/>
      <c r="W189" s="24"/>
      <c r="X189" s="28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9"/>
    </row>
    <row r="190" ht="46.5" customHeight="1" spans="1:44">
      <c r="A190" s="21" t="s">
        <v>45</v>
      </c>
      <c r="B190" s="30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6"/>
      <c r="S190" s="27"/>
      <c r="T190" s="24"/>
      <c r="U190" s="24"/>
      <c r="V190" s="24"/>
      <c r="W190" s="24"/>
      <c r="X190" s="28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9"/>
    </row>
    <row r="191" ht="46.5" customHeight="1" spans="1:44">
      <c r="A191" s="21" t="s">
        <v>46</v>
      </c>
      <c r="B191" s="30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6"/>
      <c r="S191" s="27"/>
      <c r="T191" s="24"/>
      <c r="U191" s="24"/>
      <c r="V191" s="24"/>
      <c r="W191" s="24"/>
      <c r="X191" s="28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9"/>
    </row>
    <row r="192" ht="46.5" customHeight="1" spans="1:44">
      <c r="A192" s="21" t="s">
        <v>47</v>
      </c>
      <c r="B192" s="30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6"/>
      <c r="S192" s="27"/>
      <c r="T192" s="24"/>
      <c r="U192" s="24"/>
      <c r="V192" s="24"/>
      <c r="W192" s="24"/>
      <c r="X192" s="28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9"/>
    </row>
    <row r="193" ht="46.5" customHeight="1" spans="1:44">
      <c r="A193" s="21" t="s">
        <v>48</v>
      </c>
      <c r="B193" s="30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6"/>
      <c r="S193" s="27"/>
      <c r="T193" s="24"/>
      <c r="U193" s="24"/>
      <c r="V193" s="24"/>
      <c r="W193" s="24"/>
      <c r="X193" s="28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9"/>
    </row>
    <row r="194" ht="46.5" customHeight="1" spans="1:44">
      <c r="A194" s="21" t="s">
        <v>49</v>
      </c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5"/>
      <c r="S194" s="36"/>
      <c r="T194" s="33"/>
      <c r="U194" s="33"/>
      <c r="V194" s="33"/>
      <c r="W194" s="33"/>
      <c r="X194" s="28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7"/>
    </row>
    <row r="195" ht="46.5" customHeight="1" spans="1:44">
      <c r="A195" s="21" t="s">
        <v>35</v>
      </c>
      <c r="B195" s="13">
        <f ca="1" t="shared" ref="B195" si="26">B183+1</f>
        <v>46297</v>
      </c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8"/>
      <c r="T195" s="15"/>
      <c r="U195" s="15"/>
      <c r="V195" s="15"/>
      <c r="W195" s="15"/>
      <c r="X195" s="28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0"/>
    </row>
    <row r="196" ht="46.5" customHeight="1" spans="1:44">
      <c r="A196" s="21" t="s">
        <v>37</v>
      </c>
      <c r="B196" s="22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6"/>
      <c r="S196" s="27"/>
      <c r="T196" s="24"/>
      <c r="U196" s="24"/>
      <c r="V196" s="24"/>
      <c r="W196" s="24"/>
      <c r="X196" s="28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9"/>
    </row>
    <row r="197" ht="46.5" customHeight="1" spans="1:44">
      <c r="A197" s="21" t="s">
        <v>38</v>
      </c>
      <c r="B197" s="22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6"/>
      <c r="S197" s="27"/>
      <c r="T197" s="24"/>
      <c r="U197" s="24"/>
      <c r="V197" s="24"/>
      <c r="W197" s="24"/>
      <c r="X197" s="28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9"/>
    </row>
    <row r="198" ht="46.5" customHeight="1" spans="1:44">
      <c r="A198" s="21" t="s">
        <v>40</v>
      </c>
      <c r="B198" s="22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6"/>
      <c r="S198" s="27"/>
      <c r="T198" s="24"/>
      <c r="U198" s="24"/>
      <c r="V198" s="24"/>
      <c r="W198" s="24"/>
      <c r="X198" s="28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9"/>
    </row>
    <row r="199" ht="46.5" customHeight="1" spans="1:44">
      <c r="A199" s="21" t="s">
        <v>41</v>
      </c>
      <c r="B199" s="22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6"/>
      <c r="S199" s="27"/>
      <c r="T199" s="24"/>
      <c r="U199" s="24"/>
      <c r="V199" s="24"/>
      <c r="W199" s="24"/>
      <c r="X199" s="28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9"/>
    </row>
    <row r="200" ht="46.5" customHeight="1" spans="1:44">
      <c r="A200" s="21" t="s">
        <v>42</v>
      </c>
      <c r="B200" s="22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6"/>
      <c r="S200" s="27"/>
      <c r="T200" s="24"/>
      <c r="U200" s="24"/>
      <c r="V200" s="24"/>
      <c r="W200" s="24"/>
      <c r="X200" s="28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9"/>
    </row>
    <row r="201" ht="46.5" customHeight="1" spans="1:44">
      <c r="A201" s="21" t="s">
        <v>44</v>
      </c>
      <c r="B201" s="30">
        <f ca="1" t="shared" ref="B201" si="27">B189+1</f>
        <v>46297</v>
      </c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6"/>
      <c r="S201" s="27"/>
      <c r="T201" s="24"/>
      <c r="U201" s="24"/>
      <c r="V201" s="24"/>
      <c r="W201" s="24"/>
      <c r="X201" s="28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9"/>
    </row>
    <row r="202" ht="46.5" customHeight="1" spans="1:44">
      <c r="A202" s="21" t="s">
        <v>45</v>
      </c>
      <c r="B202" s="30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6"/>
      <c r="S202" s="27"/>
      <c r="T202" s="24"/>
      <c r="U202" s="24"/>
      <c r="V202" s="24"/>
      <c r="W202" s="24"/>
      <c r="X202" s="28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9"/>
    </row>
    <row r="203" ht="46.5" customHeight="1" spans="1:44">
      <c r="A203" s="21" t="s">
        <v>46</v>
      </c>
      <c r="B203" s="30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6"/>
      <c r="S203" s="27"/>
      <c r="T203" s="24"/>
      <c r="U203" s="24"/>
      <c r="V203" s="24"/>
      <c r="W203" s="24"/>
      <c r="X203" s="28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9"/>
    </row>
    <row r="204" ht="46.5" customHeight="1" spans="1:44">
      <c r="A204" s="21" t="s">
        <v>47</v>
      </c>
      <c r="B204" s="30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6"/>
      <c r="S204" s="27"/>
      <c r="T204" s="24"/>
      <c r="U204" s="24"/>
      <c r="V204" s="24"/>
      <c r="W204" s="24"/>
      <c r="X204" s="28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9"/>
    </row>
    <row r="205" ht="46.5" customHeight="1" spans="1:44">
      <c r="A205" s="21" t="s">
        <v>48</v>
      </c>
      <c r="B205" s="30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6"/>
      <c r="S205" s="27"/>
      <c r="T205" s="24"/>
      <c r="U205" s="24"/>
      <c r="V205" s="24"/>
      <c r="W205" s="24"/>
      <c r="X205" s="28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9"/>
    </row>
    <row r="206" ht="46.5" customHeight="1" spans="1:44">
      <c r="A206" s="21" t="s">
        <v>49</v>
      </c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5"/>
      <c r="S206" s="36"/>
      <c r="T206" s="33"/>
      <c r="U206" s="33"/>
      <c r="V206" s="33"/>
      <c r="W206" s="33"/>
      <c r="X206" s="28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7"/>
    </row>
    <row r="207" ht="46.5" customHeight="1" spans="1:44">
      <c r="A207" s="21" t="s">
        <v>35</v>
      </c>
      <c r="B207" s="13">
        <f ca="1" t="shared" ref="B207" si="28">B195+1</f>
        <v>46298</v>
      </c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8"/>
      <c r="T207" s="15"/>
      <c r="U207" s="15"/>
      <c r="V207" s="15"/>
      <c r="W207" s="15"/>
      <c r="X207" s="28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0"/>
    </row>
    <row r="208" ht="46.5" customHeight="1" spans="1:44">
      <c r="A208" s="21" t="s">
        <v>37</v>
      </c>
      <c r="B208" s="22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6"/>
      <c r="S208" s="27"/>
      <c r="T208" s="24"/>
      <c r="U208" s="24"/>
      <c r="V208" s="24"/>
      <c r="W208" s="24"/>
      <c r="X208" s="28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9"/>
    </row>
    <row r="209" ht="46.5" customHeight="1" spans="1:44">
      <c r="A209" s="21" t="s">
        <v>38</v>
      </c>
      <c r="B209" s="22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6"/>
      <c r="S209" s="27"/>
      <c r="T209" s="24"/>
      <c r="U209" s="24"/>
      <c r="V209" s="24"/>
      <c r="W209" s="24"/>
      <c r="X209" s="28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9"/>
    </row>
    <row r="210" ht="46.5" customHeight="1" spans="1:44">
      <c r="A210" s="21" t="s">
        <v>40</v>
      </c>
      <c r="B210" s="22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6"/>
      <c r="S210" s="27"/>
      <c r="T210" s="24"/>
      <c r="U210" s="24"/>
      <c r="V210" s="24"/>
      <c r="W210" s="24"/>
      <c r="X210" s="28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9"/>
    </row>
    <row r="211" ht="46.5" customHeight="1" spans="1:44">
      <c r="A211" s="21" t="s">
        <v>41</v>
      </c>
      <c r="B211" s="22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6"/>
      <c r="S211" s="27"/>
      <c r="T211" s="24"/>
      <c r="U211" s="24"/>
      <c r="V211" s="24"/>
      <c r="W211" s="24"/>
      <c r="X211" s="28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9"/>
    </row>
    <row r="212" ht="46.5" customHeight="1" spans="1:44">
      <c r="A212" s="21" t="s">
        <v>42</v>
      </c>
      <c r="B212" s="22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6"/>
      <c r="S212" s="27"/>
      <c r="T212" s="24"/>
      <c r="U212" s="24"/>
      <c r="V212" s="24"/>
      <c r="W212" s="24"/>
      <c r="X212" s="28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9"/>
    </row>
    <row r="213" ht="46.5" customHeight="1" spans="1:44">
      <c r="A213" s="21" t="s">
        <v>44</v>
      </c>
      <c r="B213" s="30">
        <f ca="1" t="shared" ref="B213" si="29">B201+1</f>
        <v>46298</v>
      </c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6"/>
      <c r="S213" s="27"/>
      <c r="T213" s="24"/>
      <c r="U213" s="24"/>
      <c r="V213" s="24"/>
      <c r="W213" s="24"/>
      <c r="X213" s="28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9"/>
    </row>
    <row r="214" ht="46.5" customHeight="1" spans="1:44">
      <c r="A214" s="21" t="s">
        <v>45</v>
      </c>
      <c r="B214" s="30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6"/>
      <c r="S214" s="27"/>
      <c r="T214" s="24"/>
      <c r="U214" s="24"/>
      <c r="V214" s="24"/>
      <c r="W214" s="24"/>
      <c r="X214" s="28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9"/>
    </row>
    <row r="215" ht="46.5" customHeight="1" spans="1:44">
      <c r="A215" s="21" t="s">
        <v>46</v>
      </c>
      <c r="B215" s="30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6"/>
      <c r="S215" s="27"/>
      <c r="T215" s="24"/>
      <c r="U215" s="24"/>
      <c r="V215" s="24"/>
      <c r="W215" s="24"/>
      <c r="X215" s="28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9"/>
    </row>
    <row r="216" ht="46.5" customHeight="1" spans="1:44">
      <c r="A216" s="21" t="s">
        <v>47</v>
      </c>
      <c r="B216" s="30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6"/>
      <c r="S216" s="27"/>
      <c r="T216" s="24"/>
      <c r="U216" s="24"/>
      <c r="V216" s="24"/>
      <c r="W216" s="24"/>
      <c r="X216" s="28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9"/>
    </row>
    <row r="217" ht="46.5" customHeight="1" spans="1:44">
      <c r="A217" s="21" t="s">
        <v>48</v>
      </c>
      <c r="B217" s="30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6"/>
      <c r="S217" s="27"/>
      <c r="T217" s="24"/>
      <c r="U217" s="24"/>
      <c r="V217" s="24"/>
      <c r="W217" s="24"/>
      <c r="X217" s="28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9"/>
    </row>
    <row r="218" ht="46.5" customHeight="1" spans="1:44">
      <c r="A218" s="21" t="s">
        <v>49</v>
      </c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5"/>
      <c r="S218" s="36"/>
      <c r="T218" s="33"/>
      <c r="U218" s="33"/>
      <c r="V218" s="33"/>
      <c r="W218" s="33"/>
      <c r="X218" s="28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7"/>
    </row>
    <row r="219" ht="46.5" customHeight="1" spans="1:44">
      <c r="A219" s="21" t="s">
        <v>35</v>
      </c>
      <c r="B219" s="13">
        <f ca="1" t="shared" ref="B219" si="30">B207+1</f>
        <v>46299</v>
      </c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8"/>
      <c r="T219" s="15"/>
      <c r="U219" s="15"/>
      <c r="V219" s="15"/>
      <c r="W219" s="15"/>
      <c r="X219" s="28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0"/>
    </row>
    <row r="220" ht="46.5" customHeight="1" spans="1:44">
      <c r="A220" s="21" t="s">
        <v>37</v>
      </c>
      <c r="B220" s="22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6"/>
      <c r="S220" s="27"/>
      <c r="T220" s="24"/>
      <c r="U220" s="24"/>
      <c r="V220" s="24"/>
      <c r="W220" s="24"/>
      <c r="X220" s="28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9"/>
    </row>
    <row r="221" ht="46.5" customHeight="1" spans="1:44">
      <c r="A221" s="21" t="s">
        <v>38</v>
      </c>
      <c r="B221" s="22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6"/>
      <c r="S221" s="27"/>
      <c r="T221" s="24"/>
      <c r="U221" s="24"/>
      <c r="V221" s="24"/>
      <c r="W221" s="24"/>
      <c r="X221" s="28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9"/>
    </row>
    <row r="222" ht="46.5" customHeight="1" spans="1:44">
      <c r="A222" s="21" t="s">
        <v>40</v>
      </c>
      <c r="B222" s="22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6"/>
      <c r="S222" s="27"/>
      <c r="T222" s="24"/>
      <c r="U222" s="24"/>
      <c r="V222" s="24"/>
      <c r="W222" s="24"/>
      <c r="X222" s="28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9"/>
    </row>
    <row r="223" ht="46.5" customHeight="1" spans="1:44">
      <c r="A223" s="21" t="s">
        <v>41</v>
      </c>
      <c r="B223" s="22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6"/>
      <c r="S223" s="27"/>
      <c r="T223" s="24"/>
      <c r="U223" s="24"/>
      <c r="V223" s="24"/>
      <c r="W223" s="24"/>
      <c r="X223" s="28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9"/>
    </row>
    <row r="224" ht="46.5" customHeight="1" spans="1:44">
      <c r="A224" s="21" t="s">
        <v>42</v>
      </c>
      <c r="B224" s="22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6"/>
      <c r="S224" s="27"/>
      <c r="T224" s="24"/>
      <c r="U224" s="24"/>
      <c r="V224" s="24"/>
      <c r="W224" s="24"/>
      <c r="X224" s="28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9"/>
    </row>
    <row r="225" ht="46.5" customHeight="1" spans="1:44">
      <c r="A225" s="21" t="s">
        <v>44</v>
      </c>
      <c r="B225" s="30">
        <f ca="1" t="shared" ref="B225" si="31">B213+1</f>
        <v>46299</v>
      </c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6"/>
      <c r="S225" s="27"/>
      <c r="T225" s="24"/>
      <c r="U225" s="24"/>
      <c r="V225" s="24"/>
      <c r="W225" s="24"/>
      <c r="X225" s="28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9"/>
    </row>
    <row r="226" ht="46.5" customHeight="1" spans="1:44">
      <c r="A226" s="21" t="s">
        <v>45</v>
      </c>
      <c r="B226" s="30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6"/>
      <c r="S226" s="27"/>
      <c r="T226" s="24"/>
      <c r="U226" s="24"/>
      <c r="V226" s="24"/>
      <c r="W226" s="24"/>
      <c r="X226" s="28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9"/>
    </row>
    <row r="227" ht="46.5" customHeight="1" spans="1:44">
      <c r="A227" s="21" t="s">
        <v>46</v>
      </c>
      <c r="B227" s="30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6"/>
      <c r="S227" s="27"/>
      <c r="T227" s="24"/>
      <c r="U227" s="24"/>
      <c r="V227" s="24"/>
      <c r="W227" s="24"/>
      <c r="X227" s="28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9"/>
    </row>
    <row r="228" ht="46.5" customHeight="1" spans="1:44">
      <c r="A228" s="21" t="s">
        <v>47</v>
      </c>
      <c r="B228" s="30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6"/>
      <c r="S228" s="27"/>
      <c r="T228" s="24"/>
      <c r="U228" s="24"/>
      <c r="V228" s="24"/>
      <c r="W228" s="24"/>
      <c r="X228" s="28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9"/>
    </row>
    <row r="229" ht="46.5" customHeight="1" spans="1:44">
      <c r="A229" s="21" t="s">
        <v>48</v>
      </c>
      <c r="B229" s="30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6"/>
      <c r="S229" s="27"/>
      <c r="T229" s="24"/>
      <c r="U229" s="24"/>
      <c r="V229" s="24"/>
      <c r="W229" s="24"/>
      <c r="X229" s="28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9"/>
    </row>
    <row r="230" ht="46.5" customHeight="1" spans="1:44">
      <c r="A230" s="38" t="s">
        <v>49</v>
      </c>
      <c r="B230" s="39"/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2"/>
      <c r="R230" s="43"/>
      <c r="S230" s="44"/>
      <c r="T230" s="41"/>
      <c r="U230" s="41"/>
      <c r="V230" s="41"/>
      <c r="W230" s="41"/>
      <c r="X230" s="28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5"/>
    </row>
    <row r="231" ht="46.5" customHeight="1" spans="1:44">
      <c r="A231" s="46" t="s">
        <v>35</v>
      </c>
      <c r="B231" s="13">
        <f ca="1" t="shared" ref="B231" si="32">B219+1</f>
        <v>46300</v>
      </c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6"/>
      <c r="R231" s="17"/>
      <c r="S231" s="18"/>
      <c r="T231" s="15"/>
      <c r="U231" s="15"/>
      <c r="V231" s="15"/>
      <c r="W231" s="15"/>
      <c r="X231" s="1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0"/>
    </row>
    <row r="232" ht="46.5" customHeight="1" spans="1:44">
      <c r="A232" s="46" t="s">
        <v>37</v>
      </c>
      <c r="B232" s="22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6"/>
      <c r="S232" s="27"/>
      <c r="T232" s="24"/>
      <c r="U232" s="24"/>
      <c r="V232" s="24"/>
      <c r="W232" s="24"/>
      <c r="X232" s="28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9"/>
    </row>
    <row r="233" ht="46.5" customHeight="1" spans="1:44">
      <c r="A233" s="46" t="s">
        <v>38</v>
      </c>
      <c r="B233" s="22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6"/>
      <c r="S233" s="27"/>
      <c r="T233" s="24"/>
      <c r="U233" s="24"/>
      <c r="V233" s="24"/>
      <c r="W233" s="24"/>
      <c r="X233" s="28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9"/>
    </row>
    <row r="234" ht="46.5" customHeight="1" spans="1:44">
      <c r="A234" s="46" t="s">
        <v>40</v>
      </c>
      <c r="B234" s="22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6"/>
      <c r="S234" s="27"/>
      <c r="T234" s="24"/>
      <c r="U234" s="24"/>
      <c r="V234" s="24"/>
      <c r="W234" s="24"/>
      <c r="X234" s="28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9"/>
    </row>
    <row r="235" ht="46.5" customHeight="1" spans="1:44">
      <c r="A235" s="46" t="s">
        <v>41</v>
      </c>
      <c r="B235" s="22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6"/>
      <c r="S235" s="27"/>
      <c r="T235" s="24"/>
      <c r="U235" s="24"/>
      <c r="V235" s="24"/>
      <c r="W235" s="24"/>
      <c r="X235" s="28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9"/>
    </row>
    <row r="236" ht="46.5" customHeight="1" spans="1:44">
      <c r="A236" s="46" t="s">
        <v>42</v>
      </c>
      <c r="B236" s="22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6"/>
      <c r="S236" s="27"/>
      <c r="T236" s="24"/>
      <c r="U236" s="24"/>
      <c r="V236" s="24"/>
      <c r="W236" s="24"/>
      <c r="X236" s="28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9"/>
    </row>
    <row r="237" ht="46.5" customHeight="1" spans="1:44">
      <c r="A237" s="46" t="s">
        <v>44</v>
      </c>
      <c r="B237" s="30">
        <f ca="1" t="shared" ref="B237" si="33">B225+1</f>
        <v>46300</v>
      </c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6"/>
      <c r="S237" s="27"/>
      <c r="T237" s="24"/>
      <c r="U237" s="24"/>
      <c r="V237" s="24"/>
      <c r="W237" s="24"/>
      <c r="X237" s="28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9"/>
    </row>
    <row r="238" ht="46.5" customHeight="1" spans="1:44">
      <c r="A238" s="46" t="s">
        <v>45</v>
      </c>
      <c r="B238" s="30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6"/>
      <c r="S238" s="27"/>
      <c r="T238" s="24"/>
      <c r="U238" s="24"/>
      <c r="V238" s="24"/>
      <c r="W238" s="24"/>
      <c r="X238" s="28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9"/>
    </row>
    <row r="239" ht="46.5" customHeight="1" spans="1:44">
      <c r="A239" s="46" t="s">
        <v>46</v>
      </c>
      <c r="B239" s="30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6"/>
      <c r="S239" s="27"/>
      <c r="T239" s="24"/>
      <c r="U239" s="24"/>
      <c r="V239" s="24"/>
      <c r="W239" s="24"/>
      <c r="X239" s="28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9"/>
    </row>
    <row r="240" ht="46.5" customHeight="1" spans="1:44">
      <c r="A240" s="46" t="s">
        <v>47</v>
      </c>
      <c r="B240" s="30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6"/>
      <c r="S240" s="27"/>
      <c r="T240" s="24"/>
      <c r="U240" s="24"/>
      <c r="V240" s="24"/>
      <c r="W240" s="24"/>
      <c r="X240" s="28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9"/>
    </row>
    <row r="241" ht="46.5" customHeight="1" spans="1:44">
      <c r="A241" s="46" t="s">
        <v>48</v>
      </c>
      <c r="B241" s="30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6"/>
      <c r="S241" s="27"/>
      <c r="T241" s="24"/>
      <c r="U241" s="24"/>
      <c r="V241" s="24"/>
      <c r="W241" s="24"/>
      <c r="X241" s="28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9"/>
    </row>
    <row r="242" ht="46.5" customHeight="1" spans="1:44">
      <c r="A242" s="46" t="s">
        <v>49</v>
      </c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4"/>
      <c r="R242" s="35"/>
      <c r="S242" s="36"/>
      <c r="T242" s="33"/>
      <c r="U242" s="33"/>
      <c r="V242" s="33"/>
      <c r="W242" s="33"/>
      <c r="X242" s="47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7"/>
    </row>
    <row r="243" ht="46.5" customHeight="1" spans="1:44">
      <c r="A243" s="48"/>
      <c r="B243" s="49"/>
      <c r="R243" s="50"/>
      <c r="X243" s="51"/>
    </row>
    <row r="244" ht="46.5" customHeight="1" spans="1:44">
      <c r="A244" s="48"/>
      <c r="B244" s="49"/>
      <c r="R244" s="50"/>
      <c r="X244" s="51"/>
    </row>
    <row r="245" ht="46.5" customHeight="1" spans="1:44">
      <c r="A245" s="48"/>
      <c r="B245" s="49"/>
      <c r="R245" s="50"/>
      <c r="X245" s="51"/>
    </row>
    <row r="246" ht="46.5" customHeight="1" spans="1:44">
      <c r="A246" s="48"/>
      <c r="B246" s="49"/>
      <c r="R246" s="50"/>
      <c r="X246" s="51"/>
    </row>
    <row r="247" ht="46.5" customHeight="1" spans="1:44">
      <c r="A247" s="48"/>
      <c r="B247" s="49"/>
      <c r="R247" s="50"/>
      <c r="X247" s="51"/>
    </row>
    <row r="248" ht="46.5" customHeight="1" spans="1:44">
      <c r="A248" s="48"/>
      <c r="B248" s="49"/>
      <c r="R248" s="50"/>
      <c r="X248" s="51"/>
    </row>
    <row r="249" ht="46.5" customHeight="1" spans="1:44">
      <c r="A249" s="48"/>
      <c r="B249" s="52"/>
      <c r="R249" s="50"/>
      <c r="X249" s="51"/>
    </row>
    <row r="250" ht="46.5" customHeight="1" spans="1:44">
      <c r="A250" s="48"/>
      <c r="B250" s="52"/>
      <c r="R250" s="50"/>
      <c r="X250" s="51"/>
    </row>
    <row r="251" ht="46.5" customHeight="1" spans="1:44">
      <c r="A251" s="48"/>
      <c r="B251" s="52"/>
      <c r="R251" s="50"/>
      <c r="X251" s="51"/>
    </row>
    <row r="252" ht="46.5" customHeight="1" spans="1:44">
      <c r="A252" s="48"/>
      <c r="B252" s="52"/>
      <c r="R252" s="50"/>
      <c r="X252" s="51"/>
    </row>
    <row r="253" ht="46.5" customHeight="1" spans="1:44">
      <c r="A253" s="48"/>
      <c r="B253" s="52"/>
      <c r="R253" s="50"/>
      <c r="X253" s="51"/>
    </row>
    <row r="254" ht="46.5" customHeight="1" spans="1:44">
      <c r="A254" s="48"/>
      <c r="B254" s="52"/>
      <c r="R254" s="50"/>
      <c r="X254" s="51"/>
    </row>
    <row r="255" ht="46.5" customHeight="1" spans="1:44">
      <c r="A255" s="48"/>
      <c r="B255" s="49"/>
      <c r="R255" s="50"/>
      <c r="X255" s="51"/>
    </row>
    <row r="256" ht="46.5" customHeight="1" spans="1:44">
      <c r="A256" s="48"/>
      <c r="B256" s="49"/>
      <c r="R256" s="50"/>
      <c r="X256" s="51"/>
    </row>
    <row r="257" ht="46.5" customHeight="1" spans="1:24">
      <c r="A257" s="48"/>
      <c r="B257" s="49"/>
      <c r="R257" s="50"/>
      <c r="X257" s="51"/>
    </row>
    <row r="258" ht="46.5" customHeight="1" spans="1:24">
      <c r="A258" s="48"/>
      <c r="B258" s="49"/>
      <c r="R258" s="50"/>
      <c r="X258" s="51"/>
    </row>
    <row r="259" ht="46.5" customHeight="1" spans="1:24">
      <c r="A259" s="48"/>
      <c r="B259" s="49"/>
      <c r="R259" s="50"/>
      <c r="X259" s="51"/>
    </row>
    <row r="260" ht="46.5" customHeight="1" spans="1:24">
      <c r="A260" s="48"/>
      <c r="B260" s="49"/>
      <c r="R260" s="50"/>
      <c r="X260" s="51"/>
    </row>
    <row r="261" ht="46.5" customHeight="1" spans="1:24">
      <c r="A261" s="48"/>
      <c r="B261" s="52"/>
      <c r="R261" s="50"/>
      <c r="X261" s="51"/>
    </row>
    <row r="262" ht="46.5" customHeight="1" spans="1:24">
      <c r="A262" s="48"/>
      <c r="B262" s="52"/>
      <c r="R262" s="50"/>
      <c r="X262" s="51"/>
    </row>
    <row r="263" ht="46.5" customHeight="1" spans="1:24">
      <c r="A263" s="48"/>
      <c r="B263" s="52"/>
      <c r="R263" s="50"/>
      <c r="X263" s="51"/>
    </row>
    <row r="264" ht="46.5" customHeight="1" spans="1:24">
      <c r="A264" s="48"/>
      <c r="B264" s="52"/>
      <c r="R264" s="50"/>
      <c r="X264" s="51"/>
    </row>
    <row r="265" ht="46.5" customHeight="1" spans="1:24">
      <c r="A265" s="48"/>
      <c r="B265" s="52"/>
      <c r="R265" s="50"/>
      <c r="X265" s="51"/>
    </row>
    <row r="266" ht="46.5" customHeight="1" spans="1:24">
      <c r="A266" s="48"/>
      <c r="B266" s="52"/>
      <c r="R266" s="50"/>
      <c r="X266" s="51"/>
    </row>
    <row r="267" ht="46.5" customHeight="1" spans="1:24">
      <c r="A267" s="48"/>
      <c r="B267" s="49"/>
      <c r="R267" s="50"/>
      <c r="X267" s="51"/>
    </row>
    <row r="268" ht="46.5" customHeight="1" spans="1:24">
      <c r="A268" s="48"/>
      <c r="B268" s="49"/>
      <c r="R268" s="50"/>
      <c r="X268" s="51"/>
    </row>
    <row r="269" ht="46.5" customHeight="1" spans="1:24">
      <c r="A269" s="48"/>
      <c r="B269" s="49"/>
      <c r="R269" s="50"/>
      <c r="X269" s="51"/>
    </row>
    <row r="270" ht="46.5" customHeight="1" spans="1:24">
      <c r="A270" s="48"/>
      <c r="B270" s="49"/>
      <c r="R270" s="50"/>
      <c r="X270" s="51"/>
    </row>
    <row r="271" ht="46.5" customHeight="1" spans="1:24">
      <c r="A271" s="48"/>
      <c r="B271" s="49"/>
      <c r="R271" s="50"/>
      <c r="X271" s="51"/>
    </row>
    <row r="272" ht="46.5" customHeight="1" spans="1:24">
      <c r="A272" s="48"/>
      <c r="B272" s="49"/>
      <c r="R272" s="50"/>
      <c r="X272" s="51"/>
    </row>
    <row r="273" ht="46.5" customHeight="1" spans="1:24">
      <c r="A273" s="48"/>
      <c r="B273" s="52"/>
      <c r="R273" s="50"/>
      <c r="X273" s="51"/>
    </row>
    <row r="274" ht="46.5" customHeight="1" spans="1:24">
      <c r="A274" s="48"/>
      <c r="B274" s="52"/>
      <c r="R274" s="50"/>
      <c r="X274" s="51"/>
    </row>
    <row r="275" ht="46.5" customHeight="1" spans="1:24">
      <c r="A275" s="48"/>
      <c r="B275" s="52"/>
      <c r="R275" s="50"/>
      <c r="X275" s="51"/>
    </row>
    <row r="276" ht="46.5" customHeight="1" spans="1:24">
      <c r="A276" s="48"/>
      <c r="B276" s="52"/>
      <c r="R276" s="50"/>
      <c r="X276" s="51"/>
    </row>
    <row r="277" ht="46.5" customHeight="1" spans="1:24">
      <c r="A277" s="48"/>
      <c r="B277" s="52"/>
      <c r="R277" s="50"/>
      <c r="X277" s="51"/>
    </row>
    <row r="278" ht="46.5" customHeight="1" spans="1:24">
      <c r="A278" s="48"/>
      <c r="B278" s="52"/>
      <c r="R278" s="50"/>
      <c r="X278" s="51"/>
    </row>
    <row r="279" ht="46.5" customHeight="1" spans="1:24">
      <c r="A279" s="48"/>
      <c r="B279" s="49"/>
      <c r="R279" s="50"/>
      <c r="X279" s="51"/>
    </row>
    <row r="280" ht="46.5" customHeight="1" spans="1:24">
      <c r="A280" s="48"/>
      <c r="B280" s="49"/>
      <c r="R280" s="50"/>
      <c r="X280" s="51"/>
    </row>
    <row r="281" ht="46.5" customHeight="1" spans="1:24">
      <c r="A281" s="48"/>
      <c r="B281" s="49"/>
      <c r="R281" s="50"/>
      <c r="X281" s="51"/>
    </row>
    <row r="282" ht="46.5" customHeight="1" spans="1:24">
      <c r="A282" s="48"/>
      <c r="B282" s="49"/>
      <c r="R282" s="50"/>
      <c r="X282" s="51"/>
    </row>
    <row r="283" ht="46.5" customHeight="1" spans="1:24">
      <c r="A283" s="48"/>
      <c r="B283" s="49"/>
      <c r="R283" s="50"/>
      <c r="X283" s="51"/>
    </row>
    <row r="284" ht="46.5" customHeight="1" spans="1:24">
      <c r="A284" s="48"/>
      <c r="B284" s="49"/>
      <c r="R284" s="50"/>
      <c r="X284" s="51"/>
    </row>
    <row r="285" ht="46.5" customHeight="1" spans="1:24">
      <c r="A285" s="48"/>
      <c r="B285" s="52"/>
      <c r="R285" s="50"/>
      <c r="X285" s="51"/>
    </row>
    <row r="286" ht="46.5" customHeight="1" spans="1:24">
      <c r="A286" s="48"/>
      <c r="B286" s="52"/>
      <c r="R286" s="50"/>
      <c r="X286" s="51"/>
    </row>
    <row r="287" ht="46.5" customHeight="1" spans="1:24">
      <c r="A287" s="48"/>
      <c r="B287" s="52"/>
      <c r="R287" s="50"/>
      <c r="X287" s="51"/>
    </row>
    <row r="288" ht="46.5" customHeight="1" spans="1:24">
      <c r="A288" s="48"/>
      <c r="B288" s="52"/>
      <c r="R288" s="50"/>
      <c r="X288" s="51"/>
    </row>
    <row r="289" ht="46.5" customHeight="1" spans="1:24">
      <c r="A289" s="48"/>
      <c r="B289" s="52"/>
      <c r="R289" s="50"/>
      <c r="X289" s="51"/>
    </row>
    <row r="290" ht="46.5" customHeight="1" spans="1:24">
      <c r="A290" s="48"/>
      <c r="B290" s="52"/>
      <c r="R290" s="50"/>
      <c r="X290" s="51"/>
    </row>
    <row r="291" ht="46.5" customHeight="1" spans="1:24">
      <c r="A291" s="48"/>
      <c r="B291" s="49"/>
      <c r="R291" s="50"/>
      <c r="X291" s="51"/>
    </row>
    <row r="292" ht="46.5" customHeight="1" spans="1:24">
      <c r="A292" s="48"/>
      <c r="B292" s="49"/>
      <c r="R292" s="50"/>
      <c r="X292" s="51"/>
    </row>
    <row r="293" ht="46.5" customHeight="1" spans="1:24">
      <c r="A293" s="48"/>
      <c r="B293" s="49"/>
      <c r="R293" s="50"/>
      <c r="X293" s="51"/>
    </row>
    <row r="294" ht="46.5" customHeight="1" spans="1:24">
      <c r="A294" s="48"/>
      <c r="B294" s="49"/>
      <c r="R294" s="50"/>
      <c r="X294" s="51"/>
    </row>
    <row r="295" ht="46.5" customHeight="1" spans="1:24">
      <c r="A295" s="48"/>
      <c r="B295" s="49"/>
      <c r="R295" s="50"/>
      <c r="X295" s="51"/>
    </row>
    <row r="296" ht="46.5" customHeight="1" spans="1:24">
      <c r="A296" s="48"/>
      <c r="B296" s="49"/>
      <c r="R296" s="50"/>
      <c r="X296" s="51"/>
    </row>
    <row r="297" ht="46.5" customHeight="1" spans="1:24">
      <c r="A297" s="48"/>
      <c r="B297" s="52"/>
      <c r="R297" s="50"/>
      <c r="X297" s="51"/>
    </row>
    <row r="298" ht="46.5" customHeight="1" spans="1:24">
      <c r="A298" s="48"/>
      <c r="B298" s="52"/>
      <c r="R298" s="50"/>
      <c r="X298" s="51"/>
    </row>
    <row r="299" ht="46.5" customHeight="1" spans="1:24">
      <c r="A299" s="48"/>
      <c r="B299" s="52"/>
      <c r="R299" s="50"/>
      <c r="X299" s="51"/>
    </row>
    <row r="300" ht="46.5" customHeight="1" spans="1:24">
      <c r="A300" s="48"/>
      <c r="B300" s="52"/>
      <c r="R300" s="50"/>
      <c r="X300" s="51"/>
    </row>
    <row r="301" ht="46.5" customHeight="1" spans="1:24">
      <c r="A301" s="48"/>
      <c r="B301" s="52"/>
      <c r="R301" s="50"/>
      <c r="X301" s="51"/>
    </row>
    <row r="302" ht="46.5" customHeight="1" spans="1:24">
      <c r="A302" s="48"/>
      <c r="B302" s="52"/>
      <c r="R302" s="50"/>
      <c r="X302" s="51"/>
    </row>
    <row r="303" ht="46.5" customHeight="1" spans="1:24">
      <c r="A303" s="48"/>
      <c r="B303" s="49"/>
      <c r="R303" s="50"/>
      <c r="X303" s="51"/>
    </row>
    <row r="304" ht="46.5" customHeight="1" spans="1:24">
      <c r="A304" s="48"/>
      <c r="B304" s="49"/>
      <c r="R304" s="50"/>
      <c r="X304" s="51"/>
    </row>
    <row r="305" ht="46.5" customHeight="1" spans="1:24">
      <c r="A305" s="48"/>
      <c r="B305" s="49"/>
      <c r="R305" s="50"/>
      <c r="X305" s="51"/>
    </row>
    <row r="306" ht="46.5" customHeight="1" spans="1:24">
      <c r="A306" s="48"/>
      <c r="B306" s="49"/>
      <c r="R306" s="50"/>
      <c r="X306" s="51"/>
    </row>
    <row r="307" ht="46.5" customHeight="1" spans="1:24">
      <c r="A307" s="48"/>
      <c r="B307" s="49"/>
      <c r="R307" s="50"/>
      <c r="X307" s="51"/>
    </row>
    <row r="308" ht="46.5" customHeight="1" spans="1:24">
      <c r="A308" s="48"/>
      <c r="B308" s="49"/>
      <c r="R308" s="50"/>
      <c r="X308" s="51"/>
    </row>
    <row r="309" ht="46.5" customHeight="1" spans="1:24">
      <c r="A309" s="48"/>
      <c r="B309" s="52"/>
      <c r="R309" s="50"/>
      <c r="X309" s="51"/>
    </row>
    <row r="310" ht="46.5" customHeight="1" spans="1:24">
      <c r="A310" s="48"/>
      <c r="B310" s="52"/>
      <c r="R310" s="50"/>
      <c r="X310" s="51"/>
    </row>
    <row r="311" ht="46.5" customHeight="1" spans="1:24">
      <c r="A311" s="48"/>
      <c r="B311" s="52"/>
      <c r="R311" s="50"/>
      <c r="X311" s="51"/>
    </row>
    <row r="312" ht="46.5" customHeight="1" spans="1:24">
      <c r="A312" s="48"/>
      <c r="B312" s="52"/>
      <c r="R312" s="50"/>
      <c r="X312" s="51"/>
    </row>
    <row r="313" ht="46.5" customHeight="1" spans="1:24">
      <c r="A313" s="48"/>
      <c r="B313" s="52"/>
      <c r="R313" s="50"/>
      <c r="X313" s="51"/>
    </row>
    <row r="314" ht="46.5" customHeight="1" spans="1:24">
      <c r="A314" s="48"/>
      <c r="B314" s="52"/>
      <c r="R314" s="50"/>
      <c r="X314" s="51"/>
    </row>
    <row r="315" ht="46.5" customHeight="1" spans="1:24">
      <c r="A315" s="48"/>
      <c r="B315" s="49"/>
      <c r="R315" s="50"/>
      <c r="X315" s="51"/>
    </row>
    <row r="316" ht="46.5" customHeight="1" spans="1:24">
      <c r="A316" s="48"/>
      <c r="B316" s="49"/>
      <c r="R316" s="50"/>
      <c r="X316" s="51"/>
    </row>
    <row r="317" ht="46.5" customHeight="1" spans="1:24">
      <c r="A317" s="48"/>
      <c r="B317" s="49"/>
      <c r="R317" s="50"/>
      <c r="X317" s="51"/>
    </row>
    <row r="318" ht="46.5" customHeight="1" spans="1:24">
      <c r="A318" s="48"/>
      <c r="B318" s="49"/>
      <c r="R318" s="50"/>
      <c r="X318" s="51"/>
    </row>
    <row r="319" ht="46.5" customHeight="1" spans="1:24">
      <c r="A319" s="48"/>
      <c r="B319" s="49"/>
      <c r="R319" s="50"/>
      <c r="X319" s="51"/>
    </row>
    <row r="320" ht="46.5" customHeight="1" spans="1:24">
      <c r="A320" s="48"/>
      <c r="B320" s="49"/>
      <c r="R320" s="50"/>
      <c r="X320" s="51"/>
    </row>
    <row r="321" ht="46.5" customHeight="1" spans="1:24">
      <c r="A321" s="48"/>
      <c r="B321" s="52"/>
      <c r="R321" s="50"/>
      <c r="X321" s="51"/>
    </row>
    <row r="322" ht="46.5" customHeight="1" spans="1:24">
      <c r="A322" s="48"/>
      <c r="B322" s="52"/>
      <c r="R322" s="50"/>
      <c r="X322" s="51"/>
    </row>
    <row r="323" ht="46.5" customHeight="1" spans="1:24">
      <c r="A323" s="48"/>
      <c r="B323" s="52"/>
      <c r="R323" s="50"/>
      <c r="X323" s="51"/>
    </row>
    <row r="324" ht="46.5" customHeight="1" spans="1:24">
      <c r="A324" s="48"/>
      <c r="B324" s="52"/>
      <c r="R324" s="50"/>
      <c r="X324" s="51"/>
    </row>
    <row r="325" ht="46.5" customHeight="1" spans="1:24">
      <c r="A325" s="48"/>
      <c r="B325" s="52"/>
      <c r="R325" s="50"/>
      <c r="X325" s="51"/>
    </row>
    <row r="326" ht="46.5" customHeight="1" spans="1:24">
      <c r="A326" s="48"/>
      <c r="B326" s="52"/>
      <c r="R326" s="50"/>
      <c r="X326" s="51"/>
    </row>
    <row r="327" ht="46.5" customHeight="1" spans="1:24">
      <c r="A327" s="48"/>
      <c r="B327" s="49"/>
      <c r="R327" s="50"/>
      <c r="X327" s="51"/>
    </row>
    <row r="328" ht="46.5" customHeight="1" spans="1:24">
      <c r="A328" s="48"/>
      <c r="B328" s="49"/>
      <c r="R328" s="50"/>
      <c r="X328" s="51"/>
    </row>
    <row r="329" ht="46.5" customHeight="1" spans="1:24">
      <c r="A329" s="48"/>
      <c r="B329" s="49"/>
      <c r="R329" s="50"/>
      <c r="X329" s="51"/>
    </row>
    <row r="330" ht="46.5" customHeight="1" spans="1:24">
      <c r="A330" s="48"/>
      <c r="B330" s="49"/>
      <c r="R330" s="50"/>
      <c r="X330" s="51"/>
    </row>
    <row r="331" ht="46.5" customHeight="1" spans="1:24">
      <c r="A331" s="48"/>
      <c r="B331" s="49"/>
      <c r="R331" s="50"/>
      <c r="X331" s="51"/>
    </row>
    <row r="332" ht="46.5" customHeight="1" spans="1:24">
      <c r="A332" s="48"/>
      <c r="B332" s="49"/>
      <c r="R332" s="50"/>
      <c r="X332" s="51"/>
    </row>
    <row r="333" ht="46.5" customHeight="1" spans="1:24">
      <c r="A333" s="48"/>
      <c r="B333" s="52"/>
      <c r="R333" s="50"/>
      <c r="X333" s="51"/>
    </row>
    <row r="334" ht="46.5" customHeight="1" spans="1:24">
      <c r="A334" s="48"/>
      <c r="B334" s="52"/>
      <c r="R334" s="50"/>
      <c r="X334" s="51"/>
    </row>
    <row r="335" ht="46.5" customHeight="1" spans="1:24">
      <c r="A335" s="48"/>
      <c r="B335" s="52"/>
      <c r="R335" s="50"/>
      <c r="X335" s="51"/>
    </row>
    <row r="336" ht="46.5" customHeight="1" spans="1:24">
      <c r="A336" s="48"/>
      <c r="B336" s="52"/>
      <c r="R336" s="50"/>
      <c r="X336" s="51"/>
    </row>
    <row r="337" ht="46.5" customHeight="1" spans="1:24">
      <c r="A337" s="48"/>
      <c r="B337" s="52"/>
      <c r="R337" s="50"/>
      <c r="X337" s="51"/>
    </row>
    <row r="338" ht="46.5" customHeight="1" spans="1:24">
      <c r="A338" s="48"/>
      <c r="B338" s="52"/>
      <c r="R338" s="50"/>
      <c r="X338" s="51"/>
    </row>
    <row r="339" ht="46.5" customHeight="1" spans="1:24">
      <c r="A339" s="48"/>
      <c r="B339" s="49"/>
      <c r="R339" s="50"/>
      <c r="X339" s="51"/>
    </row>
    <row r="340" ht="46.5" customHeight="1" spans="1:24">
      <c r="A340" s="48"/>
      <c r="B340" s="49"/>
      <c r="R340" s="50"/>
      <c r="X340" s="51"/>
    </row>
    <row r="341" ht="46.5" customHeight="1" spans="1:24">
      <c r="A341" s="48"/>
      <c r="B341" s="49"/>
      <c r="R341" s="50"/>
      <c r="X341" s="51"/>
    </row>
    <row r="342" ht="46.5" customHeight="1" spans="1:24">
      <c r="A342" s="48"/>
      <c r="B342" s="49"/>
      <c r="R342" s="50"/>
      <c r="X342" s="51"/>
    </row>
    <row r="343" ht="46.5" customHeight="1" spans="1:24">
      <c r="A343" s="48"/>
      <c r="B343" s="49"/>
      <c r="R343" s="50"/>
      <c r="X343" s="51"/>
    </row>
    <row r="344" ht="46.5" customHeight="1" spans="1:24">
      <c r="A344" s="48"/>
      <c r="B344" s="49"/>
      <c r="R344" s="50"/>
      <c r="X344" s="51"/>
    </row>
    <row r="345" ht="46.5" customHeight="1" spans="1:24">
      <c r="A345" s="48"/>
      <c r="B345" s="52"/>
      <c r="R345" s="50"/>
      <c r="X345" s="51"/>
    </row>
    <row r="346" ht="46.5" customHeight="1" spans="1:24">
      <c r="A346" s="48"/>
      <c r="B346" s="52"/>
      <c r="R346" s="50"/>
      <c r="X346" s="51"/>
    </row>
    <row r="347" ht="46.5" customHeight="1" spans="1:24">
      <c r="A347" s="48"/>
      <c r="B347" s="52"/>
      <c r="R347" s="50"/>
      <c r="X347" s="51"/>
    </row>
    <row r="348" ht="46.5" customHeight="1" spans="1:24">
      <c r="A348" s="48"/>
      <c r="B348" s="52"/>
      <c r="R348" s="50"/>
      <c r="X348" s="51"/>
    </row>
    <row r="349" ht="46.5" customHeight="1" spans="1:24">
      <c r="A349" s="48"/>
      <c r="B349" s="52"/>
      <c r="R349" s="50"/>
      <c r="X349" s="51"/>
    </row>
    <row r="350" ht="46.5" customHeight="1" spans="1:24">
      <c r="A350" s="48"/>
      <c r="B350" s="52"/>
      <c r="R350" s="50"/>
      <c r="X350" s="51"/>
    </row>
    <row r="351" ht="46.5" customHeight="1" spans="1:24">
      <c r="A351" s="48"/>
      <c r="B351" s="49"/>
      <c r="R351" s="50"/>
      <c r="X351" s="51"/>
    </row>
    <row r="352" ht="46.5" customHeight="1" spans="1:24">
      <c r="A352" s="48"/>
      <c r="B352" s="49"/>
      <c r="R352" s="50"/>
      <c r="X352" s="51"/>
    </row>
    <row r="353" ht="46.5" customHeight="1" spans="1:24">
      <c r="A353" s="48"/>
      <c r="B353" s="49"/>
      <c r="R353" s="50"/>
      <c r="X353" s="51"/>
    </row>
    <row r="354" ht="46.5" customHeight="1" spans="1:24">
      <c r="A354" s="48"/>
      <c r="B354" s="49"/>
      <c r="R354" s="50"/>
      <c r="X354" s="51"/>
    </row>
    <row r="355" ht="46.5" customHeight="1" spans="1:24">
      <c r="A355" s="48"/>
      <c r="B355" s="49"/>
      <c r="R355" s="50"/>
      <c r="X355" s="51"/>
    </row>
    <row r="356" ht="46.5" customHeight="1" spans="1:24">
      <c r="A356" s="48"/>
      <c r="B356" s="49"/>
      <c r="R356" s="50"/>
      <c r="X356" s="51"/>
    </row>
    <row r="357" ht="46.5" customHeight="1" spans="1:24">
      <c r="A357" s="48"/>
      <c r="B357" s="52"/>
      <c r="R357" s="50"/>
      <c r="X357" s="51"/>
    </row>
    <row r="358" ht="46.5" customHeight="1" spans="1:24">
      <c r="A358" s="48"/>
      <c r="B358" s="52"/>
      <c r="R358" s="50"/>
      <c r="X358" s="51"/>
    </row>
    <row r="359" ht="46.5" customHeight="1" spans="1:24">
      <c r="A359" s="48"/>
      <c r="B359" s="52"/>
      <c r="R359" s="50"/>
      <c r="X359" s="51"/>
    </row>
    <row r="360" ht="46.5" customHeight="1" spans="1:24">
      <c r="A360" s="48"/>
      <c r="B360" s="52"/>
      <c r="R360" s="50"/>
      <c r="X360" s="51"/>
    </row>
    <row r="361" ht="46.5" customHeight="1" spans="1:24">
      <c r="A361" s="48"/>
      <c r="B361" s="52"/>
      <c r="R361" s="50"/>
      <c r="X361" s="51"/>
    </row>
    <row r="362" ht="46.5" customHeight="1" spans="1:24">
      <c r="A362" s="48"/>
      <c r="B362" s="52"/>
      <c r="R362" s="50"/>
      <c r="X362" s="51"/>
    </row>
    <row r="363" ht="46.5" customHeight="1" spans="1:24">
      <c r="A363" s="48"/>
      <c r="B363" s="49"/>
      <c r="R363" s="50"/>
      <c r="X363" s="51"/>
    </row>
    <row r="364" ht="46.5" customHeight="1" spans="1:24">
      <c r="A364" s="48"/>
      <c r="B364" s="49"/>
      <c r="R364" s="50"/>
      <c r="X364" s="51"/>
    </row>
    <row r="365" ht="46.5" customHeight="1" spans="1:24">
      <c r="A365" s="48"/>
      <c r="B365" s="49"/>
      <c r="R365" s="50"/>
      <c r="X365" s="51"/>
    </row>
    <row r="366" ht="46.5" customHeight="1" spans="1:24">
      <c r="A366" s="48"/>
      <c r="B366" s="49"/>
      <c r="R366" s="50"/>
      <c r="X366" s="51"/>
    </row>
    <row r="367" ht="46.5" customHeight="1" spans="1:24">
      <c r="A367" s="48"/>
      <c r="B367" s="49"/>
      <c r="R367" s="50"/>
      <c r="X367" s="51"/>
    </row>
    <row r="368" ht="46.5" customHeight="1" spans="1:24">
      <c r="A368" s="48"/>
      <c r="B368" s="49"/>
      <c r="R368" s="50"/>
      <c r="X368" s="51"/>
    </row>
    <row r="369" ht="46.5" customHeight="1" spans="1:24">
      <c r="A369" s="48"/>
      <c r="B369" s="52"/>
      <c r="R369" s="50"/>
      <c r="X369" s="51"/>
    </row>
    <row r="370" ht="46.5" customHeight="1" spans="1:24">
      <c r="A370" s="48"/>
      <c r="B370" s="52"/>
      <c r="R370" s="50"/>
      <c r="X370" s="51"/>
    </row>
    <row r="371" ht="46.5" customHeight="1" spans="1:24">
      <c r="A371" s="48"/>
      <c r="B371" s="52"/>
      <c r="R371" s="50"/>
      <c r="X371" s="51"/>
    </row>
    <row r="372" ht="46.5" customHeight="1" spans="1:24">
      <c r="A372" s="48"/>
      <c r="B372" s="52"/>
      <c r="R372" s="50"/>
      <c r="X372" s="51"/>
    </row>
    <row r="373" ht="46.5" customHeight="1" spans="1:24">
      <c r="A373" s="48"/>
      <c r="B373" s="52"/>
      <c r="R373" s="50"/>
      <c r="X373" s="51"/>
    </row>
    <row r="374" ht="46.5" customHeight="1" spans="1:24">
      <c r="A374" s="48"/>
      <c r="B374" s="52"/>
      <c r="R374" s="50"/>
      <c r="X374" s="51"/>
    </row>
    <row r="375" ht="46.5" customHeight="1" spans="1:24">
      <c r="A375" s="48"/>
      <c r="B375" s="49"/>
      <c r="R375" s="50"/>
      <c r="X375" s="51"/>
    </row>
    <row r="376" ht="46.5" customHeight="1" spans="1:24">
      <c r="A376" s="48"/>
      <c r="B376" s="49"/>
      <c r="R376" s="50"/>
      <c r="X376" s="51"/>
    </row>
    <row r="377" ht="46.5" customHeight="1" spans="1:24">
      <c r="A377" s="48"/>
      <c r="B377" s="49"/>
      <c r="R377" s="50"/>
      <c r="X377" s="51"/>
    </row>
    <row r="378" ht="46.5" customHeight="1" spans="1:24">
      <c r="A378" s="48"/>
      <c r="B378" s="49"/>
      <c r="R378" s="50"/>
      <c r="X378" s="51"/>
    </row>
    <row r="379" ht="46.5" customHeight="1" spans="1:24">
      <c r="A379" s="48"/>
      <c r="B379" s="49"/>
      <c r="R379" s="50"/>
      <c r="X379" s="51"/>
    </row>
    <row r="380" ht="46.5" customHeight="1" spans="1:24">
      <c r="A380" s="48"/>
      <c r="B380" s="49"/>
      <c r="R380" s="50"/>
      <c r="X380" s="51"/>
    </row>
    <row r="381" ht="46.5" customHeight="1" spans="1:24">
      <c r="A381" s="48"/>
      <c r="B381" s="52"/>
      <c r="R381" s="50"/>
      <c r="X381" s="51"/>
    </row>
    <row r="382" ht="46.5" customHeight="1" spans="1:24">
      <c r="A382" s="48"/>
      <c r="B382" s="52"/>
      <c r="R382" s="50"/>
      <c r="X382" s="51"/>
    </row>
    <row r="383" ht="46.5" customHeight="1" spans="1:24">
      <c r="A383" s="48"/>
      <c r="B383" s="52"/>
      <c r="R383" s="50"/>
      <c r="X383" s="51"/>
    </row>
    <row r="384" ht="46.5" customHeight="1" spans="1:24">
      <c r="A384" s="48"/>
      <c r="B384" s="52"/>
      <c r="R384" s="50"/>
      <c r="X384" s="51"/>
    </row>
    <row r="385" ht="46.5" customHeight="1" spans="1:24">
      <c r="A385" s="48"/>
      <c r="B385" s="52"/>
      <c r="R385" s="50"/>
      <c r="X385" s="51"/>
    </row>
    <row r="386" ht="46.5" customHeight="1" spans="1:24">
      <c r="A386" s="48"/>
      <c r="B386" s="52"/>
      <c r="R386" s="50"/>
      <c r="X386" s="51"/>
    </row>
    <row r="387" ht="46.5" customHeight="1" spans="1:24">
      <c r="A387" s="48"/>
      <c r="B387" s="49"/>
      <c r="R387" s="50"/>
      <c r="X387" s="51"/>
    </row>
    <row r="388" ht="46.5" customHeight="1" spans="1:24">
      <c r="A388" s="48"/>
      <c r="B388" s="49"/>
      <c r="R388" s="50"/>
      <c r="X388" s="51"/>
    </row>
    <row r="389" ht="46.5" customHeight="1" spans="1:24">
      <c r="A389" s="48"/>
      <c r="B389" s="49"/>
      <c r="R389" s="50"/>
      <c r="X389" s="51"/>
    </row>
    <row r="390" ht="46.5" customHeight="1" spans="1:24">
      <c r="A390" s="48"/>
      <c r="B390" s="49"/>
      <c r="R390" s="50"/>
      <c r="X390" s="51"/>
    </row>
    <row r="391" ht="46.5" customHeight="1" spans="1:24">
      <c r="A391" s="48"/>
      <c r="B391" s="49"/>
      <c r="R391" s="50"/>
      <c r="X391" s="51"/>
    </row>
    <row r="392" ht="46.5" customHeight="1" spans="1:24">
      <c r="A392" s="48"/>
      <c r="B392" s="49"/>
      <c r="R392" s="50"/>
      <c r="X392" s="51"/>
    </row>
    <row r="393" ht="46.5" customHeight="1" spans="1:24">
      <c r="A393" s="48"/>
      <c r="B393" s="52"/>
      <c r="R393" s="50"/>
      <c r="X393" s="51"/>
    </row>
    <row r="394" ht="46.5" customHeight="1" spans="1:24">
      <c r="A394" s="48"/>
      <c r="B394" s="52"/>
      <c r="R394" s="50"/>
      <c r="X394" s="51"/>
    </row>
    <row r="395" ht="46.5" customHeight="1" spans="1:24">
      <c r="A395" s="48"/>
      <c r="B395" s="52"/>
      <c r="R395" s="50"/>
      <c r="X395" s="51"/>
    </row>
    <row r="396" ht="46.5" customHeight="1" spans="1:24">
      <c r="A396" s="48"/>
      <c r="B396" s="52"/>
      <c r="R396" s="50"/>
      <c r="X396" s="51"/>
    </row>
    <row r="397" ht="46.5" customHeight="1" spans="1:24">
      <c r="A397" s="48"/>
      <c r="B397" s="52"/>
      <c r="R397" s="50"/>
      <c r="X397" s="51"/>
    </row>
    <row r="398" ht="46.5" customHeight="1" spans="1:24">
      <c r="A398" s="48"/>
      <c r="B398" s="52"/>
      <c r="R398" s="50"/>
      <c r="X398" s="51"/>
    </row>
    <row r="399" ht="46.5" customHeight="1" spans="1:24">
      <c r="A399" s="48"/>
      <c r="B399" s="49"/>
      <c r="R399" s="50"/>
      <c r="X399" s="51"/>
    </row>
    <row r="400" ht="46.5" customHeight="1" spans="1:24">
      <c r="A400" s="48"/>
      <c r="B400" s="49"/>
      <c r="R400" s="50"/>
      <c r="X400" s="51"/>
    </row>
    <row r="401" ht="46.5" customHeight="1" spans="1:24">
      <c r="A401" s="48"/>
      <c r="B401" s="49"/>
      <c r="R401" s="50"/>
      <c r="X401" s="51"/>
    </row>
    <row r="402" ht="46.5" customHeight="1" spans="1:24">
      <c r="A402" s="48"/>
      <c r="B402" s="49"/>
      <c r="R402" s="50"/>
      <c r="X402" s="51"/>
    </row>
    <row r="403" ht="46.5" customHeight="1" spans="1:24">
      <c r="A403" s="48"/>
      <c r="B403" s="49"/>
      <c r="R403" s="50"/>
      <c r="X403" s="51"/>
    </row>
    <row r="404" ht="46.5" customHeight="1" spans="1:24">
      <c r="A404" s="48"/>
      <c r="B404" s="49"/>
      <c r="R404" s="50"/>
      <c r="X404" s="51"/>
    </row>
    <row r="405" ht="46.5" customHeight="1" spans="1:24">
      <c r="A405" s="48"/>
      <c r="B405" s="52"/>
      <c r="R405" s="50"/>
      <c r="X405" s="51"/>
    </row>
    <row r="406" ht="46.5" customHeight="1" spans="1:24">
      <c r="A406" s="48"/>
      <c r="B406" s="52"/>
      <c r="R406" s="50"/>
      <c r="X406" s="51"/>
    </row>
    <row r="407" ht="46.5" customHeight="1" spans="1:24">
      <c r="A407" s="48"/>
      <c r="B407" s="52"/>
      <c r="R407" s="50"/>
      <c r="X407" s="51"/>
    </row>
    <row r="408" ht="46.5" customHeight="1" spans="1:24">
      <c r="A408" s="48"/>
      <c r="B408" s="52"/>
      <c r="R408" s="50"/>
      <c r="X408" s="51"/>
    </row>
    <row r="409" ht="46.5" customHeight="1" spans="1:24">
      <c r="A409" s="48"/>
      <c r="B409" s="52"/>
      <c r="R409" s="50"/>
      <c r="X409" s="51"/>
    </row>
    <row r="410" ht="46.5" customHeight="1" spans="1:24">
      <c r="A410" s="48"/>
      <c r="B410" s="52"/>
      <c r="R410" s="50"/>
      <c r="X410" s="51"/>
    </row>
    <row r="411" ht="46.5" customHeight="1" spans="1:24">
      <c r="A411" s="48"/>
      <c r="B411" s="49"/>
      <c r="R411" s="50"/>
      <c r="X411" s="51"/>
    </row>
    <row r="412" ht="46.5" customHeight="1" spans="1:24">
      <c r="A412" s="48"/>
      <c r="B412" s="49"/>
      <c r="R412" s="50"/>
      <c r="X412" s="51"/>
    </row>
    <row r="413" ht="46.5" customHeight="1" spans="1:24">
      <c r="A413" s="48"/>
      <c r="B413" s="49"/>
      <c r="R413" s="50"/>
      <c r="X413" s="51"/>
    </row>
    <row r="414" ht="46.5" customHeight="1" spans="1:24">
      <c r="A414" s="48"/>
      <c r="B414" s="49"/>
      <c r="R414" s="50"/>
      <c r="X414" s="51"/>
    </row>
    <row r="415" ht="46.5" customHeight="1" spans="1:24">
      <c r="A415" s="48"/>
      <c r="B415" s="49"/>
      <c r="R415" s="50"/>
      <c r="X415" s="51"/>
    </row>
    <row r="416" ht="46.5" customHeight="1" spans="1:24">
      <c r="A416" s="48"/>
      <c r="B416" s="49"/>
      <c r="R416" s="50"/>
      <c r="X416" s="51"/>
    </row>
    <row r="417" ht="46.5" customHeight="1" spans="1:24">
      <c r="A417" s="48"/>
      <c r="B417" s="52"/>
      <c r="R417" s="50"/>
      <c r="X417" s="51"/>
    </row>
    <row r="418" ht="46.5" customHeight="1" spans="1:24">
      <c r="A418" s="48"/>
      <c r="B418" s="52"/>
      <c r="R418" s="50"/>
      <c r="X418" s="51"/>
    </row>
    <row r="419" ht="46.5" customHeight="1" spans="1:24">
      <c r="A419" s="48"/>
      <c r="B419" s="52"/>
      <c r="R419" s="50"/>
      <c r="X419" s="51"/>
    </row>
    <row r="420" ht="46.5" customHeight="1" spans="1:24">
      <c r="A420" s="48"/>
      <c r="B420" s="52"/>
      <c r="R420" s="50"/>
      <c r="X420" s="51"/>
    </row>
    <row r="421" ht="46.5" customHeight="1" spans="1:24">
      <c r="A421" s="48"/>
      <c r="B421" s="52"/>
      <c r="R421" s="50"/>
      <c r="X421" s="51"/>
    </row>
    <row r="422" ht="46.5" customHeight="1" spans="1:24">
      <c r="A422" s="48"/>
      <c r="B422" s="52"/>
      <c r="R422" s="50"/>
      <c r="X422" s="51"/>
    </row>
    <row r="423" ht="46.5" customHeight="1" spans="1:24">
      <c r="A423" s="48"/>
      <c r="B423" s="49"/>
      <c r="R423" s="50"/>
      <c r="X423" s="51"/>
    </row>
    <row r="424" ht="46.5" customHeight="1" spans="1:24">
      <c r="A424" s="48"/>
      <c r="B424" s="49"/>
      <c r="R424" s="50"/>
      <c r="X424" s="51"/>
    </row>
    <row r="425" ht="46.5" customHeight="1" spans="1:24">
      <c r="A425" s="48"/>
      <c r="B425" s="49"/>
      <c r="R425" s="50"/>
      <c r="X425" s="51"/>
    </row>
    <row r="426" ht="46.5" customHeight="1" spans="1:24">
      <c r="A426" s="48"/>
      <c r="B426" s="49"/>
      <c r="R426" s="50"/>
      <c r="X426" s="51"/>
    </row>
    <row r="427" ht="46.5" customHeight="1" spans="1:24">
      <c r="A427" s="48"/>
      <c r="B427" s="49"/>
      <c r="R427" s="50"/>
      <c r="X427" s="51"/>
    </row>
    <row r="428" ht="46.5" customHeight="1" spans="1:24">
      <c r="A428" s="48"/>
      <c r="B428" s="49"/>
      <c r="R428" s="50"/>
      <c r="X428" s="51"/>
    </row>
    <row r="429" ht="46.5" customHeight="1" spans="1:24">
      <c r="A429" s="48"/>
      <c r="B429" s="52"/>
      <c r="R429" s="50"/>
      <c r="X429" s="51"/>
    </row>
    <row r="430" ht="46.5" customHeight="1" spans="1:24">
      <c r="A430" s="48"/>
      <c r="B430" s="52"/>
      <c r="R430" s="50"/>
      <c r="X430" s="51"/>
    </row>
    <row r="431" ht="46.5" customHeight="1" spans="1:24">
      <c r="A431" s="48"/>
      <c r="B431" s="52"/>
      <c r="R431" s="50"/>
      <c r="X431" s="51"/>
    </row>
    <row r="432" ht="46.5" customHeight="1" spans="1:24">
      <c r="A432" s="48"/>
      <c r="B432" s="52"/>
      <c r="R432" s="50"/>
      <c r="X432" s="51"/>
    </row>
    <row r="433" ht="46.5" customHeight="1" spans="1:24">
      <c r="A433" s="48"/>
      <c r="B433" s="52"/>
      <c r="R433" s="50"/>
      <c r="X433" s="51"/>
    </row>
    <row r="434" ht="46.5" customHeight="1" spans="1:24">
      <c r="A434" s="48"/>
      <c r="B434" s="52"/>
      <c r="R434" s="50"/>
      <c r="X434" s="51"/>
    </row>
    <row r="435" ht="46.5" customHeight="1" spans="1:24">
      <c r="A435" s="48"/>
      <c r="B435" s="49"/>
      <c r="R435" s="50"/>
      <c r="X435" s="51"/>
    </row>
    <row r="436" ht="46.5" customHeight="1" spans="1:24">
      <c r="A436" s="48"/>
      <c r="B436" s="49"/>
      <c r="R436" s="50"/>
      <c r="X436" s="51"/>
    </row>
    <row r="437" ht="46.5" customHeight="1" spans="1:24">
      <c r="A437" s="48"/>
      <c r="B437" s="49"/>
      <c r="R437" s="50"/>
      <c r="X437" s="51"/>
    </row>
    <row r="438" ht="46.5" customHeight="1" spans="1:24">
      <c r="A438" s="48"/>
      <c r="B438" s="49"/>
      <c r="R438" s="50"/>
      <c r="X438" s="51"/>
    </row>
    <row r="439" ht="46.5" customHeight="1" spans="1:24">
      <c r="A439" s="48"/>
      <c r="B439" s="49"/>
      <c r="R439" s="50"/>
      <c r="X439" s="51"/>
    </row>
    <row r="440" ht="46.5" customHeight="1" spans="1:24">
      <c r="A440" s="48"/>
      <c r="B440" s="49"/>
      <c r="R440" s="50"/>
      <c r="X440" s="51"/>
    </row>
    <row r="441" ht="46.5" customHeight="1" spans="1:24">
      <c r="A441" s="48"/>
      <c r="B441" s="52"/>
      <c r="R441" s="50"/>
      <c r="X441" s="51"/>
    </row>
    <row r="442" ht="46.5" customHeight="1" spans="1:24">
      <c r="A442" s="48"/>
      <c r="B442" s="52"/>
      <c r="R442" s="50"/>
      <c r="X442" s="51"/>
    </row>
    <row r="443" ht="46.5" customHeight="1" spans="1:24">
      <c r="A443" s="48"/>
      <c r="B443" s="52"/>
      <c r="R443" s="50"/>
      <c r="X443" s="51"/>
    </row>
    <row r="444" ht="46.5" customHeight="1" spans="1:24">
      <c r="A444" s="48"/>
      <c r="B444" s="52"/>
      <c r="R444" s="50"/>
      <c r="X444" s="51"/>
    </row>
    <row r="445" ht="46.5" customHeight="1" spans="1:24">
      <c r="A445" s="48"/>
      <c r="B445" s="52"/>
      <c r="R445" s="50"/>
      <c r="X445" s="51"/>
    </row>
    <row r="446" ht="46.5" customHeight="1" spans="1:24">
      <c r="A446" s="48"/>
      <c r="B446" s="52"/>
      <c r="R446" s="50"/>
      <c r="X446" s="51"/>
    </row>
    <row r="447" ht="46.5" customHeight="1" spans="1:24">
      <c r="A447" s="48"/>
      <c r="B447" s="49"/>
      <c r="R447" s="50"/>
      <c r="X447" s="51"/>
    </row>
    <row r="448" ht="46.5" customHeight="1" spans="1:24">
      <c r="A448" s="48"/>
      <c r="B448" s="49"/>
      <c r="R448" s="50"/>
      <c r="X448" s="51"/>
    </row>
    <row r="449" ht="46.5" customHeight="1" spans="1:24">
      <c r="A449" s="48"/>
      <c r="B449" s="49"/>
      <c r="R449" s="50"/>
      <c r="X449" s="51"/>
    </row>
    <row r="450" ht="46.5" customHeight="1" spans="1:24">
      <c r="A450" s="48"/>
      <c r="B450" s="49"/>
      <c r="R450" s="50"/>
      <c r="X450" s="51"/>
    </row>
    <row r="451" ht="46.5" customHeight="1" spans="1:24">
      <c r="A451" s="48"/>
      <c r="B451" s="49"/>
      <c r="R451" s="50"/>
      <c r="X451" s="51"/>
    </row>
    <row r="452" ht="46.5" customHeight="1" spans="1:24">
      <c r="A452" s="48"/>
      <c r="B452" s="49"/>
      <c r="R452" s="50"/>
      <c r="X452" s="51"/>
    </row>
    <row r="453" ht="46.5" customHeight="1" spans="1:24">
      <c r="A453" s="48"/>
      <c r="B453" s="52"/>
      <c r="R453" s="50"/>
      <c r="X453" s="51"/>
    </row>
    <row r="454" ht="46.5" customHeight="1" spans="1:24">
      <c r="A454" s="48"/>
      <c r="B454" s="52"/>
      <c r="R454" s="50"/>
      <c r="X454" s="51"/>
    </row>
    <row r="455" ht="46.5" customHeight="1" spans="1:24">
      <c r="A455" s="48"/>
      <c r="B455" s="52"/>
      <c r="R455" s="50"/>
      <c r="X455" s="51"/>
    </row>
    <row r="456" ht="46.5" customHeight="1" spans="1:24">
      <c r="A456" s="48"/>
      <c r="B456" s="52"/>
      <c r="R456" s="50"/>
      <c r="X456" s="51"/>
    </row>
    <row r="457" ht="46.5" customHeight="1" spans="1:24">
      <c r="A457" s="48"/>
      <c r="B457" s="52"/>
      <c r="R457" s="50"/>
      <c r="X457" s="51"/>
    </row>
    <row r="458" ht="46.5" customHeight="1" spans="1:24">
      <c r="A458" s="48"/>
      <c r="B458" s="52"/>
      <c r="R458" s="50"/>
      <c r="X458" s="51"/>
    </row>
    <row r="459" ht="46.5" customHeight="1" spans="1:24">
      <c r="A459" s="48"/>
      <c r="B459" s="49"/>
      <c r="R459" s="50"/>
      <c r="X459" s="51"/>
    </row>
    <row r="460" ht="46.5" customHeight="1" spans="1:24">
      <c r="A460" s="48"/>
      <c r="B460" s="49"/>
      <c r="R460" s="50"/>
      <c r="X460" s="51"/>
    </row>
    <row r="461" ht="46.5" customHeight="1" spans="1:24">
      <c r="A461" s="48"/>
      <c r="B461" s="49"/>
      <c r="R461" s="50"/>
      <c r="X461" s="51"/>
    </row>
    <row r="462" ht="46.5" customHeight="1" spans="1:24">
      <c r="A462" s="48"/>
      <c r="B462" s="49"/>
      <c r="R462" s="50"/>
      <c r="X462" s="51"/>
    </row>
    <row r="463" ht="46.5" customHeight="1" spans="1:24">
      <c r="A463" s="48"/>
      <c r="B463" s="49"/>
      <c r="R463" s="50"/>
      <c r="X463" s="51"/>
    </row>
    <row r="464" ht="46.5" customHeight="1" spans="1:24">
      <c r="A464" s="48"/>
      <c r="B464" s="49"/>
      <c r="R464" s="50"/>
      <c r="X464" s="51"/>
    </row>
    <row r="465" ht="46.5" customHeight="1" spans="1:24">
      <c r="A465" s="48"/>
      <c r="B465" s="52"/>
      <c r="R465" s="50"/>
      <c r="X465" s="51"/>
    </row>
    <row r="466" ht="46.5" customHeight="1" spans="1:24">
      <c r="A466" s="48"/>
      <c r="B466" s="52"/>
      <c r="R466" s="50"/>
      <c r="X466" s="51"/>
    </row>
    <row r="467" ht="46.5" customHeight="1" spans="1:24">
      <c r="A467" s="48"/>
      <c r="B467" s="52"/>
      <c r="R467" s="50"/>
      <c r="X467" s="51"/>
    </row>
    <row r="468" ht="46.5" customHeight="1" spans="1:24">
      <c r="A468" s="48"/>
      <c r="B468" s="52"/>
      <c r="R468" s="50"/>
      <c r="X468" s="51"/>
    </row>
    <row r="469" ht="46.5" customHeight="1" spans="1:24">
      <c r="A469" s="48"/>
      <c r="B469" s="52"/>
      <c r="R469" s="50"/>
      <c r="X469" s="51"/>
    </row>
    <row r="470" ht="46.5" customHeight="1" spans="1:24">
      <c r="A470" s="48"/>
      <c r="B470" s="52"/>
      <c r="R470" s="50"/>
      <c r="X470" s="51"/>
    </row>
    <row r="471" ht="46.5" customHeight="1" spans="1:24">
      <c r="A471" s="48"/>
      <c r="B471" s="49"/>
      <c r="R471" s="50"/>
      <c r="X471" s="51"/>
    </row>
    <row r="472" ht="46.5" customHeight="1" spans="1:24">
      <c r="A472" s="48"/>
      <c r="B472" s="49"/>
      <c r="R472" s="50"/>
      <c r="X472" s="51"/>
    </row>
    <row r="473" ht="46.5" customHeight="1" spans="1:24">
      <c r="A473" s="48"/>
      <c r="B473" s="49"/>
      <c r="R473" s="50"/>
      <c r="X473" s="51"/>
    </row>
    <row r="474" ht="46.5" customHeight="1" spans="1:24">
      <c r="A474" s="48"/>
      <c r="B474" s="49"/>
      <c r="R474" s="50"/>
      <c r="X474" s="51"/>
    </row>
    <row r="475" ht="46.5" customHeight="1" spans="1:24">
      <c r="A475" s="48"/>
      <c r="B475" s="49"/>
      <c r="R475" s="50"/>
      <c r="X475" s="51"/>
    </row>
    <row r="476" ht="46.5" customHeight="1" spans="1:24">
      <c r="A476" s="48"/>
      <c r="B476" s="49"/>
      <c r="R476" s="50"/>
      <c r="X476" s="51"/>
    </row>
    <row r="477" ht="46.5" customHeight="1" spans="1:24">
      <c r="A477" s="48"/>
      <c r="B477" s="52"/>
      <c r="R477" s="50"/>
      <c r="X477" s="51"/>
    </row>
    <row r="478" ht="46.5" customHeight="1" spans="1:24">
      <c r="A478" s="48"/>
      <c r="B478" s="52"/>
      <c r="R478" s="50"/>
      <c r="X478" s="51"/>
    </row>
    <row r="479" ht="46.5" customHeight="1" spans="1:24">
      <c r="A479" s="48"/>
      <c r="B479" s="52"/>
      <c r="R479" s="50"/>
      <c r="X479" s="51"/>
    </row>
    <row r="480" ht="46.5" customHeight="1" spans="1:24">
      <c r="A480" s="48"/>
      <c r="B480" s="52"/>
      <c r="R480" s="50"/>
      <c r="X480" s="51"/>
    </row>
    <row r="481" ht="46.5" customHeight="1" spans="1:24">
      <c r="A481" s="48"/>
      <c r="B481" s="52"/>
      <c r="R481" s="50"/>
      <c r="X481" s="51"/>
    </row>
    <row r="482" ht="46.5" customHeight="1" spans="1:24">
      <c r="A482" s="48"/>
      <c r="B482" s="52"/>
      <c r="R482" s="50"/>
      <c r="X482" s="51"/>
    </row>
    <row r="483" ht="46.5" customHeight="1" spans="1:24">
      <c r="A483" s="48"/>
      <c r="B483" s="49"/>
      <c r="R483" s="50"/>
      <c r="X483" s="51"/>
    </row>
    <row r="484" ht="46.5" customHeight="1" spans="1:24">
      <c r="A484" s="48"/>
      <c r="B484" s="49"/>
      <c r="R484" s="50"/>
      <c r="X484" s="51"/>
    </row>
    <row r="485" ht="46.5" customHeight="1" spans="1:24">
      <c r="A485" s="48"/>
      <c r="B485" s="49"/>
      <c r="R485" s="50"/>
      <c r="X485" s="51"/>
    </row>
    <row r="486" ht="46.5" customHeight="1" spans="1:24">
      <c r="A486" s="48"/>
      <c r="B486" s="49"/>
      <c r="R486" s="50"/>
      <c r="X486" s="51"/>
    </row>
    <row r="487" ht="46.5" customHeight="1" spans="1:24">
      <c r="A487" s="48"/>
      <c r="B487" s="49"/>
      <c r="R487" s="50"/>
      <c r="X487" s="51"/>
    </row>
    <row r="488" ht="46.5" customHeight="1" spans="1:24">
      <c r="A488" s="48"/>
      <c r="B488" s="49"/>
      <c r="R488" s="50"/>
      <c r="X488" s="51"/>
    </row>
    <row r="489" ht="46.5" customHeight="1" spans="1:24">
      <c r="A489" s="48"/>
      <c r="B489" s="52"/>
      <c r="R489" s="50"/>
      <c r="X489" s="51"/>
    </row>
    <row r="490" ht="46.5" customHeight="1" spans="1:24">
      <c r="A490" s="48"/>
      <c r="B490" s="52"/>
      <c r="R490" s="50"/>
      <c r="X490" s="51"/>
    </row>
    <row r="491" ht="46.5" customHeight="1" spans="1:24">
      <c r="A491" s="48"/>
      <c r="B491" s="52"/>
      <c r="R491" s="50"/>
      <c r="X491" s="51"/>
    </row>
    <row r="492" ht="46.5" customHeight="1" spans="1:24">
      <c r="A492" s="48"/>
      <c r="B492" s="52"/>
      <c r="R492" s="50"/>
      <c r="X492" s="51"/>
    </row>
    <row r="493" ht="46.5" customHeight="1" spans="1:24">
      <c r="A493" s="48"/>
      <c r="B493" s="52"/>
      <c r="R493" s="50"/>
      <c r="X493" s="51"/>
    </row>
    <row r="494" ht="46.5" customHeight="1" spans="1:24">
      <c r="A494" s="48"/>
      <c r="B494" s="52"/>
      <c r="R494" s="50"/>
      <c r="X494" s="51"/>
    </row>
    <row r="495" ht="46.5" customHeight="1" spans="1:24">
      <c r="A495" s="48"/>
      <c r="B495" s="49"/>
      <c r="R495" s="50"/>
      <c r="X495" s="51"/>
    </row>
    <row r="496" ht="46.5" customHeight="1" spans="1:24">
      <c r="A496" s="48"/>
      <c r="B496" s="49"/>
      <c r="R496" s="50"/>
      <c r="X496" s="51"/>
    </row>
    <row r="497" ht="46.5" customHeight="1" spans="1:24">
      <c r="A497" s="48"/>
      <c r="B497" s="49"/>
      <c r="R497" s="50"/>
      <c r="X497" s="51"/>
    </row>
    <row r="498" ht="46.5" customHeight="1" spans="1:24">
      <c r="A498" s="48"/>
      <c r="B498" s="49"/>
      <c r="R498" s="50"/>
      <c r="X498" s="51"/>
    </row>
    <row r="499" ht="46.5" customHeight="1" spans="1:24">
      <c r="A499" s="48"/>
      <c r="B499" s="49"/>
      <c r="R499" s="50"/>
      <c r="X499" s="51"/>
    </row>
    <row r="500" ht="46.5" customHeight="1" spans="1:24">
      <c r="A500" s="48"/>
      <c r="B500" s="49"/>
      <c r="R500" s="50"/>
      <c r="X500" s="51"/>
    </row>
    <row r="501" ht="46.5" customHeight="1" spans="1:24">
      <c r="A501" s="48"/>
      <c r="B501" s="52"/>
      <c r="R501" s="50"/>
      <c r="X501" s="51"/>
    </row>
    <row r="502" ht="46.5" customHeight="1" spans="1:24">
      <c r="A502" s="48"/>
      <c r="B502" s="52"/>
      <c r="R502" s="50"/>
      <c r="X502" s="51"/>
    </row>
    <row r="503" ht="46.5" customHeight="1" spans="1:24">
      <c r="A503" s="48"/>
      <c r="B503" s="52"/>
      <c r="R503" s="50"/>
      <c r="X503" s="51"/>
    </row>
    <row r="504" ht="46.5" customHeight="1" spans="1:24">
      <c r="A504" s="48"/>
      <c r="B504" s="52"/>
      <c r="R504" s="50"/>
      <c r="X504" s="51"/>
    </row>
    <row r="505" ht="46.5" customHeight="1" spans="1:24">
      <c r="A505" s="48"/>
      <c r="B505" s="52"/>
      <c r="R505" s="50"/>
      <c r="X505" s="51"/>
    </row>
    <row r="506" ht="46.5" customHeight="1" spans="1:24">
      <c r="A506" s="48"/>
      <c r="B506" s="52"/>
      <c r="R506" s="50"/>
      <c r="X506" s="51"/>
    </row>
    <row r="507" ht="46.5" customHeight="1" spans="1:24">
      <c r="A507" s="48"/>
      <c r="B507" s="49"/>
      <c r="R507" s="50"/>
      <c r="X507" s="51"/>
    </row>
    <row r="508" ht="46.5" customHeight="1" spans="1:24">
      <c r="A508" s="48"/>
      <c r="B508" s="49"/>
      <c r="R508" s="50"/>
      <c r="X508" s="51"/>
    </row>
    <row r="509" ht="46.5" customHeight="1" spans="1:24">
      <c r="A509" s="48"/>
      <c r="B509" s="49"/>
      <c r="R509" s="50"/>
      <c r="X509" s="51"/>
    </row>
    <row r="510" ht="46.5" customHeight="1" spans="1:24">
      <c r="A510" s="48"/>
      <c r="B510" s="49"/>
      <c r="R510" s="50"/>
      <c r="X510" s="51"/>
    </row>
    <row r="511" ht="46.5" customHeight="1" spans="1:24">
      <c r="A511" s="48"/>
      <c r="B511" s="49"/>
      <c r="R511" s="50"/>
      <c r="X511" s="51"/>
    </row>
    <row r="512" ht="46.5" customHeight="1" spans="1:24">
      <c r="A512" s="48"/>
      <c r="B512" s="49"/>
      <c r="R512" s="50"/>
      <c r="X512" s="51"/>
    </row>
    <row r="513" ht="46.5" customHeight="1" spans="1:24">
      <c r="A513" s="48"/>
      <c r="B513" s="52"/>
      <c r="R513" s="50"/>
      <c r="X513" s="51"/>
    </row>
    <row r="514" ht="46.5" customHeight="1" spans="1:24">
      <c r="A514" s="48"/>
      <c r="B514" s="52"/>
      <c r="R514" s="50"/>
      <c r="X514" s="51"/>
    </row>
    <row r="515" ht="46.5" customHeight="1" spans="1:24">
      <c r="A515" s="48"/>
      <c r="B515" s="52"/>
      <c r="R515" s="50"/>
      <c r="X515" s="51"/>
    </row>
    <row r="516" ht="46.5" customHeight="1" spans="1:24">
      <c r="A516" s="48"/>
      <c r="B516" s="52"/>
      <c r="R516" s="50"/>
      <c r="X516" s="51"/>
    </row>
    <row r="517" ht="46.5" customHeight="1" spans="1:24">
      <c r="A517" s="48"/>
      <c r="B517" s="52"/>
      <c r="R517" s="50"/>
      <c r="X517" s="51"/>
    </row>
    <row r="518" ht="46.5" customHeight="1" spans="1:24">
      <c r="A518" s="48"/>
      <c r="B518" s="52"/>
      <c r="R518" s="50"/>
      <c r="X518" s="51"/>
    </row>
    <row r="519" ht="46.5" customHeight="1" spans="1:24">
      <c r="A519" s="48"/>
      <c r="B519" s="49"/>
      <c r="R519" s="50"/>
      <c r="X519" s="51"/>
    </row>
    <row r="520" ht="46.5" customHeight="1" spans="1:24">
      <c r="A520" s="48"/>
      <c r="B520" s="49"/>
      <c r="R520" s="50"/>
      <c r="X520" s="51"/>
    </row>
    <row r="521" ht="46.5" customHeight="1" spans="1:24">
      <c r="A521" s="48"/>
      <c r="B521" s="49"/>
      <c r="R521" s="50"/>
      <c r="X521" s="51"/>
    </row>
    <row r="522" ht="46.5" customHeight="1" spans="1:24">
      <c r="A522" s="48"/>
      <c r="B522" s="49"/>
      <c r="R522" s="50"/>
      <c r="X522" s="51"/>
    </row>
    <row r="523" ht="46.5" customHeight="1" spans="1:24">
      <c r="A523" s="48"/>
      <c r="B523" s="49"/>
      <c r="R523" s="50"/>
      <c r="X523" s="51"/>
    </row>
    <row r="524" ht="46.5" customHeight="1" spans="1:24">
      <c r="A524" s="48"/>
      <c r="B524" s="49"/>
      <c r="R524" s="50"/>
      <c r="X524" s="51"/>
    </row>
    <row r="525" ht="46.5" customHeight="1" spans="1:24">
      <c r="A525" s="48"/>
      <c r="B525" s="52"/>
      <c r="R525" s="50"/>
      <c r="X525" s="51"/>
    </row>
    <row r="526" ht="46.5" customHeight="1" spans="1:24">
      <c r="A526" s="48"/>
      <c r="B526" s="52"/>
      <c r="R526" s="50"/>
      <c r="X526" s="51"/>
    </row>
    <row r="527" ht="46.5" customHeight="1" spans="1:24">
      <c r="A527" s="48"/>
      <c r="B527" s="52"/>
      <c r="R527" s="50"/>
      <c r="X527" s="51"/>
    </row>
    <row r="528" ht="46.5" customHeight="1" spans="1:24">
      <c r="A528" s="48"/>
      <c r="B528" s="52"/>
      <c r="R528" s="50"/>
      <c r="X528" s="51"/>
    </row>
    <row r="529" ht="46.5" customHeight="1" spans="1:24">
      <c r="A529" s="48"/>
      <c r="B529" s="52"/>
      <c r="R529" s="50"/>
      <c r="X529" s="51"/>
    </row>
    <row r="530" ht="46.5" customHeight="1" spans="1:24">
      <c r="A530" s="48"/>
      <c r="B530" s="52"/>
      <c r="R530" s="50"/>
      <c r="X530" s="51"/>
    </row>
    <row r="531" ht="46.5" customHeight="1" spans="1:24">
      <c r="A531" s="48"/>
      <c r="B531" s="49"/>
      <c r="R531" s="50"/>
      <c r="X531" s="51"/>
    </row>
    <row r="532" ht="46.5" customHeight="1" spans="1:24">
      <c r="A532" s="48"/>
      <c r="B532" s="49"/>
      <c r="R532" s="50"/>
      <c r="X532" s="51"/>
    </row>
    <row r="533" ht="46.5" customHeight="1" spans="1:24">
      <c r="A533" s="48"/>
      <c r="B533" s="49"/>
      <c r="R533" s="50"/>
      <c r="X533" s="51"/>
    </row>
    <row r="534" ht="46.5" customHeight="1" spans="1:24">
      <c r="A534" s="48"/>
      <c r="B534" s="49"/>
      <c r="R534" s="50"/>
      <c r="X534" s="51"/>
    </row>
    <row r="535" ht="46.5" customHeight="1" spans="1:24">
      <c r="A535" s="48"/>
      <c r="B535" s="49"/>
      <c r="R535" s="50"/>
      <c r="X535" s="51"/>
    </row>
    <row r="536" ht="46.5" customHeight="1" spans="1:24">
      <c r="A536" s="48"/>
      <c r="B536" s="49"/>
      <c r="R536" s="50"/>
      <c r="X536" s="51"/>
    </row>
    <row r="537" ht="46.5" customHeight="1" spans="1:24">
      <c r="A537" s="48"/>
      <c r="B537" s="52"/>
      <c r="R537" s="50"/>
      <c r="X537" s="51"/>
    </row>
    <row r="538" ht="46.5" customHeight="1" spans="1:24">
      <c r="A538" s="48"/>
      <c r="B538" s="52"/>
      <c r="R538" s="50"/>
      <c r="X538" s="51"/>
    </row>
    <row r="539" ht="46.5" customHeight="1" spans="1:24">
      <c r="A539" s="48"/>
      <c r="B539" s="52"/>
      <c r="R539" s="50"/>
      <c r="X539" s="51"/>
    </row>
    <row r="540" ht="46.5" customHeight="1" spans="1:24">
      <c r="A540" s="48"/>
      <c r="B540" s="52"/>
      <c r="R540" s="50"/>
      <c r="X540" s="51"/>
    </row>
    <row r="541" ht="46.5" customHeight="1" spans="1:24">
      <c r="A541" s="48"/>
      <c r="B541" s="52"/>
      <c r="R541" s="50"/>
      <c r="X541" s="51"/>
    </row>
    <row r="542" ht="46.5" customHeight="1" spans="1:24">
      <c r="A542" s="48"/>
      <c r="B542" s="52"/>
      <c r="R542" s="50"/>
      <c r="X542" s="51"/>
    </row>
    <row r="543" ht="46.5" customHeight="1" spans="1:24">
      <c r="A543" s="48"/>
      <c r="B543" s="49"/>
      <c r="R543" s="50"/>
      <c r="X543" s="51"/>
    </row>
    <row r="544" ht="46.5" customHeight="1" spans="1:24">
      <c r="A544" s="48"/>
      <c r="B544" s="49"/>
      <c r="R544" s="50"/>
      <c r="X544" s="51"/>
    </row>
    <row r="545" ht="46.5" customHeight="1" spans="1:24">
      <c r="A545" s="48"/>
      <c r="B545" s="49"/>
      <c r="R545" s="50"/>
      <c r="X545" s="51"/>
    </row>
    <row r="546" ht="46.5" customHeight="1" spans="1:24">
      <c r="A546" s="48"/>
      <c r="B546" s="49"/>
      <c r="R546" s="50"/>
      <c r="X546" s="51"/>
    </row>
    <row r="547" ht="46.5" customHeight="1" spans="1:24">
      <c r="A547" s="48"/>
      <c r="B547" s="49"/>
      <c r="R547" s="50"/>
      <c r="X547" s="51"/>
    </row>
    <row r="548" ht="46.5" customHeight="1" spans="1:24">
      <c r="A548" s="48"/>
      <c r="B548" s="49"/>
      <c r="R548" s="50"/>
      <c r="X548" s="51"/>
    </row>
    <row r="549" ht="46.5" customHeight="1" spans="1:24">
      <c r="A549" s="48"/>
      <c r="B549" s="52"/>
      <c r="R549" s="50"/>
      <c r="X549" s="51"/>
    </row>
    <row r="550" ht="46.5" customHeight="1" spans="1:24">
      <c r="A550" s="48"/>
      <c r="B550" s="52"/>
      <c r="R550" s="50"/>
      <c r="X550" s="51"/>
    </row>
    <row r="551" ht="46.5" customHeight="1" spans="1:24">
      <c r="A551" s="48"/>
      <c r="B551" s="52"/>
      <c r="R551" s="50"/>
      <c r="X551" s="51"/>
    </row>
    <row r="552" ht="46.5" customHeight="1" spans="1:24">
      <c r="A552" s="48"/>
      <c r="B552" s="52"/>
      <c r="R552" s="50"/>
      <c r="X552" s="51"/>
    </row>
    <row r="553" ht="46.5" customHeight="1" spans="1:24">
      <c r="A553" s="48"/>
      <c r="B553" s="52"/>
      <c r="R553" s="50"/>
      <c r="X553" s="51"/>
    </row>
    <row r="554" ht="46.5" customHeight="1" spans="1:24">
      <c r="A554" s="48"/>
      <c r="B554" s="52"/>
      <c r="R554" s="50"/>
      <c r="X554" s="51"/>
    </row>
    <row r="555" ht="46.5" customHeight="1" spans="1:24">
      <c r="A555" s="48"/>
      <c r="B555" s="49"/>
      <c r="R555" s="50"/>
      <c r="X555" s="51"/>
    </row>
    <row r="556" ht="46.5" customHeight="1" spans="1:24">
      <c r="A556" s="48"/>
      <c r="B556" s="49"/>
      <c r="R556" s="50"/>
      <c r="X556" s="51"/>
    </row>
    <row r="557" ht="46.5" customHeight="1" spans="1:24">
      <c r="A557" s="48"/>
      <c r="B557" s="49"/>
      <c r="R557" s="50"/>
      <c r="X557" s="51"/>
    </row>
    <row r="558" ht="46.5" customHeight="1" spans="1:24">
      <c r="A558" s="48"/>
      <c r="B558" s="49"/>
      <c r="R558" s="50"/>
      <c r="X558" s="51"/>
    </row>
    <row r="559" ht="46.5" customHeight="1" spans="1:24">
      <c r="A559" s="48"/>
      <c r="B559" s="49"/>
      <c r="R559" s="50"/>
      <c r="X559" s="51"/>
    </row>
    <row r="560" ht="46.5" customHeight="1" spans="1:24">
      <c r="A560" s="48"/>
      <c r="B560" s="49"/>
      <c r="R560" s="50"/>
      <c r="X560" s="51"/>
    </row>
    <row r="561" ht="46.5" customHeight="1" spans="1:24">
      <c r="A561" s="48"/>
      <c r="B561" s="52"/>
      <c r="R561" s="50"/>
      <c r="X561" s="51"/>
    </row>
    <row r="562" ht="46.5" customHeight="1" spans="1:24">
      <c r="A562" s="48"/>
      <c r="B562" s="52"/>
      <c r="R562" s="50"/>
      <c r="X562" s="51"/>
    </row>
    <row r="563" ht="46.5" customHeight="1" spans="1:24">
      <c r="A563" s="48"/>
      <c r="B563" s="52"/>
      <c r="R563" s="50"/>
      <c r="X563" s="51"/>
    </row>
    <row r="564" ht="46.5" customHeight="1" spans="1:24">
      <c r="A564" s="48"/>
      <c r="B564" s="52"/>
      <c r="R564" s="50"/>
      <c r="X564" s="51"/>
    </row>
    <row r="565" ht="46.5" customHeight="1" spans="1:24">
      <c r="A565" s="48"/>
      <c r="B565" s="52"/>
      <c r="R565" s="50"/>
      <c r="X565" s="51"/>
    </row>
    <row r="566" ht="46.5" customHeight="1" spans="1:24">
      <c r="A566" s="48"/>
      <c r="B566" s="52"/>
      <c r="R566" s="50"/>
      <c r="X566" s="51"/>
    </row>
    <row r="567" ht="46.5" customHeight="1" spans="1:24">
      <c r="A567" s="48"/>
      <c r="B567" s="49"/>
      <c r="R567" s="50"/>
      <c r="X567" s="51"/>
    </row>
    <row r="568" ht="46.5" customHeight="1" spans="1:24">
      <c r="A568" s="48"/>
      <c r="B568" s="49"/>
      <c r="R568" s="50"/>
      <c r="X568" s="51"/>
    </row>
    <row r="569" ht="46.5" customHeight="1" spans="1:24">
      <c r="A569" s="48"/>
      <c r="B569" s="49"/>
      <c r="R569" s="50"/>
      <c r="X569" s="51"/>
    </row>
    <row r="570" ht="46.5" customHeight="1" spans="1:24">
      <c r="A570" s="48"/>
      <c r="B570" s="49"/>
      <c r="R570" s="50"/>
      <c r="X570" s="51"/>
    </row>
    <row r="571" ht="46.5" customHeight="1" spans="1:24">
      <c r="A571" s="48"/>
      <c r="B571" s="49"/>
      <c r="R571" s="50"/>
      <c r="X571" s="51"/>
    </row>
    <row r="572" ht="46.5" customHeight="1" spans="1:24">
      <c r="A572" s="48"/>
      <c r="B572" s="49"/>
      <c r="R572" s="50"/>
      <c r="X572" s="51"/>
    </row>
    <row r="573" ht="46.5" customHeight="1" spans="1:24">
      <c r="A573" s="48"/>
      <c r="B573" s="52"/>
      <c r="R573" s="50"/>
      <c r="X573" s="51"/>
    </row>
    <row r="574" ht="46.5" customHeight="1" spans="1:24">
      <c r="A574" s="48"/>
      <c r="B574" s="52"/>
      <c r="R574" s="50"/>
      <c r="X574" s="51"/>
    </row>
    <row r="575" ht="46.5" customHeight="1" spans="1:24">
      <c r="A575" s="48"/>
      <c r="B575" s="52"/>
      <c r="R575" s="50"/>
      <c r="X575" s="51"/>
    </row>
    <row r="576" ht="46.5" customHeight="1" spans="1:24">
      <c r="A576" s="48"/>
      <c r="B576" s="52"/>
      <c r="R576" s="50"/>
      <c r="X576" s="51"/>
    </row>
    <row r="577" ht="46.5" customHeight="1" spans="1:24">
      <c r="A577" s="48"/>
      <c r="B577" s="52"/>
      <c r="R577" s="50"/>
      <c r="X577" s="51"/>
    </row>
    <row r="578" ht="46.5" customHeight="1" spans="1:24">
      <c r="A578" s="48"/>
      <c r="B578" s="52"/>
      <c r="R578" s="50"/>
      <c r="X578" s="51"/>
    </row>
    <row r="579" ht="46.5" customHeight="1" spans="1:24">
      <c r="A579" s="48"/>
      <c r="B579" s="49"/>
      <c r="R579" s="50"/>
      <c r="X579" s="51"/>
    </row>
    <row r="580" ht="46.5" customHeight="1" spans="1:24">
      <c r="A580" s="48"/>
      <c r="B580" s="49"/>
      <c r="R580" s="50"/>
      <c r="X580" s="51"/>
    </row>
    <row r="581" ht="46.5" customHeight="1" spans="1:24">
      <c r="A581" s="48"/>
      <c r="B581" s="49"/>
      <c r="R581" s="50"/>
      <c r="X581" s="51"/>
    </row>
    <row r="582" ht="46.5" customHeight="1" spans="1:24">
      <c r="A582" s="48"/>
      <c r="B582" s="49"/>
      <c r="R582" s="50"/>
      <c r="X582" s="51"/>
    </row>
    <row r="583" ht="46.5" customHeight="1" spans="1:24">
      <c r="A583" s="48"/>
      <c r="B583" s="49"/>
      <c r="R583" s="50"/>
      <c r="X583" s="51"/>
    </row>
    <row r="584" ht="46.5" customHeight="1" spans="1:24">
      <c r="A584" s="48"/>
      <c r="B584" s="49"/>
      <c r="R584" s="50"/>
      <c r="X584" s="51"/>
    </row>
    <row r="585" ht="46.5" customHeight="1" spans="1:24">
      <c r="A585" s="48"/>
      <c r="B585" s="52"/>
      <c r="R585" s="50"/>
      <c r="X585" s="51"/>
    </row>
    <row r="586" ht="46.5" customHeight="1" spans="1:24">
      <c r="A586" s="48"/>
      <c r="B586" s="52"/>
      <c r="R586" s="50"/>
      <c r="X586" s="51"/>
    </row>
    <row r="587" ht="46.5" customHeight="1" spans="1:24">
      <c r="A587" s="48"/>
      <c r="B587" s="52"/>
      <c r="R587" s="50"/>
      <c r="X587" s="51"/>
    </row>
    <row r="588" ht="46.5" customHeight="1" spans="1:24">
      <c r="A588" s="48"/>
      <c r="B588" s="52"/>
      <c r="R588" s="50"/>
      <c r="X588" s="51"/>
    </row>
    <row r="589" ht="46.5" customHeight="1" spans="1:24">
      <c r="A589" s="48"/>
      <c r="B589" s="52"/>
      <c r="R589" s="50"/>
      <c r="X589" s="51"/>
    </row>
    <row r="590" ht="46.5" customHeight="1" spans="1:24">
      <c r="A590" s="48"/>
      <c r="B590" s="52"/>
      <c r="R590" s="50"/>
      <c r="X590" s="51"/>
    </row>
    <row r="591" ht="46.5" customHeight="1" spans="1:24">
      <c r="A591" s="48"/>
      <c r="B591" s="49"/>
      <c r="R591" s="50"/>
      <c r="X591" s="51"/>
    </row>
    <row r="592" ht="46.5" customHeight="1" spans="1:24">
      <c r="A592" s="48"/>
      <c r="B592" s="49"/>
      <c r="R592" s="50"/>
      <c r="X592" s="51"/>
    </row>
    <row r="593" ht="46.5" customHeight="1" spans="1:24">
      <c r="A593" s="48"/>
      <c r="B593" s="49"/>
      <c r="R593" s="50"/>
      <c r="X593" s="51"/>
    </row>
    <row r="594" ht="46.5" customHeight="1" spans="1:24">
      <c r="A594" s="48"/>
      <c r="B594" s="49"/>
      <c r="R594" s="50"/>
      <c r="X594" s="51"/>
    </row>
    <row r="595" ht="46.5" customHeight="1" spans="1:24">
      <c r="A595" s="48"/>
      <c r="B595" s="49"/>
      <c r="R595" s="50"/>
      <c r="X595" s="51"/>
    </row>
    <row r="596" ht="46.5" customHeight="1" spans="1:24">
      <c r="A596" s="48"/>
      <c r="B596" s="49"/>
      <c r="R596" s="50"/>
      <c r="X596" s="51"/>
    </row>
    <row r="597" ht="46.5" customHeight="1" spans="1:24">
      <c r="A597" s="48"/>
      <c r="B597" s="52"/>
      <c r="R597" s="50"/>
      <c r="X597" s="51"/>
    </row>
    <row r="598" ht="46.5" customHeight="1" spans="1:24">
      <c r="A598" s="48"/>
      <c r="B598" s="52"/>
      <c r="R598" s="50"/>
      <c r="X598" s="51"/>
    </row>
    <row r="599" ht="46.5" customHeight="1" spans="1:24">
      <c r="A599" s="48"/>
      <c r="B599" s="52"/>
      <c r="R599" s="50"/>
      <c r="X599" s="51"/>
    </row>
    <row r="600" ht="46.5" customHeight="1" spans="1:24">
      <c r="A600" s="48"/>
      <c r="B600" s="52"/>
      <c r="R600" s="50"/>
      <c r="X600" s="51"/>
    </row>
    <row r="601" ht="46.5" customHeight="1" spans="1:24">
      <c r="A601" s="48"/>
      <c r="B601" s="52"/>
      <c r="R601" s="50"/>
      <c r="X601" s="51"/>
    </row>
    <row r="602" ht="46.5" customHeight="1" spans="1:24">
      <c r="A602" s="48"/>
      <c r="B602" s="52"/>
      <c r="R602" s="50"/>
      <c r="X602" s="51"/>
    </row>
  </sheetData>
  <mergeCells count="109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A1:B2"/>
    <mergeCell ref="Y1:AC2"/>
    <mergeCell ref="AD1:AH2"/>
    <mergeCell ref="AI1:AM2"/>
    <mergeCell ref="AN1:AR2"/>
    <mergeCell ref="C1:G2"/>
    <mergeCell ref="H1:L2"/>
    <mergeCell ref="M1:Q2"/>
    <mergeCell ref="S1:W2"/>
  </mergeCells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4A1E7"/>
  </sheetPr>
  <dimension ref="A1:AR602"/>
  <sheetViews>
    <sheetView zoomScale="20" zoomScaleNormal="20" zoomScaleSheetLayoutView="10" workbookViewId="0">
      <pane xSplit="2" ySplit="2" topLeftCell="C7" activePane="bottomRight" state="frozen"/>
      <selection/>
      <selection pane="topRight"/>
      <selection pane="bottomLeft"/>
      <selection pane="bottomRight" activeCell="P49" sqref="P49"/>
    </sheetView>
  </sheetViews>
  <sheetFormatPr defaultColWidth="9" defaultRowHeight="14.4"/>
  <cols>
    <col min="1" max="1" width="43" customWidth="1"/>
    <col min="2" max="2" width="69.287037037037" customWidth="1"/>
    <col min="3" max="17" width="30.8518518518519" customWidth="1"/>
    <col min="18" max="18" width="5.13888888888889" customWidth="1"/>
    <col min="19" max="23" width="30.8518518518519" customWidth="1"/>
    <col min="24" max="24" width="4.42592592592593" customWidth="1"/>
    <col min="25" max="44" width="30.8518518518519" customWidth="1"/>
  </cols>
  <sheetData>
    <row r="1" ht="92.25" customHeight="1" spans="1:44">
      <c r="A1" s="1" t="s">
        <v>173</v>
      </c>
      <c r="B1" s="2"/>
      <c r="C1" s="3" t="s">
        <v>18</v>
      </c>
      <c r="D1" s="2"/>
      <c r="E1" s="2"/>
      <c r="F1" s="2"/>
      <c r="G1" s="4"/>
      <c r="H1" s="1" t="s">
        <v>19</v>
      </c>
      <c r="I1" s="2"/>
      <c r="J1" s="2"/>
      <c r="K1" s="2"/>
      <c r="L1" s="4"/>
      <c r="M1" s="1" t="s">
        <v>20</v>
      </c>
      <c r="N1" s="2"/>
      <c r="O1" s="2"/>
      <c r="P1" s="2"/>
      <c r="Q1" s="2"/>
      <c r="R1" s="5"/>
      <c r="S1" s="2" t="s">
        <v>21</v>
      </c>
      <c r="T1" s="2"/>
      <c r="U1" s="2"/>
      <c r="V1" s="2"/>
      <c r="W1" s="4"/>
      <c r="X1" s="6"/>
      <c r="Y1" s="1" t="s">
        <v>22</v>
      </c>
      <c r="Z1" s="2"/>
      <c r="AA1" s="2"/>
      <c r="AB1" s="2"/>
      <c r="AC1" s="4"/>
      <c r="AD1" s="1" t="s">
        <v>174</v>
      </c>
      <c r="AE1" s="2"/>
      <c r="AF1" s="2"/>
      <c r="AG1" s="2"/>
      <c r="AH1" s="4"/>
      <c r="AI1" s="1" t="s">
        <v>23</v>
      </c>
      <c r="AJ1" s="2"/>
      <c r="AK1" s="2"/>
      <c r="AL1" s="2"/>
      <c r="AM1" s="4"/>
      <c r="AN1" s="1" t="s">
        <v>175</v>
      </c>
      <c r="AO1" s="2"/>
      <c r="AP1" s="2"/>
      <c r="AQ1" s="2"/>
      <c r="AR1" s="4"/>
    </row>
    <row r="2" ht="70.5" customHeight="1" spans="1:44">
      <c r="A2" s="7"/>
      <c r="B2" s="8"/>
      <c r="C2" s="9"/>
      <c r="D2" s="8"/>
      <c r="E2" s="8"/>
      <c r="F2" s="8"/>
      <c r="G2" s="10"/>
      <c r="H2" s="9"/>
      <c r="I2" s="8"/>
      <c r="J2" s="8"/>
      <c r="K2" s="8"/>
      <c r="L2" s="10"/>
      <c r="M2" s="9"/>
      <c r="N2" s="8"/>
      <c r="O2" s="8"/>
      <c r="P2" s="8"/>
      <c r="Q2" s="8"/>
      <c r="R2" s="11"/>
      <c r="S2" s="8"/>
      <c r="T2" s="8"/>
      <c r="U2" s="8"/>
      <c r="V2" s="8"/>
      <c r="W2" s="10"/>
      <c r="X2" s="6"/>
      <c r="Y2" s="9"/>
      <c r="Z2" s="8"/>
      <c r="AA2" s="8"/>
      <c r="AB2" s="8"/>
      <c r="AC2" s="10"/>
      <c r="AD2" s="9"/>
      <c r="AE2" s="8"/>
      <c r="AF2" s="8"/>
      <c r="AG2" s="8"/>
      <c r="AH2" s="10"/>
      <c r="AI2" s="9"/>
      <c r="AJ2" s="8"/>
      <c r="AK2" s="8"/>
      <c r="AL2" s="8"/>
      <c r="AM2" s="10"/>
      <c r="AN2" s="9"/>
      <c r="AO2" s="8"/>
      <c r="AP2" s="8"/>
      <c r="AQ2" s="8"/>
      <c r="AR2" s="10"/>
    </row>
    <row r="3" ht="46.5" customHeight="1" spans="1:44">
      <c r="A3" s="12" t="s">
        <v>35</v>
      </c>
      <c r="B3" s="13">
        <f ca="1">TODAY()+14</f>
        <v>46281</v>
      </c>
      <c r="C3" s="14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6"/>
      <c r="R3" s="17"/>
      <c r="S3" s="18"/>
      <c r="T3" s="15"/>
      <c r="U3" s="15"/>
      <c r="V3" s="15"/>
      <c r="W3" s="15"/>
      <c r="X3" s="19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20"/>
    </row>
    <row r="4" ht="46.5" customHeight="1" spans="1:44">
      <c r="A4" s="21" t="s">
        <v>37</v>
      </c>
      <c r="B4" s="22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5"/>
      <c r="R4" s="26"/>
      <c r="S4" s="27"/>
      <c r="T4" s="24"/>
      <c r="U4" s="24"/>
      <c r="V4" s="24"/>
      <c r="W4" s="24"/>
      <c r="X4" s="28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9"/>
    </row>
    <row r="5" ht="46.5" customHeight="1" spans="1:44">
      <c r="A5" s="21" t="s">
        <v>38</v>
      </c>
      <c r="B5" s="22"/>
      <c r="C5" s="23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5"/>
      <c r="R5" s="26"/>
      <c r="S5" s="27"/>
      <c r="T5" s="24"/>
      <c r="U5" s="24"/>
      <c r="V5" s="24"/>
      <c r="W5" s="24"/>
      <c r="X5" s="28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9"/>
    </row>
    <row r="6" ht="46.5" customHeight="1" spans="1:44">
      <c r="A6" s="21" t="s">
        <v>40</v>
      </c>
      <c r="B6" s="22"/>
      <c r="C6" s="23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  <c r="R6" s="26"/>
      <c r="S6" s="27"/>
      <c r="T6" s="24"/>
      <c r="U6" s="24"/>
      <c r="V6" s="24"/>
      <c r="W6" s="24"/>
      <c r="X6" s="28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9"/>
    </row>
    <row r="7" ht="46.5" customHeight="1" spans="1:44">
      <c r="A7" s="21" t="s">
        <v>41</v>
      </c>
      <c r="B7" s="22"/>
      <c r="C7" s="23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  <c r="R7" s="26"/>
      <c r="S7" s="27"/>
      <c r="T7" s="24"/>
      <c r="U7" s="24"/>
      <c r="V7" s="24"/>
      <c r="W7" s="24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9"/>
    </row>
    <row r="8" ht="46.5" customHeight="1" spans="1:44">
      <c r="A8" s="21" t="s">
        <v>42</v>
      </c>
      <c r="B8" s="22"/>
      <c r="C8" s="23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5"/>
      <c r="R8" s="26"/>
      <c r="S8" s="27"/>
      <c r="T8" s="24"/>
      <c r="U8" s="24"/>
      <c r="V8" s="24"/>
      <c r="W8" s="24"/>
      <c r="X8" s="28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9"/>
    </row>
    <row r="9" ht="46.5" customHeight="1" spans="1:44">
      <c r="A9" s="21" t="s">
        <v>44</v>
      </c>
      <c r="B9" s="30">
        <f ca="1">TODAY()+14</f>
        <v>46281</v>
      </c>
      <c r="C9" s="23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5"/>
      <c r="R9" s="26"/>
      <c r="S9" s="27"/>
      <c r="T9" s="24"/>
      <c r="U9" s="24"/>
      <c r="V9" s="24"/>
      <c r="W9" s="24"/>
      <c r="X9" s="28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9"/>
    </row>
    <row r="10" ht="46.5" customHeight="1" spans="1:44">
      <c r="A10" s="21" t="s">
        <v>45</v>
      </c>
      <c r="B10" s="30"/>
      <c r="C10" s="23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5"/>
      <c r="R10" s="26"/>
      <c r="S10" s="27"/>
      <c r="T10" s="24"/>
      <c r="U10" s="24"/>
      <c r="V10" s="24"/>
      <c r="W10" s="24"/>
      <c r="X10" s="28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9"/>
    </row>
    <row r="11" ht="46.5" customHeight="1" spans="1:44">
      <c r="A11" s="21" t="s">
        <v>46</v>
      </c>
      <c r="B11" s="30"/>
      <c r="C11" s="23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5"/>
      <c r="R11" s="26"/>
      <c r="S11" s="27"/>
      <c r="T11" s="24"/>
      <c r="U11" s="24"/>
      <c r="V11" s="24"/>
      <c r="W11" s="24"/>
      <c r="X11" s="28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9"/>
    </row>
    <row r="12" ht="46.5" customHeight="1" spans="1:44">
      <c r="A12" s="21" t="s">
        <v>47</v>
      </c>
      <c r="B12" s="30"/>
      <c r="C12" s="23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5"/>
      <c r="R12" s="26"/>
      <c r="S12" s="27"/>
      <c r="T12" s="24"/>
      <c r="U12" s="24"/>
      <c r="V12" s="24"/>
      <c r="W12" s="24"/>
      <c r="X12" s="28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9"/>
    </row>
    <row r="13" ht="46.5" customHeight="1" spans="1:44">
      <c r="A13" s="21" t="s">
        <v>48</v>
      </c>
      <c r="B13" s="30"/>
      <c r="C13" s="23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5"/>
      <c r="R13" s="26"/>
      <c r="S13" s="27"/>
      <c r="T13" s="24"/>
      <c r="U13" s="24"/>
      <c r="V13" s="24"/>
      <c r="W13" s="24"/>
      <c r="X13" s="28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9"/>
    </row>
    <row r="14" ht="46.5" customHeight="1" spans="1:44">
      <c r="A14" s="21" t="s">
        <v>49</v>
      </c>
      <c r="B14" s="31"/>
      <c r="C14" s="32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4"/>
      <c r="R14" s="35"/>
      <c r="S14" s="36"/>
      <c r="T14" s="33"/>
      <c r="U14" s="33"/>
      <c r="V14" s="33"/>
      <c r="W14" s="33"/>
      <c r="X14" s="28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7"/>
    </row>
    <row r="15" ht="46.5" customHeight="1" spans="1:44">
      <c r="A15" s="21" t="s">
        <v>35</v>
      </c>
      <c r="B15" s="13">
        <f ca="1">B3+1</f>
        <v>46282</v>
      </c>
      <c r="C15" s="14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6"/>
      <c r="R15" s="17"/>
      <c r="S15" s="18"/>
      <c r="T15" s="15"/>
      <c r="U15" s="15"/>
      <c r="V15" s="15"/>
      <c r="W15" s="15"/>
      <c r="X15" s="28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20"/>
    </row>
    <row r="16" ht="46.5" customHeight="1" spans="1:44">
      <c r="A16" s="21" t="s">
        <v>37</v>
      </c>
      <c r="B16" s="22"/>
      <c r="C16" s="23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/>
      <c r="R16" s="26"/>
      <c r="S16" s="27"/>
      <c r="T16" s="24"/>
      <c r="U16" s="24"/>
      <c r="V16" s="24"/>
      <c r="W16" s="24"/>
      <c r="X16" s="28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9"/>
    </row>
    <row r="17" ht="46.5" customHeight="1" spans="1:44">
      <c r="A17" s="21" t="s">
        <v>38</v>
      </c>
      <c r="B17" s="22"/>
      <c r="C17" s="23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/>
      <c r="R17" s="26"/>
      <c r="S17" s="27"/>
      <c r="T17" s="24"/>
      <c r="U17" s="24"/>
      <c r="V17" s="24"/>
      <c r="W17" s="24"/>
      <c r="X17" s="28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9"/>
    </row>
    <row r="18" ht="46.5" customHeight="1" spans="1:44">
      <c r="A18" s="21" t="s">
        <v>40</v>
      </c>
      <c r="B18" s="22"/>
      <c r="C18" s="23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5"/>
      <c r="R18" s="26"/>
      <c r="S18" s="27"/>
      <c r="T18" s="24"/>
      <c r="U18" s="24"/>
      <c r="V18" s="24"/>
      <c r="W18" s="24"/>
      <c r="X18" s="28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9"/>
    </row>
    <row r="19" ht="46.5" customHeight="1" spans="1:44">
      <c r="A19" s="21" t="s">
        <v>41</v>
      </c>
      <c r="B19" s="22"/>
      <c r="C19" s="23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5"/>
      <c r="R19" s="26"/>
      <c r="S19" s="27"/>
      <c r="T19" s="24"/>
      <c r="U19" s="24"/>
      <c r="V19" s="24"/>
      <c r="W19" s="24"/>
      <c r="X19" s="28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9"/>
    </row>
    <row r="20" ht="46.5" customHeight="1" spans="1:44">
      <c r="A20" s="21" t="s">
        <v>42</v>
      </c>
      <c r="B20" s="22"/>
      <c r="C20" s="23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/>
      <c r="R20" s="26"/>
      <c r="S20" s="27"/>
      <c r="T20" s="24"/>
      <c r="U20" s="24"/>
      <c r="V20" s="24"/>
      <c r="W20" s="24"/>
      <c r="X20" s="28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9"/>
    </row>
    <row r="21" ht="46.5" customHeight="1" spans="1:44">
      <c r="A21" s="21" t="s">
        <v>44</v>
      </c>
      <c r="B21" s="30">
        <f ca="1">B9+1</f>
        <v>46282</v>
      </c>
      <c r="C21" s="23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/>
      <c r="R21" s="26"/>
      <c r="S21" s="27"/>
      <c r="T21" s="24"/>
      <c r="U21" s="24"/>
      <c r="V21" s="24"/>
      <c r="W21" s="24"/>
      <c r="X21" s="28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9"/>
    </row>
    <row r="22" ht="46.5" customHeight="1" spans="1:44">
      <c r="A22" s="21" t="s">
        <v>45</v>
      </c>
      <c r="B22" s="30"/>
      <c r="C22" s="23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/>
      <c r="R22" s="26"/>
      <c r="S22" s="27"/>
      <c r="T22" s="24"/>
      <c r="U22" s="24"/>
      <c r="V22" s="24"/>
      <c r="W22" s="24"/>
      <c r="X22" s="28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9"/>
    </row>
    <row r="23" ht="46.5" customHeight="1" spans="1:44">
      <c r="A23" s="21" t="s">
        <v>46</v>
      </c>
      <c r="B23" s="30"/>
      <c r="C23" s="23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5"/>
      <c r="R23" s="26"/>
      <c r="S23" s="27"/>
      <c r="T23" s="24"/>
      <c r="U23" s="24"/>
      <c r="V23" s="24"/>
      <c r="W23" s="24"/>
      <c r="X23" s="28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9"/>
    </row>
    <row r="24" ht="46.5" customHeight="1" spans="1:44">
      <c r="A24" s="21" t="s">
        <v>47</v>
      </c>
      <c r="B24" s="30"/>
      <c r="C24" s="23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5"/>
      <c r="R24" s="26"/>
      <c r="S24" s="27"/>
      <c r="T24" s="24"/>
      <c r="U24" s="24"/>
      <c r="V24" s="24"/>
      <c r="W24" s="24"/>
      <c r="X24" s="28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9"/>
    </row>
    <row r="25" ht="46.5" customHeight="1" spans="1:44">
      <c r="A25" s="21" t="s">
        <v>48</v>
      </c>
      <c r="B25" s="30"/>
      <c r="C25" s="23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5"/>
      <c r="R25" s="26"/>
      <c r="S25" s="27"/>
      <c r="T25" s="24"/>
      <c r="U25" s="24"/>
      <c r="V25" s="24"/>
      <c r="W25" s="24"/>
      <c r="X25" s="28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9"/>
    </row>
    <row r="26" ht="46.5" customHeight="1" spans="1:44">
      <c r="A26" s="21" t="s">
        <v>49</v>
      </c>
      <c r="B26" s="31"/>
      <c r="C26" s="32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4"/>
      <c r="R26" s="35"/>
      <c r="S26" s="36"/>
      <c r="T26" s="33"/>
      <c r="U26" s="33"/>
      <c r="V26" s="33"/>
      <c r="W26" s="33"/>
      <c r="X26" s="28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7"/>
    </row>
    <row r="27" ht="46.5" customHeight="1" spans="1:44">
      <c r="A27" s="21" t="s">
        <v>35</v>
      </c>
      <c r="B27" s="13">
        <f ca="1">B15+1</f>
        <v>46283</v>
      </c>
      <c r="C27" s="14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6"/>
      <c r="R27" s="17"/>
      <c r="S27" s="18"/>
      <c r="T27" s="15"/>
      <c r="U27" s="15"/>
      <c r="V27" s="15"/>
      <c r="W27" s="15"/>
      <c r="X27" s="28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20"/>
    </row>
    <row r="28" ht="46.5" customHeight="1" spans="1:44">
      <c r="A28" s="21" t="s">
        <v>37</v>
      </c>
      <c r="B28" s="22"/>
      <c r="C28" s="23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/>
      <c r="R28" s="26"/>
      <c r="S28" s="27"/>
      <c r="T28" s="24"/>
      <c r="U28" s="24"/>
      <c r="V28" s="24"/>
      <c r="W28" s="24"/>
      <c r="X28" s="28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9"/>
    </row>
    <row r="29" ht="46.5" customHeight="1" spans="1:44">
      <c r="A29" s="21" t="s">
        <v>38</v>
      </c>
      <c r="B29" s="22"/>
      <c r="C29" s="23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/>
      <c r="R29" s="26"/>
      <c r="S29" s="27"/>
      <c r="T29" s="24"/>
      <c r="U29" s="24"/>
      <c r="V29" s="24"/>
      <c r="W29" s="24"/>
      <c r="X29" s="28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9"/>
    </row>
    <row r="30" ht="46.5" customHeight="1" spans="1:44">
      <c r="A30" s="21" t="s">
        <v>40</v>
      </c>
      <c r="B30" s="22"/>
      <c r="C30" s="23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5"/>
      <c r="R30" s="26"/>
      <c r="S30" s="27"/>
      <c r="T30" s="24"/>
      <c r="U30" s="24"/>
      <c r="V30" s="24"/>
      <c r="W30" s="24"/>
      <c r="X30" s="28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9"/>
    </row>
    <row r="31" ht="46.5" customHeight="1" spans="1:44">
      <c r="A31" s="21" t="s">
        <v>41</v>
      </c>
      <c r="B31" s="22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5"/>
      <c r="R31" s="26"/>
      <c r="S31" s="27"/>
      <c r="T31" s="24"/>
      <c r="U31" s="24"/>
      <c r="V31" s="24"/>
      <c r="W31" s="24"/>
      <c r="X31" s="28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9"/>
    </row>
    <row r="32" ht="46.5" customHeight="1" spans="1:44">
      <c r="A32" s="21" t="s">
        <v>42</v>
      </c>
      <c r="B32" s="22"/>
      <c r="C32" s="23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5"/>
      <c r="R32" s="26"/>
      <c r="S32" s="27"/>
      <c r="T32" s="24"/>
      <c r="U32" s="24"/>
      <c r="V32" s="24"/>
      <c r="W32" s="24"/>
      <c r="X32" s="28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9"/>
    </row>
    <row r="33" ht="46.5" customHeight="1" spans="1:44">
      <c r="A33" s="21" t="s">
        <v>44</v>
      </c>
      <c r="B33" s="30">
        <f ca="1">B21+1</f>
        <v>46283</v>
      </c>
      <c r="C33" s="23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5"/>
      <c r="R33" s="26"/>
      <c r="S33" s="27"/>
      <c r="T33" s="24"/>
      <c r="U33" s="24"/>
      <c r="V33" s="24"/>
      <c r="W33" s="24"/>
      <c r="X33" s="28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9"/>
    </row>
    <row r="34" ht="46.5" customHeight="1" spans="1:44">
      <c r="A34" s="21" t="s">
        <v>45</v>
      </c>
      <c r="B34" s="30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  <c r="R34" s="26"/>
      <c r="S34" s="27"/>
      <c r="T34" s="24"/>
      <c r="U34" s="24"/>
      <c r="V34" s="24"/>
      <c r="W34" s="24"/>
      <c r="X34" s="28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9"/>
    </row>
    <row r="35" ht="46.5" customHeight="1" spans="1:44">
      <c r="A35" s="21" t="s">
        <v>46</v>
      </c>
      <c r="B35" s="30"/>
      <c r="C35" s="23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5"/>
      <c r="R35" s="26"/>
      <c r="S35" s="27"/>
      <c r="T35" s="24"/>
      <c r="U35" s="24"/>
      <c r="V35" s="24"/>
      <c r="W35" s="24"/>
      <c r="X35" s="28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9"/>
    </row>
    <row r="36" ht="46.5" customHeight="1" spans="1:44">
      <c r="A36" s="21" t="s">
        <v>47</v>
      </c>
      <c r="B36" s="30"/>
      <c r="C36" s="23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5"/>
      <c r="R36" s="26"/>
      <c r="S36" s="27"/>
      <c r="T36" s="24"/>
      <c r="U36" s="24"/>
      <c r="V36" s="24"/>
      <c r="W36" s="24"/>
      <c r="X36" s="28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9"/>
    </row>
    <row r="37" ht="46.5" customHeight="1" spans="1:44">
      <c r="A37" s="21" t="s">
        <v>48</v>
      </c>
      <c r="B37" s="30"/>
      <c r="C37" s="23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5"/>
      <c r="R37" s="26"/>
      <c r="S37" s="27"/>
      <c r="T37" s="24"/>
      <c r="U37" s="24"/>
      <c r="V37" s="24"/>
      <c r="W37" s="24"/>
      <c r="X37" s="28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9"/>
    </row>
    <row r="38" ht="46.5" customHeight="1" spans="1:44">
      <c r="A38" s="21" t="s">
        <v>49</v>
      </c>
      <c r="B38" s="31"/>
      <c r="C38" s="32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4"/>
      <c r="R38" s="35"/>
      <c r="S38" s="36"/>
      <c r="T38" s="33"/>
      <c r="U38" s="33"/>
      <c r="V38" s="33"/>
      <c r="W38" s="33"/>
      <c r="X38" s="28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7"/>
    </row>
    <row r="39" ht="46.5" customHeight="1" spans="1:44">
      <c r="A39" s="21" t="s">
        <v>35</v>
      </c>
      <c r="B39" s="13">
        <f ca="1" t="shared" ref="B39" si="0">B27+1</f>
        <v>46284</v>
      </c>
      <c r="C39" s="14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6"/>
      <c r="R39" s="17"/>
      <c r="S39" s="18"/>
      <c r="T39" s="15"/>
      <c r="U39" s="15"/>
      <c r="V39" s="15"/>
      <c r="W39" s="15"/>
      <c r="X39" s="28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20"/>
    </row>
    <row r="40" ht="46.5" customHeight="1" spans="1:44">
      <c r="A40" s="21" t="s">
        <v>37</v>
      </c>
      <c r="B40" s="22"/>
      <c r="C40" s="23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5"/>
      <c r="R40" s="26"/>
      <c r="S40" s="27"/>
      <c r="T40" s="24"/>
      <c r="U40" s="24"/>
      <c r="V40" s="24"/>
      <c r="W40" s="24"/>
      <c r="X40" s="28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9"/>
    </row>
    <row r="41" ht="46.5" customHeight="1" spans="1:44">
      <c r="A41" s="21" t="s">
        <v>38</v>
      </c>
      <c r="B41" s="22"/>
      <c r="C41" s="23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5"/>
      <c r="R41" s="26"/>
      <c r="S41" s="27"/>
      <c r="T41" s="24"/>
      <c r="U41" s="24"/>
      <c r="V41" s="24"/>
      <c r="W41" s="24"/>
      <c r="X41" s="28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9"/>
    </row>
    <row r="42" ht="46.5" customHeight="1" spans="1:44">
      <c r="A42" s="21" t="s">
        <v>40</v>
      </c>
      <c r="B42" s="22"/>
      <c r="C42" s="23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5"/>
      <c r="R42" s="26"/>
      <c r="S42" s="27"/>
      <c r="T42" s="24"/>
      <c r="U42" s="24"/>
      <c r="V42" s="24"/>
      <c r="W42" s="24"/>
      <c r="X42" s="28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9"/>
    </row>
    <row r="43" ht="46.5" customHeight="1" spans="1:44">
      <c r="A43" s="21" t="s">
        <v>41</v>
      </c>
      <c r="B43" s="22"/>
      <c r="C43" s="23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5"/>
      <c r="R43" s="26"/>
      <c r="S43" s="27"/>
      <c r="T43" s="24"/>
      <c r="U43" s="24"/>
      <c r="V43" s="24"/>
      <c r="W43" s="24"/>
      <c r="X43" s="28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9"/>
    </row>
    <row r="44" ht="46.5" customHeight="1" spans="1:44">
      <c r="A44" s="21" t="s">
        <v>42</v>
      </c>
      <c r="B44" s="22"/>
      <c r="C44" s="23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5"/>
      <c r="R44" s="26"/>
      <c r="S44" s="27"/>
      <c r="T44" s="24"/>
      <c r="U44" s="24"/>
      <c r="V44" s="24"/>
      <c r="W44" s="24"/>
      <c r="X44" s="28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9"/>
    </row>
    <row r="45" ht="46.5" customHeight="1" spans="1:44">
      <c r="A45" s="21" t="s">
        <v>44</v>
      </c>
      <c r="B45" s="30">
        <f ca="1" t="shared" ref="B45" si="1">B33+1</f>
        <v>46284</v>
      </c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5"/>
      <c r="R45" s="26"/>
      <c r="S45" s="27"/>
      <c r="T45" s="24"/>
      <c r="U45" s="24"/>
      <c r="V45" s="24"/>
      <c r="W45" s="24"/>
      <c r="X45" s="28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9"/>
    </row>
    <row r="46" ht="46.5" customHeight="1" spans="1:44">
      <c r="A46" s="21" t="s">
        <v>45</v>
      </c>
      <c r="B46" s="30"/>
      <c r="C46" s="23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5"/>
      <c r="R46" s="26"/>
      <c r="S46" s="27"/>
      <c r="T46" s="24"/>
      <c r="U46" s="24"/>
      <c r="V46" s="24"/>
      <c r="W46" s="24"/>
      <c r="X46" s="28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9"/>
    </row>
    <row r="47" ht="46.5" customHeight="1" spans="1:44">
      <c r="A47" s="21" t="s">
        <v>46</v>
      </c>
      <c r="B47" s="30"/>
      <c r="C47" s="23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5"/>
      <c r="R47" s="26"/>
      <c r="S47" s="27"/>
      <c r="T47" s="24"/>
      <c r="U47" s="24"/>
      <c r="V47" s="24"/>
      <c r="W47" s="24"/>
      <c r="X47" s="28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9"/>
    </row>
    <row r="48" ht="46.5" customHeight="1" spans="1:44">
      <c r="A48" s="21" t="s">
        <v>47</v>
      </c>
      <c r="B48" s="30"/>
      <c r="C48" s="23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5"/>
      <c r="R48" s="26"/>
      <c r="S48" s="27"/>
      <c r="T48" s="24"/>
      <c r="U48" s="24"/>
      <c r="V48" s="24"/>
      <c r="W48" s="24"/>
      <c r="X48" s="28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9"/>
    </row>
    <row r="49" ht="46.5" customHeight="1" spans="1:44">
      <c r="A49" s="21" t="s">
        <v>48</v>
      </c>
      <c r="B49" s="30"/>
      <c r="C49" s="23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5"/>
      <c r="R49" s="26"/>
      <c r="S49" s="27"/>
      <c r="T49" s="24"/>
      <c r="U49" s="24"/>
      <c r="V49" s="24"/>
      <c r="W49" s="24"/>
      <c r="X49" s="28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9"/>
    </row>
    <row r="50" ht="46.5" customHeight="1" spans="1:44">
      <c r="A50" s="21" t="s">
        <v>49</v>
      </c>
      <c r="B50" s="31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4"/>
      <c r="R50" s="35"/>
      <c r="S50" s="36"/>
      <c r="T50" s="33"/>
      <c r="U50" s="33"/>
      <c r="V50" s="33"/>
      <c r="W50" s="33"/>
      <c r="X50" s="28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7"/>
    </row>
    <row r="51" ht="46.5" customHeight="1" spans="1:44">
      <c r="A51" s="21" t="s">
        <v>35</v>
      </c>
      <c r="B51" s="13">
        <f ca="1" t="shared" ref="B51" si="2">B39+1</f>
        <v>46285</v>
      </c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6"/>
      <c r="R51" s="17"/>
      <c r="S51" s="18"/>
      <c r="T51" s="15"/>
      <c r="U51" s="15"/>
      <c r="V51" s="15"/>
      <c r="W51" s="15"/>
      <c r="X51" s="28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20"/>
    </row>
    <row r="52" ht="46.5" customHeight="1" spans="1:44">
      <c r="A52" s="21" t="s">
        <v>37</v>
      </c>
      <c r="B52" s="22"/>
      <c r="C52" s="23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5"/>
      <c r="R52" s="26"/>
      <c r="S52" s="27"/>
      <c r="T52" s="24"/>
      <c r="U52" s="24"/>
      <c r="V52" s="24"/>
      <c r="W52" s="24"/>
      <c r="X52" s="28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9"/>
    </row>
    <row r="53" ht="46.5" customHeight="1" spans="1:44">
      <c r="A53" s="21" t="s">
        <v>38</v>
      </c>
      <c r="B53" s="22"/>
      <c r="C53" s="23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5"/>
      <c r="R53" s="26"/>
      <c r="S53" s="27"/>
      <c r="T53" s="24"/>
      <c r="U53" s="24"/>
      <c r="V53" s="24"/>
      <c r="W53" s="24"/>
      <c r="X53" s="28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9"/>
    </row>
    <row r="54" ht="46.5" customHeight="1" spans="1:44">
      <c r="A54" s="21" t="s">
        <v>40</v>
      </c>
      <c r="B54" s="22"/>
      <c r="C54" s="23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5"/>
      <c r="R54" s="26"/>
      <c r="S54" s="27"/>
      <c r="T54" s="24"/>
      <c r="U54" s="24"/>
      <c r="V54" s="24"/>
      <c r="W54" s="24"/>
      <c r="X54" s="28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9"/>
    </row>
    <row r="55" ht="46.5" customHeight="1" spans="1:44">
      <c r="A55" s="21" t="s">
        <v>41</v>
      </c>
      <c r="B55" s="22"/>
      <c r="C55" s="23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5"/>
      <c r="R55" s="26"/>
      <c r="S55" s="27"/>
      <c r="T55" s="24"/>
      <c r="U55" s="24"/>
      <c r="V55" s="24"/>
      <c r="W55" s="24"/>
      <c r="X55" s="28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9"/>
    </row>
    <row r="56" ht="46.5" customHeight="1" spans="1:44">
      <c r="A56" s="21" t="s">
        <v>42</v>
      </c>
      <c r="B56" s="22"/>
      <c r="C56" s="23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5"/>
      <c r="R56" s="26"/>
      <c r="S56" s="27"/>
      <c r="T56" s="24"/>
      <c r="U56" s="24"/>
      <c r="V56" s="24"/>
      <c r="W56" s="24"/>
      <c r="X56" s="28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9"/>
    </row>
    <row r="57" ht="46.5" customHeight="1" spans="1:44">
      <c r="A57" s="21" t="s">
        <v>44</v>
      </c>
      <c r="B57" s="30">
        <f ca="1" t="shared" ref="B57" si="3">B45+1</f>
        <v>46285</v>
      </c>
      <c r="C57" s="23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5"/>
      <c r="R57" s="26"/>
      <c r="S57" s="27"/>
      <c r="T57" s="24"/>
      <c r="U57" s="24"/>
      <c r="V57" s="24"/>
      <c r="W57" s="24"/>
      <c r="X57" s="28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9"/>
    </row>
    <row r="58" ht="46.5" customHeight="1" spans="1:44">
      <c r="A58" s="21" t="s">
        <v>45</v>
      </c>
      <c r="B58" s="30"/>
      <c r="C58" s="23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5"/>
      <c r="R58" s="26"/>
      <c r="S58" s="27"/>
      <c r="T58" s="24"/>
      <c r="U58" s="24"/>
      <c r="V58" s="24"/>
      <c r="W58" s="24"/>
      <c r="X58" s="28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9"/>
    </row>
    <row r="59" ht="46.5" customHeight="1" spans="1:44">
      <c r="A59" s="21" t="s">
        <v>46</v>
      </c>
      <c r="B59" s="30"/>
      <c r="C59" s="23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5"/>
      <c r="R59" s="26"/>
      <c r="S59" s="27"/>
      <c r="T59" s="24"/>
      <c r="U59" s="24"/>
      <c r="V59" s="24"/>
      <c r="W59" s="24"/>
      <c r="X59" s="28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9"/>
    </row>
    <row r="60" ht="46.5" customHeight="1" spans="1:44">
      <c r="A60" s="21" t="s">
        <v>47</v>
      </c>
      <c r="B60" s="30"/>
      <c r="C60" s="23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5"/>
      <c r="R60" s="26"/>
      <c r="S60" s="27"/>
      <c r="T60" s="24"/>
      <c r="U60" s="24"/>
      <c r="V60" s="24"/>
      <c r="W60" s="24"/>
      <c r="X60" s="28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9"/>
    </row>
    <row r="61" ht="46.5" customHeight="1" spans="1:44">
      <c r="A61" s="21" t="s">
        <v>48</v>
      </c>
      <c r="B61" s="30"/>
      <c r="C61" s="23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5"/>
      <c r="R61" s="26"/>
      <c r="S61" s="27"/>
      <c r="T61" s="24"/>
      <c r="U61" s="24"/>
      <c r="V61" s="24"/>
      <c r="W61" s="24"/>
      <c r="X61" s="28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9"/>
    </row>
    <row r="62" ht="46.5" customHeight="1" spans="1:44">
      <c r="A62" s="21" t="s">
        <v>49</v>
      </c>
      <c r="B62" s="31"/>
      <c r="C62" s="32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4"/>
      <c r="R62" s="35"/>
      <c r="S62" s="36"/>
      <c r="T62" s="33"/>
      <c r="U62" s="33"/>
      <c r="V62" s="33"/>
      <c r="W62" s="33"/>
      <c r="X62" s="28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7"/>
    </row>
    <row r="63" ht="46.5" customHeight="1" spans="1:44">
      <c r="A63" s="21" t="s">
        <v>35</v>
      </c>
      <c r="B63" s="13">
        <f ca="1" t="shared" ref="B63" si="4">B51+1</f>
        <v>46286</v>
      </c>
      <c r="C63" s="14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6"/>
      <c r="R63" s="17"/>
      <c r="S63" s="18"/>
      <c r="T63" s="15"/>
      <c r="U63" s="15"/>
      <c r="V63" s="15"/>
      <c r="W63" s="15"/>
      <c r="X63" s="28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20"/>
    </row>
    <row r="64" ht="46.5" customHeight="1" spans="1:44">
      <c r="A64" s="21" t="s">
        <v>37</v>
      </c>
      <c r="B64" s="22"/>
      <c r="C64" s="23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5"/>
      <c r="R64" s="26"/>
      <c r="S64" s="27"/>
      <c r="T64" s="24"/>
      <c r="U64" s="24"/>
      <c r="V64" s="24"/>
      <c r="W64" s="24"/>
      <c r="X64" s="28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9"/>
    </row>
    <row r="65" ht="46.5" customHeight="1" spans="1:44">
      <c r="A65" s="21" t="s">
        <v>38</v>
      </c>
      <c r="B65" s="22"/>
      <c r="C65" s="23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5"/>
      <c r="R65" s="26"/>
      <c r="S65" s="27"/>
      <c r="T65" s="24"/>
      <c r="U65" s="24"/>
      <c r="V65" s="24"/>
      <c r="W65" s="24"/>
      <c r="X65" s="28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9"/>
    </row>
    <row r="66" ht="46.5" customHeight="1" spans="1:44">
      <c r="A66" s="21" t="s">
        <v>40</v>
      </c>
      <c r="B66" s="22"/>
      <c r="C66" s="23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5"/>
      <c r="R66" s="26"/>
      <c r="S66" s="27"/>
      <c r="T66" s="24"/>
      <c r="U66" s="24"/>
      <c r="V66" s="24"/>
      <c r="W66" s="24"/>
      <c r="X66" s="28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9"/>
    </row>
    <row r="67" ht="46.5" customHeight="1" spans="1:44">
      <c r="A67" s="21" t="s">
        <v>41</v>
      </c>
      <c r="B67" s="22"/>
      <c r="C67" s="23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5"/>
      <c r="R67" s="26"/>
      <c r="S67" s="27"/>
      <c r="T67" s="24"/>
      <c r="U67" s="24"/>
      <c r="V67" s="24"/>
      <c r="W67" s="24"/>
      <c r="X67" s="28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9"/>
    </row>
    <row r="68" ht="46.5" customHeight="1" spans="1:44">
      <c r="A68" s="21" t="s">
        <v>42</v>
      </c>
      <c r="B68" s="22"/>
      <c r="C68" s="23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5"/>
      <c r="R68" s="26"/>
      <c r="S68" s="27"/>
      <c r="T68" s="24"/>
      <c r="U68" s="24"/>
      <c r="V68" s="24"/>
      <c r="W68" s="24"/>
      <c r="X68" s="28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9"/>
    </row>
    <row r="69" ht="46.5" customHeight="1" spans="1:44">
      <c r="A69" s="21" t="s">
        <v>44</v>
      </c>
      <c r="B69" s="30">
        <f ca="1" t="shared" ref="B69" si="5">B57+1</f>
        <v>46286</v>
      </c>
      <c r="C69" s="23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5"/>
      <c r="R69" s="26"/>
      <c r="S69" s="27"/>
      <c r="T69" s="24"/>
      <c r="U69" s="24"/>
      <c r="V69" s="24"/>
      <c r="W69" s="24"/>
      <c r="X69" s="28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9"/>
    </row>
    <row r="70" ht="46.5" customHeight="1" spans="1:44">
      <c r="A70" s="21" t="s">
        <v>45</v>
      </c>
      <c r="B70" s="30"/>
      <c r="C70" s="23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5"/>
      <c r="R70" s="26"/>
      <c r="S70" s="27"/>
      <c r="T70" s="24"/>
      <c r="U70" s="24"/>
      <c r="V70" s="24"/>
      <c r="W70" s="24"/>
      <c r="X70" s="28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9"/>
    </row>
    <row r="71" ht="46.5" customHeight="1" spans="1:44">
      <c r="A71" s="21" t="s">
        <v>46</v>
      </c>
      <c r="B71" s="30"/>
      <c r="C71" s="23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5"/>
      <c r="R71" s="26"/>
      <c r="S71" s="27"/>
      <c r="T71" s="24"/>
      <c r="U71" s="24"/>
      <c r="V71" s="24"/>
      <c r="W71" s="24"/>
      <c r="X71" s="28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9"/>
    </row>
    <row r="72" ht="46.5" customHeight="1" spans="1:44">
      <c r="A72" s="21" t="s">
        <v>47</v>
      </c>
      <c r="B72" s="30"/>
      <c r="C72" s="23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  <c r="R72" s="26"/>
      <c r="S72" s="27"/>
      <c r="T72" s="24"/>
      <c r="U72" s="24"/>
      <c r="V72" s="24"/>
      <c r="W72" s="24"/>
      <c r="X72" s="28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9"/>
    </row>
    <row r="73" ht="46.5" customHeight="1" spans="1:44">
      <c r="A73" s="21" t="s">
        <v>48</v>
      </c>
      <c r="B73" s="30"/>
      <c r="C73" s="23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5"/>
      <c r="R73" s="26"/>
      <c r="S73" s="27"/>
      <c r="T73" s="24"/>
      <c r="U73" s="24"/>
      <c r="V73" s="24"/>
      <c r="W73" s="24"/>
      <c r="X73" s="28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9"/>
    </row>
    <row r="74" ht="46.5" customHeight="1" spans="1:44">
      <c r="A74" s="21" t="s">
        <v>49</v>
      </c>
      <c r="B74" s="31"/>
      <c r="C74" s="32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4"/>
      <c r="R74" s="35"/>
      <c r="S74" s="36"/>
      <c r="T74" s="33"/>
      <c r="U74" s="33"/>
      <c r="V74" s="33"/>
      <c r="W74" s="33"/>
      <c r="X74" s="28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7"/>
    </row>
    <row r="75" ht="46.5" customHeight="1" spans="1:44">
      <c r="A75" s="21" t="s">
        <v>35</v>
      </c>
      <c r="B75" s="13">
        <f ca="1" t="shared" ref="B75" si="6">B63+1</f>
        <v>46287</v>
      </c>
      <c r="C75" s="14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6"/>
      <c r="R75" s="17"/>
      <c r="S75" s="18"/>
      <c r="T75" s="15"/>
      <c r="U75" s="15"/>
      <c r="V75" s="15"/>
      <c r="W75" s="15"/>
      <c r="X75" s="28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20"/>
    </row>
    <row r="76" ht="46.5" customHeight="1" spans="1:44">
      <c r="A76" s="21" t="s">
        <v>37</v>
      </c>
      <c r="B76" s="22"/>
      <c r="C76" s="23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5"/>
      <c r="R76" s="26"/>
      <c r="S76" s="27"/>
      <c r="T76" s="24"/>
      <c r="U76" s="24"/>
      <c r="V76" s="24"/>
      <c r="W76" s="24"/>
      <c r="X76" s="28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9"/>
    </row>
    <row r="77" ht="46.5" customHeight="1" spans="1:44">
      <c r="A77" s="21" t="s">
        <v>38</v>
      </c>
      <c r="B77" s="22"/>
      <c r="C77" s="23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5"/>
      <c r="R77" s="26"/>
      <c r="S77" s="27"/>
      <c r="T77" s="24"/>
      <c r="U77" s="24"/>
      <c r="V77" s="24"/>
      <c r="W77" s="24"/>
      <c r="X77" s="28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9"/>
    </row>
    <row r="78" ht="46.5" customHeight="1" spans="1:44">
      <c r="A78" s="21" t="s">
        <v>40</v>
      </c>
      <c r="B78" s="22"/>
      <c r="C78" s="23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5"/>
      <c r="R78" s="26"/>
      <c r="S78" s="27"/>
      <c r="T78" s="24"/>
      <c r="U78" s="24"/>
      <c r="V78" s="24"/>
      <c r="W78" s="24"/>
      <c r="X78" s="28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9"/>
    </row>
    <row r="79" ht="46.5" customHeight="1" spans="1:44">
      <c r="A79" s="21" t="s">
        <v>41</v>
      </c>
      <c r="B79" s="22"/>
      <c r="C79" s="23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5"/>
      <c r="R79" s="26"/>
      <c r="S79" s="27"/>
      <c r="T79" s="24"/>
      <c r="U79" s="24"/>
      <c r="V79" s="24"/>
      <c r="W79" s="24"/>
      <c r="X79" s="28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9"/>
    </row>
    <row r="80" ht="46.5" customHeight="1" spans="1:44">
      <c r="A80" s="21" t="s">
        <v>42</v>
      </c>
      <c r="B80" s="22"/>
      <c r="C80" s="23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5"/>
      <c r="R80" s="26"/>
      <c r="S80" s="27"/>
      <c r="T80" s="24"/>
      <c r="U80" s="24"/>
      <c r="V80" s="24"/>
      <c r="W80" s="24"/>
      <c r="X80" s="28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9"/>
    </row>
    <row r="81" ht="46.5" customHeight="1" spans="1:44">
      <c r="A81" s="21" t="s">
        <v>44</v>
      </c>
      <c r="B81" s="30">
        <f ca="1" t="shared" ref="B81" si="7">B69+1</f>
        <v>46287</v>
      </c>
      <c r="C81" s="23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5"/>
      <c r="R81" s="26"/>
      <c r="S81" s="27"/>
      <c r="T81" s="24"/>
      <c r="U81" s="24"/>
      <c r="V81" s="24"/>
      <c r="W81" s="24"/>
      <c r="X81" s="28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9"/>
    </row>
    <row r="82" ht="46.5" customHeight="1" spans="1:44">
      <c r="A82" s="21" t="s">
        <v>45</v>
      </c>
      <c r="B82" s="30"/>
      <c r="C82" s="23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5"/>
      <c r="R82" s="26"/>
      <c r="S82" s="27"/>
      <c r="T82" s="24"/>
      <c r="U82" s="24"/>
      <c r="V82" s="24"/>
      <c r="W82" s="24"/>
      <c r="X82" s="28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9"/>
    </row>
    <row r="83" ht="46.5" customHeight="1" spans="1:44">
      <c r="A83" s="21" t="s">
        <v>46</v>
      </c>
      <c r="B83" s="30"/>
      <c r="C83" s="23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5"/>
      <c r="R83" s="26"/>
      <c r="S83" s="27"/>
      <c r="T83" s="24"/>
      <c r="U83" s="24"/>
      <c r="V83" s="24"/>
      <c r="W83" s="24"/>
      <c r="X83" s="28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9"/>
    </row>
    <row r="84" ht="46.5" customHeight="1" spans="1:44">
      <c r="A84" s="21" t="s">
        <v>47</v>
      </c>
      <c r="B84" s="30"/>
      <c r="C84" s="23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5"/>
      <c r="R84" s="26"/>
      <c r="S84" s="27"/>
      <c r="T84" s="24"/>
      <c r="U84" s="24"/>
      <c r="V84" s="24"/>
      <c r="W84" s="24"/>
      <c r="X84" s="28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9"/>
    </row>
    <row r="85" ht="46.5" customHeight="1" spans="1:44">
      <c r="A85" s="21" t="s">
        <v>48</v>
      </c>
      <c r="B85" s="30"/>
      <c r="C85" s="23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5"/>
      <c r="R85" s="26"/>
      <c r="S85" s="27"/>
      <c r="T85" s="24"/>
      <c r="U85" s="24"/>
      <c r="V85" s="24"/>
      <c r="W85" s="24"/>
      <c r="X85" s="28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9"/>
    </row>
    <row r="86" ht="46.5" customHeight="1" spans="1:44">
      <c r="A86" s="21" t="s">
        <v>49</v>
      </c>
      <c r="B86" s="31"/>
      <c r="C86" s="32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4"/>
      <c r="R86" s="35"/>
      <c r="S86" s="36"/>
      <c r="T86" s="33"/>
      <c r="U86" s="33"/>
      <c r="V86" s="33"/>
      <c r="W86" s="33"/>
      <c r="X86" s="28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7"/>
    </row>
    <row r="87" ht="46.5" customHeight="1" spans="1:44">
      <c r="A87" s="21" t="s">
        <v>35</v>
      </c>
      <c r="B87" s="13">
        <f ca="1" t="shared" ref="B87" si="8">B75+1</f>
        <v>46288</v>
      </c>
      <c r="C87" s="14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6"/>
      <c r="R87" s="17"/>
      <c r="S87" s="18"/>
      <c r="T87" s="15"/>
      <c r="U87" s="15"/>
      <c r="V87" s="15"/>
      <c r="W87" s="15"/>
      <c r="X87" s="28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20"/>
    </row>
    <row r="88" ht="46.5" customHeight="1" spans="1:44">
      <c r="A88" s="21" t="s">
        <v>37</v>
      </c>
      <c r="B88" s="22"/>
      <c r="C88" s="23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5"/>
      <c r="R88" s="26"/>
      <c r="S88" s="27"/>
      <c r="T88" s="24"/>
      <c r="U88" s="24"/>
      <c r="V88" s="24"/>
      <c r="W88" s="24"/>
      <c r="X88" s="28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9"/>
    </row>
    <row r="89" ht="46.5" customHeight="1" spans="1:44">
      <c r="A89" s="21" t="s">
        <v>38</v>
      </c>
      <c r="B89" s="22"/>
      <c r="C89" s="23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5"/>
      <c r="R89" s="26"/>
      <c r="S89" s="27"/>
      <c r="T89" s="24"/>
      <c r="U89" s="24"/>
      <c r="V89" s="24"/>
      <c r="W89" s="24"/>
      <c r="X89" s="28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9"/>
    </row>
    <row r="90" ht="46.5" customHeight="1" spans="1:44">
      <c r="A90" s="21" t="s">
        <v>40</v>
      </c>
      <c r="B90" s="22"/>
      <c r="C90" s="23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5"/>
      <c r="R90" s="26"/>
      <c r="S90" s="27"/>
      <c r="T90" s="24"/>
      <c r="U90" s="24"/>
      <c r="V90" s="24"/>
      <c r="W90" s="24"/>
      <c r="X90" s="28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9"/>
    </row>
    <row r="91" ht="46.5" customHeight="1" spans="1:44">
      <c r="A91" s="21" t="s">
        <v>41</v>
      </c>
      <c r="B91" s="22"/>
      <c r="C91" s="23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5"/>
      <c r="R91" s="26"/>
      <c r="S91" s="27"/>
      <c r="T91" s="24"/>
      <c r="U91" s="24"/>
      <c r="V91" s="24"/>
      <c r="W91" s="24"/>
      <c r="X91" s="28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9"/>
    </row>
    <row r="92" ht="46.5" customHeight="1" spans="1:44">
      <c r="A92" s="21" t="s">
        <v>42</v>
      </c>
      <c r="B92" s="22"/>
      <c r="C92" s="23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5"/>
      <c r="R92" s="26"/>
      <c r="S92" s="27"/>
      <c r="T92" s="24"/>
      <c r="U92" s="24"/>
      <c r="V92" s="24"/>
      <c r="W92" s="24"/>
      <c r="X92" s="28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9"/>
    </row>
    <row r="93" ht="46.5" customHeight="1" spans="1:44">
      <c r="A93" s="21" t="s">
        <v>44</v>
      </c>
      <c r="B93" s="30">
        <f ca="1" t="shared" ref="B93" si="9">B81+1</f>
        <v>46288</v>
      </c>
      <c r="C93" s="23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5"/>
      <c r="R93" s="26"/>
      <c r="S93" s="27"/>
      <c r="T93" s="24"/>
      <c r="U93" s="24"/>
      <c r="V93" s="24"/>
      <c r="W93" s="24"/>
      <c r="X93" s="28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Q93" s="24"/>
      <c r="AR93" s="29"/>
    </row>
    <row r="94" ht="46.5" customHeight="1" spans="1:44">
      <c r="A94" s="21" t="s">
        <v>45</v>
      </c>
      <c r="B94" s="30"/>
      <c r="C94" s="23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5"/>
      <c r="R94" s="26"/>
      <c r="S94" s="27"/>
      <c r="T94" s="24"/>
      <c r="U94" s="24"/>
      <c r="V94" s="24"/>
      <c r="W94" s="24"/>
      <c r="X94" s="28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9"/>
    </row>
    <row r="95" ht="46.5" customHeight="1" spans="1:44">
      <c r="A95" s="21" t="s">
        <v>46</v>
      </c>
      <c r="B95" s="30"/>
      <c r="C95" s="23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5"/>
      <c r="R95" s="26"/>
      <c r="S95" s="27"/>
      <c r="T95" s="24"/>
      <c r="U95" s="24"/>
      <c r="V95" s="24"/>
      <c r="W95" s="24"/>
      <c r="X95" s="28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9"/>
    </row>
    <row r="96" ht="46.5" customHeight="1" spans="1:44">
      <c r="A96" s="21" t="s">
        <v>47</v>
      </c>
      <c r="B96" s="30"/>
      <c r="C96" s="23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5"/>
      <c r="R96" s="26"/>
      <c r="S96" s="27"/>
      <c r="T96" s="24"/>
      <c r="U96" s="24"/>
      <c r="V96" s="24"/>
      <c r="W96" s="24"/>
      <c r="X96" s="28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9"/>
    </row>
    <row r="97" ht="46.5" customHeight="1" spans="1:44">
      <c r="A97" s="21" t="s">
        <v>48</v>
      </c>
      <c r="B97" s="30"/>
      <c r="C97" s="23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5"/>
      <c r="R97" s="26"/>
      <c r="S97" s="27"/>
      <c r="T97" s="24"/>
      <c r="U97" s="24"/>
      <c r="V97" s="24"/>
      <c r="W97" s="24"/>
      <c r="X97" s="28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9"/>
    </row>
    <row r="98" ht="46.5" customHeight="1" spans="1:44">
      <c r="A98" s="21" t="s">
        <v>49</v>
      </c>
      <c r="B98" s="31"/>
      <c r="C98" s="32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4"/>
      <c r="R98" s="35"/>
      <c r="S98" s="36"/>
      <c r="T98" s="33"/>
      <c r="U98" s="33"/>
      <c r="V98" s="33"/>
      <c r="W98" s="33"/>
      <c r="X98" s="28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7"/>
    </row>
    <row r="99" ht="46.5" customHeight="1" spans="1:44">
      <c r="A99" s="21" t="s">
        <v>35</v>
      </c>
      <c r="B99" s="13">
        <f ca="1" t="shared" ref="B99" si="10">B87+1</f>
        <v>46289</v>
      </c>
      <c r="C99" s="14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6"/>
      <c r="R99" s="17"/>
      <c r="S99" s="18"/>
      <c r="T99" s="15"/>
      <c r="U99" s="15"/>
      <c r="V99" s="15"/>
      <c r="W99" s="15"/>
      <c r="X99" s="28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20"/>
    </row>
    <row r="100" ht="46.5" customHeight="1" spans="1:44">
      <c r="A100" s="21" t="s">
        <v>37</v>
      </c>
      <c r="B100" s="22"/>
      <c r="C100" s="23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5"/>
      <c r="R100" s="26"/>
      <c r="S100" s="27"/>
      <c r="T100" s="24"/>
      <c r="U100" s="24"/>
      <c r="V100" s="24"/>
      <c r="W100" s="24"/>
      <c r="X100" s="28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9"/>
    </row>
    <row r="101" ht="46.5" customHeight="1" spans="1:44">
      <c r="A101" s="21" t="s">
        <v>38</v>
      </c>
      <c r="B101" s="22"/>
      <c r="C101" s="23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5"/>
      <c r="R101" s="26"/>
      <c r="S101" s="27"/>
      <c r="T101" s="24"/>
      <c r="U101" s="24"/>
      <c r="V101" s="24"/>
      <c r="W101" s="24"/>
      <c r="X101" s="28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9"/>
    </row>
    <row r="102" ht="46.5" customHeight="1" spans="1:44">
      <c r="A102" s="21" t="s">
        <v>40</v>
      </c>
      <c r="B102" s="22"/>
      <c r="C102" s="23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5"/>
      <c r="R102" s="26"/>
      <c r="S102" s="27"/>
      <c r="T102" s="24"/>
      <c r="U102" s="24"/>
      <c r="V102" s="24"/>
      <c r="W102" s="24"/>
      <c r="X102" s="28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9"/>
    </row>
    <row r="103" ht="46.5" customHeight="1" spans="1:44">
      <c r="A103" s="21" t="s">
        <v>41</v>
      </c>
      <c r="B103" s="22"/>
      <c r="C103" s="23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5"/>
      <c r="R103" s="26"/>
      <c r="S103" s="27"/>
      <c r="T103" s="24"/>
      <c r="U103" s="24"/>
      <c r="V103" s="24"/>
      <c r="W103" s="24"/>
      <c r="X103" s="28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9"/>
    </row>
    <row r="104" ht="46.5" customHeight="1" spans="1:44">
      <c r="A104" s="21" t="s">
        <v>42</v>
      </c>
      <c r="B104" s="22"/>
      <c r="C104" s="23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5"/>
      <c r="R104" s="26"/>
      <c r="S104" s="27"/>
      <c r="T104" s="24"/>
      <c r="U104" s="24"/>
      <c r="V104" s="24"/>
      <c r="W104" s="24"/>
      <c r="X104" s="28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9"/>
    </row>
    <row r="105" ht="46.5" customHeight="1" spans="1:44">
      <c r="A105" s="21" t="s">
        <v>44</v>
      </c>
      <c r="B105" s="30">
        <f ca="1" t="shared" ref="B105" si="11">B93+1</f>
        <v>46289</v>
      </c>
      <c r="C105" s="23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5"/>
      <c r="R105" s="26"/>
      <c r="S105" s="27"/>
      <c r="T105" s="24"/>
      <c r="U105" s="24"/>
      <c r="V105" s="24"/>
      <c r="W105" s="24"/>
      <c r="X105" s="28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9"/>
    </row>
    <row r="106" ht="46.5" customHeight="1" spans="1:44">
      <c r="A106" s="21" t="s">
        <v>45</v>
      </c>
      <c r="B106" s="30"/>
      <c r="C106" s="23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5"/>
      <c r="R106" s="26"/>
      <c r="S106" s="27"/>
      <c r="T106" s="24"/>
      <c r="U106" s="24"/>
      <c r="V106" s="24"/>
      <c r="W106" s="24"/>
      <c r="X106" s="28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9"/>
    </row>
    <row r="107" ht="46.5" customHeight="1" spans="1:44">
      <c r="A107" s="21" t="s">
        <v>46</v>
      </c>
      <c r="B107" s="30"/>
      <c r="C107" s="23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5"/>
      <c r="R107" s="26"/>
      <c r="S107" s="27"/>
      <c r="T107" s="24"/>
      <c r="U107" s="24"/>
      <c r="V107" s="24"/>
      <c r="W107" s="24"/>
      <c r="X107" s="28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9"/>
    </row>
    <row r="108" ht="46.5" customHeight="1" spans="1:44">
      <c r="A108" s="21" t="s">
        <v>47</v>
      </c>
      <c r="B108" s="30"/>
      <c r="C108" s="23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5"/>
      <c r="R108" s="26"/>
      <c r="S108" s="27"/>
      <c r="T108" s="24"/>
      <c r="U108" s="24"/>
      <c r="V108" s="24"/>
      <c r="W108" s="24"/>
      <c r="X108" s="28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9"/>
    </row>
    <row r="109" ht="46.5" customHeight="1" spans="1:44">
      <c r="A109" s="21" t="s">
        <v>48</v>
      </c>
      <c r="B109" s="30"/>
      <c r="C109" s="23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5"/>
      <c r="R109" s="26"/>
      <c r="S109" s="27"/>
      <c r="T109" s="24"/>
      <c r="U109" s="24"/>
      <c r="V109" s="24"/>
      <c r="W109" s="24"/>
      <c r="X109" s="28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9"/>
    </row>
    <row r="110" ht="46.5" customHeight="1" spans="1:44">
      <c r="A110" s="21" t="s">
        <v>49</v>
      </c>
      <c r="B110" s="31"/>
      <c r="C110" s="32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4"/>
      <c r="R110" s="35"/>
      <c r="S110" s="36"/>
      <c r="T110" s="33"/>
      <c r="U110" s="33"/>
      <c r="V110" s="33"/>
      <c r="W110" s="33"/>
      <c r="X110" s="28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7"/>
    </row>
    <row r="111" ht="46.5" customHeight="1" spans="1:44">
      <c r="A111" s="21" t="s">
        <v>35</v>
      </c>
      <c r="B111" s="13">
        <f ca="1" t="shared" ref="B111" si="12">B99+1</f>
        <v>46290</v>
      </c>
      <c r="C111" s="14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6"/>
      <c r="R111" s="17"/>
      <c r="S111" s="18"/>
      <c r="T111" s="15"/>
      <c r="U111" s="15"/>
      <c r="V111" s="15"/>
      <c r="W111" s="15"/>
      <c r="X111" s="28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20"/>
    </row>
    <row r="112" ht="46.5" customHeight="1" spans="1:44">
      <c r="A112" s="21" t="s">
        <v>37</v>
      </c>
      <c r="B112" s="22"/>
      <c r="C112" s="23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5"/>
      <c r="R112" s="26"/>
      <c r="S112" s="27"/>
      <c r="T112" s="24"/>
      <c r="U112" s="24"/>
      <c r="V112" s="24"/>
      <c r="W112" s="24"/>
      <c r="X112" s="28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9"/>
    </row>
    <row r="113" ht="46.5" customHeight="1" spans="1:44">
      <c r="A113" s="21" t="s">
        <v>38</v>
      </c>
      <c r="B113" s="22"/>
      <c r="C113" s="23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5"/>
      <c r="R113" s="26"/>
      <c r="S113" s="27"/>
      <c r="T113" s="24"/>
      <c r="U113" s="24"/>
      <c r="V113" s="24"/>
      <c r="W113" s="24"/>
      <c r="X113" s="28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9"/>
    </row>
    <row r="114" ht="46.5" customHeight="1" spans="1:44">
      <c r="A114" s="21" t="s">
        <v>40</v>
      </c>
      <c r="B114" s="22"/>
      <c r="C114" s="23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5"/>
      <c r="R114" s="26"/>
      <c r="S114" s="27"/>
      <c r="T114" s="24"/>
      <c r="U114" s="24"/>
      <c r="V114" s="24"/>
      <c r="W114" s="24"/>
      <c r="X114" s="28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9"/>
    </row>
    <row r="115" ht="46.5" customHeight="1" spans="1:44">
      <c r="A115" s="21" t="s">
        <v>41</v>
      </c>
      <c r="B115" s="22"/>
      <c r="C115" s="23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5"/>
      <c r="R115" s="26"/>
      <c r="S115" s="27"/>
      <c r="T115" s="24"/>
      <c r="U115" s="24"/>
      <c r="V115" s="24"/>
      <c r="W115" s="24"/>
      <c r="X115" s="28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9"/>
    </row>
    <row r="116" ht="46.5" customHeight="1" spans="1:44">
      <c r="A116" s="21" t="s">
        <v>42</v>
      </c>
      <c r="B116" s="22"/>
      <c r="C116" s="23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5"/>
      <c r="R116" s="26"/>
      <c r="S116" s="27"/>
      <c r="T116" s="24"/>
      <c r="U116" s="24"/>
      <c r="V116" s="24"/>
      <c r="W116" s="24"/>
      <c r="X116" s="28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9"/>
    </row>
    <row r="117" ht="46.5" customHeight="1" spans="1:44">
      <c r="A117" s="21" t="s">
        <v>44</v>
      </c>
      <c r="B117" s="30">
        <f ca="1" t="shared" ref="B117" si="13">B105+1</f>
        <v>46290</v>
      </c>
      <c r="C117" s="23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5"/>
      <c r="R117" s="26"/>
      <c r="S117" s="27"/>
      <c r="T117" s="24"/>
      <c r="U117" s="24"/>
      <c r="V117" s="24"/>
      <c r="W117" s="24"/>
      <c r="X117" s="28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9"/>
    </row>
    <row r="118" ht="46.5" customHeight="1" spans="1:44">
      <c r="A118" s="21" t="s">
        <v>45</v>
      </c>
      <c r="B118" s="30"/>
      <c r="C118" s="23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5"/>
      <c r="R118" s="26"/>
      <c r="S118" s="27"/>
      <c r="T118" s="24"/>
      <c r="U118" s="24"/>
      <c r="V118" s="24"/>
      <c r="W118" s="24"/>
      <c r="X118" s="28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9"/>
    </row>
    <row r="119" ht="46.5" customHeight="1" spans="1:44">
      <c r="A119" s="21" t="s">
        <v>46</v>
      </c>
      <c r="B119" s="30"/>
      <c r="C119" s="23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5"/>
      <c r="R119" s="26"/>
      <c r="S119" s="27"/>
      <c r="T119" s="24"/>
      <c r="U119" s="24"/>
      <c r="V119" s="24"/>
      <c r="W119" s="24"/>
      <c r="X119" s="28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9"/>
    </row>
    <row r="120" ht="46.5" customHeight="1" spans="1:44">
      <c r="A120" s="21" t="s">
        <v>47</v>
      </c>
      <c r="B120" s="30"/>
      <c r="C120" s="23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5"/>
      <c r="R120" s="26"/>
      <c r="S120" s="27"/>
      <c r="T120" s="24"/>
      <c r="U120" s="24"/>
      <c r="V120" s="24"/>
      <c r="W120" s="24"/>
      <c r="X120" s="28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9"/>
    </row>
    <row r="121" ht="46.5" customHeight="1" spans="1:44">
      <c r="A121" s="21" t="s">
        <v>48</v>
      </c>
      <c r="B121" s="30"/>
      <c r="C121" s="23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5"/>
      <c r="R121" s="26"/>
      <c r="S121" s="27"/>
      <c r="T121" s="24"/>
      <c r="U121" s="24"/>
      <c r="V121" s="24"/>
      <c r="W121" s="24"/>
      <c r="X121" s="28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9"/>
    </row>
    <row r="122" ht="46.5" customHeight="1" spans="1:44">
      <c r="A122" s="21" t="s">
        <v>49</v>
      </c>
      <c r="B122" s="31"/>
      <c r="C122" s="32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4"/>
      <c r="R122" s="35"/>
      <c r="S122" s="36"/>
      <c r="T122" s="33"/>
      <c r="U122" s="33"/>
      <c r="V122" s="33"/>
      <c r="W122" s="33"/>
      <c r="X122" s="28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7"/>
    </row>
    <row r="123" ht="46.5" customHeight="1" spans="1:44">
      <c r="A123" s="21" t="s">
        <v>35</v>
      </c>
      <c r="B123" s="13">
        <f ca="1" t="shared" ref="B123" si="14">B111+1</f>
        <v>46291</v>
      </c>
      <c r="C123" s="14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6"/>
      <c r="R123" s="17"/>
      <c r="S123" s="18"/>
      <c r="T123" s="15"/>
      <c r="U123" s="15"/>
      <c r="V123" s="15"/>
      <c r="W123" s="15"/>
      <c r="X123" s="28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20"/>
    </row>
    <row r="124" ht="46.5" customHeight="1" spans="1:44">
      <c r="A124" s="21" t="s">
        <v>37</v>
      </c>
      <c r="B124" s="22"/>
      <c r="C124" s="23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5"/>
      <c r="R124" s="26"/>
      <c r="S124" s="27"/>
      <c r="T124" s="24"/>
      <c r="U124" s="24"/>
      <c r="V124" s="24"/>
      <c r="W124" s="24"/>
      <c r="X124" s="28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9"/>
    </row>
    <row r="125" ht="46.5" customHeight="1" spans="1:44">
      <c r="A125" s="21" t="s">
        <v>38</v>
      </c>
      <c r="B125" s="22"/>
      <c r="C125" s="23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5"/>
      <c r="R125" s="26"/>
      <c r="S125" s="27"/>
      <c r="T125" s="24"/>
      <c r="U125" s="24"/>
      <c r="V125" s="24"/>
      <c r="W125" s="24"/>
      <c r="X125" s="28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9"/>
    </row>
    <row r="126" ht="46.5" customHeight="1" spans="1:44">
      <c r="A126" s="21" t="s">
        <v>40</v>
      </c>
      <c r="B126" s="22"/>
      <c r="C126" s="23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5"/>
      <c r="R126" s="26"/>
      <c r="S126" s="27"/>
      <c r="T126" s="24"/>
      <c r="U126" s="24"/>
      <c r="V126" s="24"/>
      <c r="W126" s="24"/>
      <c r="X126" s="28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9"/>
    </row>
    <row r="127" ht="46.5" customHeight="1" spans="1:44">
      <c r="A127" s="21" t="s">
        <v>41</v>
      </c>
      <c r="B127" s="22"/>
      <c r="C127" s="23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5"/>
      <c r="R127" s="26"/>
      <c r="S127" s="27"/>
      <c r="T127" s="24"/>
      <c r="U127" s="24"/>
      <c r="V127" s="24"/>
      <c r="W127" s="24"/>
      <c r="X127" s="28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9"/>
    </row>
    <row r="128" ht="46.5" customHeight="1" spans="1:44">
      <c r="A128" s="21" t="s">
        <v>42</v>
      </c>
      <c r="B128" s="22"/>
      <c r="C128" s="23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5"/>
      <c r="R128" s="26"/>
      <c r="S128" s="27"/>
      <c r="U128" s="24"/>
      <c r="V128" s="24"/>
      <c r="W128" s="24"/>
      <c r="X128" s="28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9"/>
    </row>
    <row r="129" ht="46.5" customHeight="1" spans="1:44">
      <c r="A129" s="21" t="s">
        <v>44</v>
      </c>
      <c r="B129" s="30">
        <f ca="1" t="shared" ref="B129" si="15">B117+1</f>
        <v>46291</v>
      </c>
      <c r="C129" s="23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5"/>
      <c r="R129" s="26"/>
      <c r="S129" s="27"/>
      <c r="T129" s="24"/>
      <c r="U129" s="24"/>
      <c r="V129" s="24"/>
      <c r="W129" s="24"/>
      <c r="X129" s="28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9"/>
    </row>
    <row r="130" ht="46.5" customHeight="1" spans="1:44">
      <c r="A130" s="21" t="s">
        <v>45</v>
      </c>
      <c r="B130" s="30"/>
      <c r="C130" s="23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5"/>
      <c r="R130" s="26"/>
      <c r="S130" s="27"/>
      <c r="T130" s="24"/>
      <c r="U130" s="24"/>
      <c r="V130" s="24"/>
      <c r="W130" s="24"/>
      <c r="X130" s="28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9"/>
    </row>
    <row r="131" ht="46.5" customHeight="1" spans="1:44">
      <c r="A131" s="21" t="s">
        <v>46</v>
      </c>
      <c r="B131" s="30"/>
      <c r="C131" s="23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5"/>
      <c r="R131" s="26"/>
      <c r="S131" s="27"/>
      <c r="T131" s="24"/>
      <c r="U131" s="24"/>
      <c r="V131" s="24"/>
      <c r="W131" s="24"/>
      <c r="X131" s="28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9"/>
    </row>
    <row r="132" ht="46.5" customHeight="1" spans="1:44">
      <c r="A132" s="21" t="s">
        <v>47</v>
      </c>
      <c r="B132" s="30"/>
      <c r="C132" s="23"/>
      <c r="D132" s="24"/>
      <c r="E132" s="24"/>
      <c r="F132" s="24"/>
      <c r="H132" s="24"/>
      <c r="I132" s="24"/>
      <c r="J132" s="24"/>
      <c r="K132" s="24"/>
      <c r="L132" s="24">
        <v>139</v>
      </c>
      <c r="M132" s="24"/>
      <c r="N132" s="24"/>
      <c r="O132" s="24"/>
      <c r="P132" s="24"/>
      <c r="Q132" s="25"/>
      <c r="R132" s="26"/>
      <c r="S132" s="27"/>
      <c r="T132" s="24"/>
      <c r="U132" s="24"/>
      <c r="V132" s="24"/>
      <c r="W132" s="24"/>
      <c r="X132" s="28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9"/>
    </row>
    <row r="133" ht="46.5" customHeight="1" spans="1:44">
      <c r="A133" s="21" t="s">
        <v>48</v>
      </c>
      <c r="B133" s="30"/>
      <c r="C133" s="23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5"/>
      <c r="R133" s="26"/>
      <c r="S133" s="27"/>
      <c r="T133" s="24"/>
      <c r="U133" s="24"/>
      <c r="V133" s="24"/>
      <c r="W133" s="24"/>
      <c r="X133" s="28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9"/>
    </row>
    <row r="134" ht="46.5" customHeight="1" spans="1:44">
      <c r="A134" s="21" t="s">
        <v>49</v>
      </c>
      <c r="B134" s="31"/>
      <c r="C134" s="32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4"/>
      <c r="R134" s="35"/>
      <c r="S134" s="36"/>
      <c r="T134" s="33"/>
      <c r="U134" s="33"/>
      <c r="V134" s="33"/>
      <c r="W134" s="33"/>
      <c r="X134" s="28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7"/>
    </row>
    <row r="135" ht="46.5" customHeight="1" spans="1:44">
      <c r="A135" s="21" t="s">
        <v>35</v>
      </c>
      <c r="B135" s="13">
        <f ca="1" t="shared" ref="B135" si="16">B123+1</f>
        <v>46292</v>
      </c>
      <c r="C135" s="14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6"/>
      <c r="R135" s="17"/>
      <c r="S135" s="18"/>
      <c r="T135" s="15"/>
      <c r="U135" s="15"/>
      <c r="V135" s="15"/>
      <c r="W135" s="15"/>
      <c r="X135" s="28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20"/>
    </row>
    <row r="136" ht="46.5" customHeight="1" spans="1:44">
      <c r="A136" s="21" t="s">
        <v>37</v>
      </c>
      <c r="B136" s="22"/>
      <c r="C136" s="23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5"/>
      <c r="R136" s="26"/>
      <c r="S136" s="27"/>
      <c r="T136" s="24"/>
      <c r="U136" s="24"/>
      <c r="V136" s="24"/>
      <c r="W136" s="24"/>
      <c r="X136" s="28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9"/>
    </row>
    <row r="137" ht="46.5" customHeight="1" spans="1:44">
      <c r="A137" s="21" t="s">
        <v>38</v>
      </c>
      <c r="B137" s="22"/>
      <c r="C137" s="23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5"/>
      <c r="R137" s="26"/>
      <c r="S137" s="27"/>
      <c r="T137" s="24"/>
      <c r="U137" s="24"/>
      <c r="V137" s="24"/>
      <c r="W137" s="24"/>
      <c r="X137" s="28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9"/>
    </row>
    <row r="138" ht="46.5" customHeight="1" spans="1:44">
      <c r="A138" s="21" t="s">
        <v>40</v>
      </c>
      <c r="B138" s="22"/>
      <c r="C138" s="23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5"/>
      <c r="R138" s="26"/>
      <c r="S138" s="27"/>
      <c r="T138" s="24"/>
      <c r="U138" s="24"/>
      <c r="V138" s="24"/>
      <c r="W138" s="24"/>
      <c r="X138" s="28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9"/>
    </row>
    <row r="139" ht="46.5" customHeight="1" spans="1:44">
      <c r="A139" s="21" t="s">
        <v>41</v>
      </c>
      <c r="B139" s="22"/>
      <c r="C139" s="23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5"/>
      <c r="R139" s="26"/>
      <c r="S139" s="27"/>
      <c r="T139" s="24"/>
      <c r="U139" s="24"/>
      <c r="V139" s="24"/>
      <c r="W139" s="24"/>
      <c r="X139" s="28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9"/>
    </row>
    <row r="140" ht="46.5" customHeight="1" spans="1:44">
      <c r="A140" s="21" t="s">
        <v>42</v>
      </c>
      <c r="B140" s="22"/>
      <c r="C140" s="23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5"/>
      <c r="R140" s="26"/>
      <c r="S140" s="27"/>
      <c r="T140" s="24"/>
      <c r="U140" s="24"/>
      <c r="V140" s="24"/>
      <c r="W140" s="24"/>
      <c r="X140" s="28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9"/>
    </row>
    <row r="141" ht="46.5" customHeight="1" spans="1:44">
      <c r="A141" s="21" t="s">
        <v>44</v>
      </c>
      <c r="B141" s="30">
        <f ca="1" t="shared" ref="B141" si="17">B129+1</f>
        <v>46292</v>
      </c>
      <c r="C141" s="23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5"/>
      <c r="R141" s="26"/>
      <c r="S141" s="27"/>
      <c r="T141" s="24"/>
      <c r="U141" s="24"/>
      <c r="V141" s="24"/>
      <c r="W141" s="24"/>
      <c r="X141" s="28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9"/>
    </row>
    <row r="142" ht="46.5" customHeight="1" spans="1:44">
      <c r="A142" s="21" t="s">
        <v>45</v>
      </c>
      <c r="B142" s="30"/>
      <c r="C142" s="23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5"/>
      <c r="R142" s="26"/>
      <c r="S142" s="27"/>
      <c r="T142" s="24"/>
      <c r="U142" s="24"/>
      <c r="V142" s="24"/>
      <c r="W142" s="24"/>
      <c r="X142" s="28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9"/>
    </row>
    <row r="143" ht="46.5" customHeight="1" spans="1:44">
      <c r="A143" s="21" t="s">
        <v>46</v>
      </c>
      <c r="B143" s="30"/>
      <c r="C143" s="23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5"/>
      <c r="R143" s="26"/>
      <c r="S143" s="27"/>
      <c r="T143" s="24"/>
      <c r="U143" s="24"/>
      <c r="V143" s="24"/>
      <c r="W143" s="24"/>
      <c r="X143" s="28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9"/>
    </row>
    <row r="144" ht="46.5" customHeight="1" spans="1:44">
      <c r="A144" s="21" t="s">
        <v>47</v>
      </c>
      <c r="B144" s="30"/>
      <c r="C144" s="23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5"/>
      <c r="R144" s="26"/>
      <c r="S144" s="27"/>
      <c r="T144" s="24"/>
      <c r="U144" s="24"/>
      <c r="V144" s="24"/>
      <c r="W144" s="24"/>
      <c r="X144" s="28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9"/>
    </row>
    <row r="145" ht="46.5" customHeight="1" spans="1:44">
      <c r="A145" s="21" t="s">
        <v>48</v>
      </c>
      <c r="B145" s="30"/>
      <c r="C145" s="23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5"/>
      <c r="R145" s="26"/>
      <c r="S145" s="27"/>
      <c r="T145" s="24"/>
      <c r="U145" s="24"/>
      <c r="V145" s="24"/>
      <c r="W145" s="24"/>
      <c r="X145" s="28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9"/>
    </row>
    <row r="146" ht="46.5" customHeight="1" spans="1:44">
      <c r="A146" s="21" t="s">
        <v>49</v>
      </c>
      <c r="B146" s="31"/>
      <c r="C146" s="32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4"/>
      <c r="R146" s="35"/>
      <c r="S146" s="36"/>
      <c r="T146" s="33"/>
      <c r="U146" s="33"/>
      <c r="V146" s="33"/>
      <c r="W146" s="33"/>
      <c r="X146" s="28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7"/>
    </row>
    <row r="147" ht="46.5" customHeight="1" spans="1:44">
      <c r="A147" s="21" t="s">
        <v>35</v>
      </c>
      <c r="B147" s="13">
        <f ca="1" t="shared" ref="B147" si="18">B135+1</f>
        <v>46293</v>
      </c>
      <c r="C147" s="14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6"/>
      <c r="R147" s="17"/>
      <c r="S147" s="18"/>
      <c r="T147" s="15"/>
      <c r="U147" s="15"/>
      <c r="V147" s="15"/>
      <c r="W147" s="15"/>
      <c r="X147" s="28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20"/>
    </row>
    <row r="148" ht="46.5" customHeight="1" spans="1:44">
      <c r="A148" s="21" t="s">
        <v>37</v>
      </c>
      <c r="B148" s="22"/>
      <c r="C148" s="23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5"/>
      <c r="R148" s="26"/>
      <c r="S148" s="27"/>
      <c r="T148" s="24"/>
      <c r="U148" s="24"/>
      <c r="V148" s="24"/>
      <c r="W148" s="24"/>
      <c r="X148" s="28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9"/>
    </row>
    <row r="149" ht="46.5" customHeight="1" spans="1:44">
      <c r="A149" s="21" t="s">
        <v>38</v>
      </c>
      <c r="B149" s="22"/>
      <c r="C149" s="23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5"/>
      <c r="R149" s="26"/>
      <c r="S149" s="27"/>
      <c r="T149" s="24"/>
      <c r="U149" s="24"/>
      <c r="V149" s="24"/>
      <c r="W149" s="24"/>
      <c r="X149" s="28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9"/>
    </row>
    <row r="150" ht="46.5" customHeight="1" spans="1:44">
      <c r="A150" s="21" t="s">
        <v>40</v>
      </c>
      <c r="B150" s="22"/>
      <c r="C150" s="23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5"/>
      <c r="R150" s="26"/>
      <c r="S150" s="27"/>
      <c r="T150" s="24"/>
      <c r="U150" s="24"/>
      <c r="V150" s="24"/>
      <c r="W150" s="24"/>
      <c r="X150" s="28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9"/>
    </row>
    <row r="151" ht="46.5" customHeight="1" spans="1:44">
      <c r="A151" s="21" t="s">
        <v>41</v>
      </c>
      <c r="B151" s="22"/>
      <c r="C151" s="23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5"/>
      <c r="R151" s="26"/>
      <c r="S151" s="27"/>
      <c r="T151" s="24"/>
      <c r="U151" s="24"/>
      <c r="V151" s="24"/>
      <c r="W151" s="24"/>
      <c r="X151" s="28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9"/>
    </row>
    <row r="152" ht="46.5" customHeight="1" spans="1:44">
      <c r="A152" s="21" t="s">
        <v>42</v>
      </c>
      <c r="B152" s="22"/>
      <c r="C152" s="23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5"/>
      <c r="R152" s="26"/>
      <c r="S152" s="27"/>
      <c r="T152" s="24"/>
      <c r="U152" s="24"/>
      <c r="V152" s="24"/>
      <c r="W152" s="24"/>
      <c r="X152" s="28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9"/>
    </row>
    <row r="153" ht="46.5" customHeight="1" spans="1:44">
      <c r="A153" s="21" t="s">
        <v>44</v>
      </c>
      <c r="B153" s="30">
        <f ca="1" t="shared" ref="B153" si="19">B141+1</f>
        <v>46293</v>
      </c>
      <c r="C153" s="23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5"/>
      <c r="R153" s="26"/>
      <c r="S153" s="27"/>
      <c r="T153" s="24"/>
      <c r="U153" s="24"/>
      <c r="V153" s="24"/>
      <c r="W153" s="24"/>
      <c r="X153" s="28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9"/>
    </row>
    <row r="154" ht="46.5" customHeight="1" spans="1:44">
      <c r="A154" s="21" t="s">
        <v>45</v>
      </c>
      <c r="B154" s="30"/>
      <c r="C154" s="23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5"/>
      <c r="R154" s="26"/>
      <c r="S154" s="27"/>
      <c r="T154" s="24"/>
      <c r="U154" s="24"/>
      <c r="V154" s="24"/>
      <c r="W154" s="24"/>
      <c r="X154" s="28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9"/>
    </row>
    <row r="155" ht="46.5" customHeight="1" spans="1:44">
      <c r="A155" s="21" t="s">
        <v>46</v>
      </c>
      <c r="B155" s="30"/>
      <c r="C155" s="23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5"/>
      <c r="R155" s="26"/>
      <c r="S155" s="27"/>
      <c r="T155" s="24"/>
      <c r="U155" s="24"/>
      <c r="V155" s="24"/>
      <c r="W155" s="24"/>
      <c r="X155" s="28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9"/>
    </row>
    <row r="156" ht="46.5" customHeight="1" spans="1:44">
      <c r="A156" s="21" t="s">
        <v>47</v>
      </c>
      <c r="B156" s="30"/>
      <c r="C156" s="23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5"/>
      <c r="R156" s="26"/>
      <c r="S156" s="27"/>
      <c r="T156" s="24"/>
      <c r="U156" s="24"/>
      <c r="V156" s="24"/>
      <c r="W156" s="24"/>
      <c r="X156" s="28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9"/>
    </row>
    <row r="157" ht="46.5" customHeight="1" spans="1:44">
      <c r="A157" s="21" t="s">
        <v>48</v>
      </c>
      <c r="B157" s="30"/>
      <c r="C157" s="2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5"/>
      <c r="R157" s="26"/>
      <c r="S157" s="27"/>
      <c r="T157" s="24"/>
      <c r="U157" s="24"/>
      <c r="V157" s="24"/>
      <c r="W157" s="24"/>
      <c r="X157" s="28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9"/>
    </row>
    <row r="158" ht="46.5" customHeight="1" spans="1:44">
      <c r="A158" s="21" t="s">
        <v>49</v>
      </c>
      <c r="B158" s="31"/>
      <c r="C158" s="32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4"/>
      <c r="R158" s="35"/>
      <c r="S158" s="36"/>
      <c r="T158" s="33"/>
      <c r="U158" s="33"/>
      <c r="V158" s="33"/>
      <c r="W158" s="33"/>
      <c r="X158" s="28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7"/>
    </row>
    <row r="159" ht="46.5" customHeight="1" spans="1:44">
      <c r="A159" s="21" t="s">
        <v>35</v>
      </c>
      <c r="B159" s="13">
        <f ca="1" t="shared" ref="B159" si="20">B147+1</f>
        <v>46294</v>
      </c>
      <c r="C159" s="14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6"/>
      <c r="R159" s="17"/>
      <c r="S159" s="18"/>
      <c r="T159" s="15"/>
      <c r="U159" s="15"/>
      <c r="V159" s="15"/>
      <c r="W159" s="15"/>
      <c r="X159" s="28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20"/>
    </row>
    <row r="160" ht="46.5" customHeight="1" spans="1:44">
      <c r="A160" s="21" t="s">
        <v>37</v>
      </c>
      <c r="B160" s="22"/>
      <c r="C160" s="23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5"/>
      <c r="R160" s="26"/>
      <c r="S160" s="27"/>
      <c r="T160" s="24"/>
      <c r="U160" s="24"/>
      <c r="V160" s="24"/>
      <c r="W160" s="24"/>
      <c r="X160" s="28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9"/>
    </row>
    <row r="161" ht="46.5" customHeight="1" spans="1:44">
      <c r="A161" s="21" t="s">
        <v>38</v>
      </c>
      <c r="B161" s="22"/>
      <c r="C161" s="23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5"/>
      <c r="R161" s="26"/>
      <c r="S161" s="27"/>
      <c r="T161" s="24"/>
      <c r="U161" s="24"/>
      <c r="V161" s="24"/>
      <c r="W161" s="24"/>
      <c r="X161" s="28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9"/>
    </row>
    <row r="162" ht="46.5" customHeight="1" spans="1:44">
      <c r="A162" s="21" t="s">
        <v>40</v>
      </c>
      <c r="B162" s="22"/>
      <c r="C162" s="23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5"/>
      <c r="R162" s="26"/>
      <c r="S162" s="27"/>
      <c r="T162" s="24"/>
      <c r="U162" s="24"/>
      <c r="V162" s="24"/>
      <c r="W162" s="24"/>
      <c r="X162" s="28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9"/>
    </row>
    <row r="163" ht="46.5" customHeight="1" spans="1:44">
      <c r="A163" s="21" t="s">
        <v>41</v>
      </c>
      <c r="B163" s="22"/>
      <c r="C163" s="23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5"/>
      <c r="R163" s="26"/>
      <c r="S163" s="27"/>
      <c r="T163" s="24"/>
      <c r="U163" s="24"/>
      <c r="V163" s="24"/>
      <c r="W163" s="24"/>
      <c r="X163" s="28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9"/>
    </row>
    <row r="164" ht="46.5" customHeight="1" spans="1:44">
      <c r="A164" s="21" t="s">
        <v>42</v>
      </c>
      <c r="B164" s="22"/>
      <c r="C164" s="23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5"/>
      <c r="R164" s="26"/>
      <c r="S164" s="27"/>
      <c r="T164" s="24"/>
      <c r="U164" s="24"/>
      <c r="V164" s="24"/>
      <c r="W164" s="24"/>
      <c r="X164" s="28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9"/>
    </row>
    <row r="165" ht="46.5" customHeight="1" spans="1:44">
      <c r="A165" s="21" t="s">
        <v>44</v>
      </c>
      <c r="B165" s="30">
        <f ca="1" t="shared" ref="B165" si="21">B153+1</f>
        <v>46294</v>
      </c>
      <c r="C165" s="23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5"/>
      <c r="R165" s="26"/>
      <c r="S165" s="27"/>
      <c r="T165" s="24"/>
      <c r="U165" s="24"/>
      <c r="V165" s="24"/>
      <c r="W165" s="24"/>
      <c r="X165" s="28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9"/>
    </row>
    <row r="166" ht="46.5" customHeight="1" spans="1:44">
      <c r="A166" s="21" t="s">
        <v>45</v>
      </c>
      <c r="B166" s="30"/>
      <c r="C166" s="23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5"/>
      <c r="R166" s="26"/>
      <c r="S166" s="27"/>
      <c r="T166" s="24"/>
      <c r="U166" s="24"/>
      <c r="V166" s="24"/>
      <c r="W166" s="24"/>
      <c r="X166" s="28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9"/>
    </row>
    <row r="167" ht="46.5" customHeight="1" spans="1:44">
      <c r="A167" s="21" t="s">
        <v>46</v>
      </c>
      <c r="B167" s="30"/>
      <c r="C167" s="23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5"/>
      <c r="R167" s="26"/>
      <c r="S167" s="27"/>
      <c r="T167" s="24"/>
      <c r="U167" s="24"/>
      <c r="V167" s="24"/>
      <c r="W167" s="24"/>
      <c r="X167" s="28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9"/>
    </row>
    <row r="168" ht="46.5" customHeight="1" spans="1:44">
      <c r="A168" s="21" t="s">
        <v>47</v>
      </c>
      <c r="B168" s="30"/>
      <c r="C168" s="23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5"/>
      <c r="R168" s="26"/>
      <c r="S168" s="27"/>
      <c r="T168" s="24"/>
      <c r="U168" s="24"/>
      <c r="V168" s="24"/>
      <c r="W168" s="24"/>
      <c r="X168" s="28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9"/>
    </row>
    <row r="169" ht="46.5" customHeight="1" spans="1:44">
      <c r="A169" s="21" t="s">
        <v>48</v>
      </c>
      <c r="B169" s="30"/>
      <c r="C169" s="23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5"/>
      <c r="R169" s="26"/>
      <c r="S169" s="27"/>
      <c r="T169" s="24"/>
      <c r="U169" s="24"/>
      <c r="V169" s="24"/>
      <c r="W169" s="24"/>
      <c r="X169" s="28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9"/>
    </row>
    <row r="170" ht="46.5" customHeight="1" spans="1:44">
      <c r="A170" s="21" t="s">
        <v>49</v>
      </c>
      <c r="B170" s="31"/>
      <c r="C170" s="32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4"/>
      <c r="R170" s="35"/>
      <c r="S170" s="36"/>
      <c r="T170" s="33"/>
      <c r="U170" s="33"/>
      <c r="V170" s="33"/>
      <c r="W170" s="33"/>
      <c r="X170" s="28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7"/>
    </row>
    <row r="171" ht="46.5" customHeight="1" spans="1:44">
      <c r="A171" s="21" t="s">
        <v>35</v>
      </c>
      <c r="B171" s="13">
        <f ca="1" t="shared" ref="B171" si="22">B159+1</f>
        <v>46295</v>
      </c>
      <c r="C171" s="14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6"/>
      <c r="R171" s="17"/>
      <c r="S171" s="18"/>
      <c r="T171" s="15"/>
      <c r="U171" s="15"/>
      <c r="V171" s="15"/>
      <c r="W171" s="15"/>
      <c r="X171" s="28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20"/>
    </row>
    <row r="172" ht="46.5" customHeight="1" spans="1:44">
      <c r="A172" s="21" t="s">
        <v>37</v>
      </c>
      <c r="B172" s="22"/>
      <c r="C172" s="23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5"/>
      <c r="R172" s="26"/>
      <c r="S172" s="27"/>
      <c r="T172" s="24"/>
      <c r="U172" s="24"/>
      <c r="V172" s="24"/>
      <c r="W172" s="24"/>
      <c r="X172" s="28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9"/>
    </row>
    <row r="173" ht="46.5" customHeight="1" spans="1:44">
      <c r="A173" s="21" t="s">
        <v>38</v>
      </c>
      <c r="B173" s="22"/>
      <c r="C173" s="23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5"/>
      <c r="R173" s="26"/>
      <c r="S173" s="27"/>
      <c r="T173" s="24"/>
      <c r="U173" s="24"/>
      <c r="V173" s="24"/>
      <c r="W173" s="24"/>
      <c r="X173" s="28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9"/>
    </row>
    <row r="174" ht="46.5" customHeight="1" spans="1:44">
      <c r="A174" s="21" t="s">
        <v>40</v>
      </c>
      <c r="B174" s="22"/>
      <c r="C174" s="23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5"/>
      <c r="R174" s="26"/>
      <c r="S174" s="27"/>
      <c r="T174" s="24"/>
      <c r="U174" s="24"/>
      <c r="V174" s="24"/>
      <c r="W174" s="24"/>
      <c r="X174" s="28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9"/>
    </row>
    <row r="175" ht="46.5" customHeight="1" spans="1:44">
      <c r="A175" s="21" t="s">
        <v>41</v>
      </c>
      <c r="B175" s="22"/>
      <c r="C175" s="23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5"/>
      <c r="R175" s="26"/>
      <c r="S175" s="27"/>
      <c r="T175" s="24"/>
      <c r="U175" s="24"/>
      <c r="V175" s="24"/>
      <c r="W175" s="24"/>
      <c r="X175" s="28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9"/>
    </row>
    <row r="176" ht="46.5" customHeight="1" spans="1:44">
      <c r="A176" s="21" t="s">
        <v>42</v>
      </c>
      <c r="B176" s="22"/>
      <c r="C176" s="23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5"/>
      <c r="R176" s="26"/>
      <c r="S176" s="27"/>
      <c r="T176" s="24"/>
      <c r="U176" s="24"/>
      <c r="V176" s="24"/>
      <c r="W176" s="24"/>
      <c r="X176" s="28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9"/>
    </row>
    <row r="177" ht="46.5" customHeight="1" spans="1:44">
      <c r="A177" s="21" t="s">
        <v>44</v>
      </c>
      <c r="B177" s="30">
        <f ca="1" t="shared" ref="B177" si="23">B165+1</f>
        <v>46295</v>
      </c>
      <c r="C177" s="23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5"/>
      <c r="R177" s="26"/>
      <c r="S177" s="27"/>
      <c r="T177" s="24"/>
      <c r="U177" s="24"/>
      <c r="V177" s="24"/>
      <c r="W177" s="24"/>
      <c r="X177" s="28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9"/>
    </row>
    <row r="178" ht="46.5" customHeight="1" spans="1:44">
      <c r="A178" s="21" t="s">
        <v>45</v>
      </c>
      <c r="B178" s="30"/>
      <c r="C178" s="23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5"/>
      <c r="R178" s="26"/>
      <c r="S178" s="27"/>
      <c r="T178" s="24"/>
      <c r="U178" s="24"/>
      <c r="V178" s="24"/>
      <c r="W178" s="24"/>
      <c r="X178" s="28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9"/>
    </row>
    <row r="179" ht="46.5" customHeight="1" spans="1:44">
      <c r="A179" s="21" t="s">
        <v>46</v>
      </c>
      <c r="B179" s="30"/>
      <c r="C179" s="23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5"/>
      <c r="R179" s="26"/>
      <c r="S179" s="27"/>
      <c r="T179" s="24"/>
      <c r="U179" s="24"/>
      <c r="V179" s="24"/>
      <c r="W179" s="24"/>
      <c r="X179" s="28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9"/>
    </row>
    <row r="180" ht="46.5" customHeight="1" spans="1:44">
      <c r="A180" s="21" t="s">
        <v>47</v>
      </c>
      <c r="B180" s="30"/>
      <c r="C180" s="23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5"/>
      <c r="R180" s="26"/>
      <c r="S180" s="27"/>
      <c r="T180" s="24"/>
      <c r="U180" s="24"/>
      <c r="V180" s="24"/>
      <c r="W180" s="24"/>
      <c r="X180" s="28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9"/>
    </row>
    <row r="181" ht="46.5" customHeight="1" spans="1:44">
      <c r="A181" s="21" t="s">
        <v>48</v>
      </c>
      <c r="B181" s="30"/>
      <c r="C181" s="23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5"/>
      <c r="R181" s="26"/>
      <c r="S181" s="27"/>
      <c r="T181" s="24"/>
      <c r="U181" s="24"/>
      <c r="V181" s="24"/>
      <c r="W181" s="24"/>
      <c r="X181" s="28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9"/>
    </row>
    <row r="182" ht="46.5" customHeight="1" spans="1:44">
      <c r="A182" s="21" t="s">
        <v>49</v>
      </c>
      <c r="B182" s="31"/>
      <c r="C182" s="32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4"/>
      <c r="R182" s="35"/>
      <c r="S182" s="36"/>
      <c r="T182" s="33"/>
      <c r="U182" s="33"/>
      <c r="V182" s="33"/>
      <c r="W182" s="33"/>
      <c r="X182" s="28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7"/>
    </row>
    <row r="183" ht="46.5" customHeight="1" spans="1:44">
      <c r="A183" s="21" t="s">
        <v>35</v>
      </c>
      <c r="B183" s="13">
        <f ca="1" t="shared" ref="B183" si="24">B171+1</f>
        <v>46296</v>
      </c>
      <c r="C183" s="14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6"/>
      <c r="R183" s="17"/>
      <c r="S183" s="18"/>
      <c r="T183" s="15"/>
      <c r="U183" s="15"/>
      <c r="V183" s="15"/>
      <c r="W183" s="15"/>
      <c r="X183" s="28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20"/>
    </row>
    <row r="184" ht="46.5" customHeight="1" spans="1:44">
      <c r="A184" s="21" t="s">
        <v>37</v>
      </c>
      <c r="B184" s="22"/>
      <c r="C184" s="23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5"/>
      <c r="R184" s="26"/>
      <c r="S184" s="27"/>
      <c r="T184" s="24"/>
      <c r="U184" s="24"/>
      <c r="V184" s="24"/>
      <c r="W184" s="24"/>
      <c r="X184" s="28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9"/>
    </row>
    <row r="185" ht="46.5" customHeight="1" spans="1:44">
      <c r="A185" s="21" t="s">
        <v>38</v>
      </c>
      <c r="B185" s="22"/>
      <c r="C185" s="23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5"/>
      <c r="R185" s="26"/>
      <c r="S185" s="27"/>
      <c r="T185" s="24"/>
      <c r="U185" s="24"/>
      <c r="V185" s="24"/>
      <c r="W185" s="24"/>
      <c r="X185" s="28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9"/>
    </row>
    <row r="186" ht="46.5" customHeight="1" spans="1:44">
      <c r="A186" s="21" t="s">
        <v>40</v>
      </c>
      <c r="B186" s="22"/>
      <c r="C186" s="23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5"/>
      <c r="R186" s="26"/>
      <c r="S186" s="27"/>
      <c r="T186" s="24"/>
      <c r="U186" s="24"/>
      <c r="V186" s="24"/>
      <c r="W186" s="24"/>
      <c r="X186" s="28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9"/>
    </row>
    <row r="187" ht="46.5" customHeight="1" spans="1:44">
      <c r="A187" s="21" t="s">
        <v>41</v>
      </c>
      <c r="B187" s="22"/>
      <c r="C187" s="23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5"/>
      <c r="R187" s="26"/>
      <c r="S187" s="27"/>
      <c r="T187" s="24"/>
      <c r="U187" s="24"/>
      <c r="V187" s="24"/>
      <c r="W187" s="24"/>
      <c r="X187" s="28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9"/>
    </row>
    <row r="188" ht="46.5" customHeight="1" spans="1:44">
      <c r="A188" s="21" t="s">
        <v>42</v>
      </c>
      <c r="B188" s="22"/>
      <c r="C188" s="23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5"/>
      <c r="R188" s="26"/>
      <c r="S188" s="27"/>
      <c r="T188" s="24"/>
      <c r="U188" s="24"/>
      <c r="V188" s="24"/>
      <c r="W188" s="24"/>
      <c r="X188" s="28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9"/>
    </row>
    <row r="189" ht="46.5" customHeight="1" spans="1:44">
      <c r="A189" s="21" t="s">
        <v>44</v>
      </c>
      <c r="B189" s="30">
        <f ca="1" t="shared" ref="B189" si="25">B177+1</f>
        <v>46296</v>
      </c>
      <c r="C189" s="23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5"/>
      <c r="R189" s="26"/>
      <c r="S189" s="27"/>
      <c r="T189" s="24"/>
      <c r="U189" s="24"/>
      <c r="V189" s="24"/>
      <c r="W189" s="24"/>
      <c r="X189" s="28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9"/>
    </row>
    <row r="190" ht="46.5" customHeight="1" spans="1:44">
      <c r="A190" s="21" t="s">
        <v>45</v>
      </c>
      <c r="B190" s="30"/>
      <c r="C190" s="23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5"/>
      <c r="R190" s="26"/>
      <c r="S190" s="27"/>
      <c r="T190" s="24"/>
      <c r="U190" s="24"/>
      <c r="V190" s="24"/>
      <c r="W190" s="24"/>
      <c r="X190" s="28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9"/>
    </row>
    <row r="191" ht="46.5" customHeight="1" spans="1:44">
      <c r="A191" s="21" t="s">
        <v>46</v>
      </c>
      <c r="B191" s="30"/>
      <c r="C191" s="23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5"/>
      <c r="R191" s="26"/>
      <c r="S191" s="27"/>
      <c r="T191" s="24"/>
      <c r="U191" s="24"/>
      <c r="V191" s="24"/>
      <c r="W191" s="24"/>
      <c r="X191" s="28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9"/>
    </row>
    <row r="192" ht="46.5" customHeight="1" spans="1:44">
      <c r="A192" s="21" t="s">
        <v>47</v>
      </c>
      <c r="B192" s="30"/>
      <c r="C192" s="23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5"/>
      <c r="R192" s="26"/>
      <c r="S192" s="27"/>
      <c r="T192" s="24"/>
      <c r="U192" s="24"/>
      <c r="V192" s="24"/>
      <c r="W192" s="24"/>
      <c r="X192" s="28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9"/>
    </row>
    <row r="193" ht="46.5" customHeight="1" spans="1:44">
      <c r="A193" s="21" t="s">
        <v>48</v>
      </c>
      <c r="B193" s="30"/>
      <c r="C193" s="23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5"/>
      <c r="R193" s="26"/>
      <c r="S193" s="27"/>
      <c r="T193" s="24"/>
      <c r="U193" s="24"/>
      <c r="V193" s="24"/>
      <c r="W193" s="24"/>
      <c r="X193" s="28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9"/>
    </row>
    <row r="194" ht="46.5" customHeight="1" spans="1:44">
      <c r="A194" s="21" t="s">
        <v>49</v>
      </c>
      <c r="B194" s="31"/>
      <c r="C194" s="32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4"/>
      <c r="R194" s="35"/>
      <c r="S194" s="36"/>
      <c r="T194" s="33"/>
      <c r="U194" s="33"/>
      <c r="V194" s="33"/>
      <c r="W194" s="33"/>
      <c r="X194" s="28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7"/>
    </row>
    <row r="195" ht="46.5" customHeight="1" spans="1:44">
      <c r="A195" s="21" t="s">
        <v>35</v>
      </c>
      <c r="B195" s="13">
        <f ca="1" t="shared" ref="B195" si="26">B183+1</f>
        <v>46297</v>
      </c>
      <c r="C195" s="14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6"/>
      <c r="R195" s="17"/>
      <c r="S195" s="18"/>
      <c r="T195" s="15"/>
      <c r="U195" s="15"/>
      <c r="V195" s="15"/>
      <c r="W195" s="15"/>
      <c r="X195" s="28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20"/>
    </row>
    <row r="196" ht="46.5" customHeight="1" spans="1:44">
      <c r="A196" s="21" t="s">
        <v>37</v>
      </c>
      <c r="B196" s="22"/>
      <c r="C196" s="23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5"/>
      <c r="R196" s="26"/>
      <c r="S196" s="27"/>
      <c r="T196" s="24"/>
      <c r="U196" s="24"/>
      <c r="V196" s="24"/>
      <c r="W196" s="24"/>
      <c r="X196" s="28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9"/>
    </row>
    <row r="197" ht="46.5" customHeight="1" spans="1:44">
      <c r="A197" s="21" t="s">
        <v>38</v>
      </c>
      <c r="B197" s="22"/>
      <c r="C197" s="23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5"/>
      <c r="R197" s="26"/>
      <c r="S197" s="27"/>
      <c r="T197" s="24"/>
      <c r="U197" s="24"/>
      <c r="V197" s="24"/>
      <c r="W197" s="24"/>
      <c r="X197" s="28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9"/>
    </row>
    <row r="198" ht="46.5" customHeight="1" spans="1:44">
      <c r="A198" s="21" t="s">
        <v>40</v>
      </c>
      <c r="B198" s="22"/>
      <c r="C198" s="23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5"/>
      <c r="R198" s="26"/>
      <c r="S198" s="27"/>
      <c r="T198" s="24"/>
      <c r="U198" s="24"/>
      <c r="V198" s="24"/>
      <c r="W198" s="24"/>
      <c r="X198" s="28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9"/>
    </row>
    <row r="199" ht="46.5" customHeight="1" spans="1:44">
      <c r="A199" s="21" t="s">
        <v>41</v>
      </c>
      <c r="B199" s="22"/>
      <c r="C199" s="23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5"/>
      <c r="R199" s="26"/>
      <c r="S199" s="27"/>
      <c r="T199" s="24"/>
      <c r="U199" s="24"/>
      <c r="V199" s="24"/>
      <c r="W199" s="24"/>
      <c r="X199" s="28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9"/>
    </row>
    <row r="200" ht="46.5" customHeight="1" spans="1:44">
      <c r="A200" s="21" t="s">
        <v>42</v>
      </c>
      <c r="B200" s="22"/>
      <c r="C200" s="23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5"/>
      <c r="R200" s="26"/>
      <c r="S200" s="27"/>
      <c r="T200" s="24"/>
      <c r="U200" s="24"/>
      <c r="V200" s="24"/>
      <c r="W200" s="24"/>
      <c r="X200" s="28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9"/>
    </row>
    <row r="201" ht="46.5" customHeight="1" spans="1:44">
      <c r="A201" s="21" t="s">
        <v>44</v>
      </c>
      <c r="B201" s="30">
        <f ca="1" t="shared" ref="B201" si="27">B189+1</f>
        <v>46297</v>
      </c>
      <c r="C201" s="23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5"/>
      <c r="R201" s="26"/>
      <c r="S201" s="27"/>
      <c r="T201" s="24"/>
      <c r="U201" s="24"/>
      <c r="V201" s="24"/>
      <c r="W201" s="24"/>
      <c r="X201" s="28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9"/>
    </row>
    <row r="202" ht="46.5" customHeight="1" spans="1:44">
      <c r="A202" s="21" t="s">
        <v>45</v>
      </c>
      <c r="B202" s="30"/>
      <c r="C202" s="23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5"/>
      <c r="R202" s="26"/>
      <c r="S202" s="27"/>
      <c r="T202" s="24"/>
      <c r="U202" s="24"/>
      <c r="V202" s="24"/>
      <c r="W202" s="24"/>
      <c r="X202" s="28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9"/>
    </row>
    <row r="203" ht="46.5" customHeight="1" spans="1:44">
      <c r="A203" s="21" t="s">
        <v>46</v>
      </c>
      <c r="B203" s="30"/>
      <c r="C203" s="23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5"/>
      <c r="R203" s="26"/>
      <c r="S203" s="27"/>
      <c r="T203" s="24"/>
      <c r="U203" s="24"/>
      <c r="V203" s="24"/>
      <c r="W203" s="24"/>
      <c r="X203" s="28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9"/>
    </row>
    <row r="204" ht="46.5" customHeight="1" spans="1:44">
      <c r="A204" s="21" t="s">
        <v>47</v>
      </c>
      <c r="B204" s="30"/>
      <c r="C204" s="23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5"/>
      <c r="R204" s="26"/>
      <c r="S204" s="27"/>
      <c r="T204" s="24"/>
      <c r="U204" s="24"/>
      <c r="V204" s="24"/>
      <c r="W204" s="24"/>
      <c r="X204" s="28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9"/>
    </row>
    <row r="205" ht="46.5" customHeight="1" spans="1:44">
      <c r="A205" s="21" t="s">
        <v>48</v>
      </c>
      <c r="B205" s="30"/>
      <c r="C205" s="23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5"/>
      <c r="R205" s="26"/>
      <c r="S205" s="27"/>
      <c r="T205" s="24"/>
      <c r="U205" s="24"/>
      <c r="V205" s="24"/>
      <c r="W205" s="24"/>
      <c r="X205" s="28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9"/>
    </row>
    <row r="206" ht="46.5" customHeight="1" spans="1:44">
      <c r="A206" s="21" t="s">
        <v>49</v>
      </c>
      <c r="B206" s="31"/>
      <c r="C206" s="32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4"/>
      <c r="R206" s="35"/>
      <c r="S206" s="36"/>
      <c r="T206" s="33"/>
      <c r="U206" s="33"/>
      <c r="V206" s="33"/>
      <c r="W206" s="33"/>
      <c r="X206" s="28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7"/>
    </row>
    <row r="207" ht="46.5" customHeight="1" spans="1:44">
      <c r="A207" s="21" t="s">
        <v>35</v>
      </c>
      <c r="B207" s="13">
        <f ca="1" t="shared" ref="B207" si="28">B195+1</f>
        <v>46298</v>
      </c>
      <c r="C207" s="14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6"/>
      <c r="R207" s="17"/>
      <c r="S207" s="18"/>
      <c r="T207" s="15"/>
      <c r="U207" s="15"/>
      <c r="V207" s="15"/>
      <c r="W207" s="15"/>
      <c r="X207" s="28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20"/>
    </row>
    <row r="208" ht="46.5" customHeight="1" spans="1:44">
      <c r="A208" s="21" t="s">
        <v>37</v>
      </c>
      <c r="B208" s="22"/>
      <c r="C208" s="23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5"/>
      <c r="R208" s="26"/>
      <c r="S208" s="27"/>
      <c r="T208" s="24"/>
      <c r="U208" s="24"/>
      <c r="V208" s="24"/>
      <c r="W208" s="24"/>
      <c r="X208" s="28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9"/>
    </row>
    <row r="209" ht="46.5" customHeight="1" spans="1:44">
      <c r="A209" s="21" t="s">
        <v>38</v>
      </c>
      <c r="B209" s="22"/>
      <c r="C209" s="23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5"/>
      <c r="R209" s="26"/>
      <c r="S209" s="27"/>
      <c r="T209" s="24"/>
      <c r="U209" s="24"/>
      <c r="V209" s="24"/>
      <c r="W209" s="24"/>
      <c r="X209" s="28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9"/>
    </row>
    <row r="210" ht="46.5" customHeight="1" spans="1:44">
      <c r="A210" s="21" t="s">
        <v>40</v>
      </c>
      <c r="B210" s="22"/>
      <c r="C210" s="23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5"/>
      <c r="R210" s="26"/>
      <c r="S210" s="27"/>
      <c r="T210" s="24"/>
      <c r="U210" s="24"/>
      <c r="V210" s="24"/>
      <c r="W210" s="24"/>
      <c r="X210" s="28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9"/>
    </row>
    <row r="211" ht="46.5" customHeight="1" spans="1:44">
      <c r="A211" s="21" t="s">
        <v>41</v>
      </c>
      <c r="B211" s="22"/>
      <c r="C211" s="23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5"/>
      <c r="R211" s="26"/>
      <c r="S211" s="27"/>
      <c r="T211" s="24"/>
      <c r="U211" s="24"/>
      <c r="V211" s="24"/>
      <c r="W211" s="24"/>
      <c r="X211" s="28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9"/>
    </row>
    <row r="212" ht="46.5" customHeight="1" spans="1:44">
      <c r="A212" s="21" t="s">
        <v>42</v>
      </c>
      <c r="B212" s="22"/>
      <c r="C212" s="23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5"/>
      <c r="R212" s="26"/>
      <c r="S212" s="27"/>
      <c r="T212" s="24"/>
      <c r="U212" s="24"/>
      <c r="V212" s="24"/>
      <c r="W212" s="24"/>
      <c r="X212" s="28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9"/>
    </row>
    <row r="213" ht="46.5" customHeight="1" spans="1:44">
      <c r="A213" s="21" t="s">
        <v>44</v>
      </c>
      <c r="B213" s="30">
        <f ca="1" t="shared" ref="B213" si="29">B201+1</f>
        <v>46298</v>
      </c>
      <c r="C213" s="23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5"/>
      <c r="R213" s="26"/>
      <c r="S213" s="27"/>
      <c r="T213" s="24"/>
      <c r="U213" s="24"/>
      <c r="V213" s="24"/>
      <c r="W213" s="24"/>
      <c r="X213" s="28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9"/>
    </row>
    <row r="214" ht="46.5" customHeight="1" spans="1:44">
      <c r="A214" s="21" t="s">
        <v>45</v>
      </c>
      <c r="B214" s="30"/>
      <c r="C214" s="23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5"/>
      <c r="R214" s="26"/>
      <c r="S214" s="27"/>
      <c r="T214" s="24"/>
      <c r="U214" s="24"/>
      <c r="V214" s="24"/>
      <c r="W214" s="24"/>
      <c r="X214" s="28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9"/>
    </row>
    <row r="215" ht="46.5" customHeight="1" spans="1:44">
      <c r="A215" s="21" t="s">
        <v>46</v>
      </c>
      <c r="B215" s="30"/>
      <c r="C215" s="23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5"/>
      <c r="R215" s="26"/>
      <c r="S215" s="27"/>
      <c r="T215" s="24"/>
      <c r="U215" s="24"/>
      <c r="V215" s="24"/>
      <c r="W215" s="24"/>
      <c r="X215" s="28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9"/>
    </row>
    <row r="216" ht="46.5" customHeight="1" spans="1:44">
      <c r="A216" s="21" t="s">
        <v>47</v>
      </c>
      <c r="B216" s="30"/>
      <c r="C216" s="23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5"/>
      <c r="R216" s="26"/>
      <c r="S216" s="27"/>
      <c r="T216" s="24"/>
      <c r="U216" s="24"/>
      <c r="V216" s="24"/>
      <c r="W216" s="24"/>
      <c r="X216" s="28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9"/>
    </row>
    <row r="217" ht="46.5" customHeight="1" spans="1:44">
      <c r="A217" s="21" t="s">
        <v>48</v>
      </c>
      <c r="B217" s="30"/>
      <c r="C217" s="23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5"/>
      <c r="R217" s="26"/>
      <c r="S217" s="27"/>
      <c r="T217" s="24"/>
      <c r="U217" s="24"/>
      <c r="V217" s="24"/>
      <c r="W217" s="24"/>
      <c r="X217" s="28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9"/>
    </row>
    <row r="218" ht="46.5" customHeight="1" spans="1:44">
      <c r="A218" s="21" t="s">
        <v>49</v>
      </c>
      <c r="B218" s="31"/>
      <c r="C218" s="32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4"/>
      <c r="R218" s="35"/>
      <c r="S218" s="36"/>
      <c r="T218" s="33"/>
      <c r="U218" s="33"/>
      <c r="V218" s="33"/>
      <c r="W218" s="33"/>
      <c r="X218" s="28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7"/>
    </row>
    <row r="219" ht="46.5" customHeight="1" spans="1:44">
      <c r="A219" s="21" t="s">
        <v>35</v>
      </c>
      <c r="B219" s="13">
        <f ca="1" t="shared" ref="B219" si="30">B207+1</f>
        <v>46299</v>
      </c>
      <c r="C219" s="14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6"/>
      <c r="R219" s="17"/>
      <c r="S219" s="18"/>
      <c r="T219" s="15"/>
      <c r="U219" s="15"/>
      <c r="V219" s="15"/>
      <c r="W219" s="15"/>
      <c r="X219" s="28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20"/>
    </row>
    <row r="220" ht="46.5" customHeight="1" spans="1:44">
      <c r="A220" s="21" t="s">
        <v>37</v>
      </c>
      <c r="B220" s="22"/>
      <c r="C220" s="23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5"/>
      <c r="R220" s="26"/>
      <c r="S220" s="27"/>
      <c r="T220" s="24"/>
      <c r="U220" s="24"/>
      <c r="V220" s="24"/>
      <c r="W220" s="24"/>
      <c r="X220" s="28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9"/>
    </row>
    <row r="221" ht="46.5" customHeight="1" spans="1:44">
      <c r="A221" s="21" t="s">
        <v>38</v>
      </c>
      <c r="B221" s="22"/>
      <c r="C221" s="23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5"/>
      <c r="R221" s="26"/>
      <c r="S221" s="27"/>
      <c r="T221" s="24"/>
      <c r="U221" s="24"/>
      <c r="V221" s="24"/>
      <c r="W221" s="24"/>
      <c r="X221" s="28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9"/>
    </row>
    <row r="222" ht="46.5" customHeight="1" spans="1:44">
      <c r="A222" s="21" t="s">
        <v>40</v>
      </c>
      <c r="B222" s="22"/>
      <c r="C222" s="23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5"/>
      <c r="R222" s="26"/>
      <c r="S222" s="27"/>
      <c r="T222" s="24"/>
      <c r="U222" s="24"/>
      <c r="V222" s="24"/>
      <c r="W222" s="24"/>
      <c r="X222" s="28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9"/>
    </row>
    <row r="223" ht="46.5" customHeight="1" spans="1:44">
      <c r="A223" s="21" t="s">
        <v>41</v>
      </c>
      <c r="B223" s="22"/>
      <c r="C223" s="23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5"/>
      <c r="R223" s="26"/>
      <c r="S223" s="27"/>
      <c r="T223" s="24"/>
      <c r="U223" s="24"/>
      <c r="V223" s="24"/>
      <c r="W223" s="24"/>
      <c r="X223" s="28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9"/>
    </row>
    <row r="224" ht="46.5" customHeight="1" spans="1:44">
      <c r="A224" s="21" t="s">
        <v>42</v>
      </c>
      <c r="B224" s="22"/>
      <c r="C224" s="23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5"/>
      <c r="R224" s="26"/>
      <c r="S224" s="27"/>
      <c r="T224" s="24"/>
      <c r="U224" s="24"/>
      <c r="V224" s="24"/>
      <c r="W224" s="24"/>
      <c r="X224" s="28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9"/>
    </row>
    <row r="225" ht="46.5" customHeight="1" spans="1:44">
      <c r="A225" s="21" t="s">
        <v>44</v>
      </c>
      <c r="B225" s="30">
        <f ca="1" t="shared" ref="B225" si="31">B213+1</f>
        <v>46299</v>
      </c>
      <c r="C225" s="23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5"/>
      <c r="R225" s="26"/>
      <c r="S225" s="27"/>
      <c r="T225" s="24"/>
      <c r="U225" s="24"/>
      <c r="V225" s="24"/>
      <c r="W225" s="24"/>
      <c r="X225" s="28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9"/>
    </row>
    <row r="226" ht="46.5" customHeight="1" spans="1:44">
      <c r="A226" s="21" t="s">
        <v>45</v>
      </c>
      <c r="B226" s="30"/>
      <c r="C226" s="23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5"/>
      <c r="R226" s="26"/>
      <c r="S226" s="27"/>
      <c r="T226" s="24"/>
      <c r="U226" s="24"/>
      <c r="V226" s="24"/>
      <c r="W226" s="24"/>
      <c r="X226" s="28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9"/>
    </row>
    <row r="227" ht="46.5" customHeight="1" spans="1:44">
      <c r="A227" s="21" t="s">
        <v>46</v>
      </c>
      <c r="B227" s="30"/>
      <c r="C227" s="23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5"/>
      <c r="R227" s="26"/>
      <c r="S227" s="27"/>
      <c r="T227" s="24"/>
      <c r="U227" s="24"/>
      <c r="V227" s="24"/>
      <c r="W227" s="24"/>
      <c r="X227" s="28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9"/>
    </row>
    <row r="228" ht="46.5" customHeight="1" spans="1:44">
      <c r="A228" s="21" t="s">
        <v>47</v>
      </c>
      <c r="B228" s="30"/>
      <c r="C228" s="23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5"/>
      <c r="R228" s="26"/>
      <c r="S228" s="27"/>
      <c r="T228" s="24"/>
      <c r="U228" s="24"/>
      <c r="V228" s="24"/>
      <c r="W228" s="24"/>
      <c r="X228" s="28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9"/>
    </row>
    <row r="229" ht="46.5" customHeight="1" spans="1:44">
      <c r="A229" s="21" t="s">
        <v>48</v>
      </c>
      <c r="B229" s="30"/>
      <c r="C229" s="23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5"/>
      <c r="R229" s="26"/>
      <c r="S229" s="27"/>
      <c r="T229" s="24"/>
      <c r="U229" s="24"/>
      <c r="V229" s="24"/>
      <c r="W229" s="24"/>
      <c r="X229" s="28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9"/>
    </row>
    <row r="230" ht="46.5" customHeight="1" spans="1:44">
      <c r="A230" s="38" t="s">
        <v>49</v>
      </c>
      <c r="B230" s="39"/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2"/>
      <c r="R230" s="43"/>
      <c r="S230" s="44"/>
      <c r="T230" s="41"/>
      <c r="U230" s="41"/>
      <c r="V230" s="41"/>
      <c r="W230" s="41"/>
      <c r="X230" s="28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5"/>
    </row>
    <row r="231" ht="46.5" customHeight="1" spans="1:44">
      <c r="A231" s="46" t="s">
        <v>35</v>
      </c>
      <c r="B231" s="13">
        <f ca="1" t="shared" ref="B231" si="32">B219+1</f>
        <v>46300</v>
      </c>
      <c r="C231" s="14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6"/>
      <c r="R231" s="17"/>
      <c r="S231" s="18"/>
      <c r="T231" s="15"/>
      <c r="U231" s="15"/>
      <c r="V231" s="15"/>
      <c r="W231" s="15"/>
      <c r="X231" s="19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20"/>
    </row>
    <row r="232" ht="46.5" customHeight="1" spans="1:44">
      <c r="A232" s="46" t="s">
        <v>37</v>
      </c>
      <c r="B232" s="22"/>
      <c r="C232" s="23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5"/>
      <c r="R232" s="26"/>
      <c r="S232" s="27"/>
      <c r="T232" s="24"/>
      <c r="U232" s="24"/>
      <c r="V232" s="24"/>
      <c r="W232" s="24"/>
      <c r="X232" s="28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9"/>
    </row>
    <row r="233" ht="46.5" customHeight="1" spans="1:44">
      <c r="A233" s="46" t="s">
        <v>38</v>
      </c>
      <c r="B233" s="22"/>
      <c r="C233" s="23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5"/>
      <c r="R233" s="26"/>
      <c r="S233" s="27"/>
      <c r="T233" s="24"/>
      <c r="U233" s="24"/>
      <c r="V233" s="24"/>
      <c r="W233" s="24"/>
      <c r="X233" s="28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9"/>
    </row>
    <row r="234" ht="46.5" customHeight="1" spans="1:44">
      <c r="A234" s="46" t="s">
        <v>40</v>
      </c>
      <c r="B234" s="22"/>
      <c r="C234" s="23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5"/>
      <c r="R234" s="26"/>
      <c r="S234" s="27"/>
      <c r="T234" s="24"/>
      <c r="U234" s="24"/>
      <c r="V234" s="24"/>
      <c r="W234" s="24"/>
      <c r="X234" s="28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9"/>
    </row>
    <row r="235" ht="46.5" customHeight="1" spans="1:44">
      <c r="A235" s="46" t="s">
        <v>41</v>
      </c>
      <c r="B235" s="22"/>
      <c r="C235" s="23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5"/>
      <c r="R235" s="26"/>
      <c r="S235" s="27"/>
      <c r="T235" s="24"/>
      <c r="U235" s="24"/>
      <c r="V235" s="24"/>
      <c r="W235" s="24"/>
      <c r="X235" s="28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9"/>
    </row>
    <row r="236" ht="46.5" customHeight="1" spans="1:44">
      <c r="A236" s="46" t="s">
        <v>42</v>
      </c>
      <c r="B236" s="22"/>
      <c r="C236" s="23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5"/>
      <c r="R236" s="26"/>
      <c r="S236" s="27"/>
      <c r="T236" s="24"/>
      <c r="U236" s="24"/>
      <c r="V236" s="24"/>
      <c r="W236" s="24"/>
      <c r="X236" s="28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9"/>
    </row>
    <row r="237" ht="46.5" customHeight="1" spans="1:44">
      <c r="A237" s="46" t="s">
        <v>44</v>
      </c>
      <c r="B237" s="30">
        <f ca="1" t="shared" ref="B237" si="33">B225+1</f>
        <v>46300</v>
      </c>
      <c r="C237" s="23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5"/>
      <c r="R237" s="26"/>
      <c r="S237" s="27"/>
      <c r="T237" s="24"/>
      <c r="U237" s="24"/>
      <c r="V237" s="24"/>
      <c r="W237" s="24"/>
      <c r="X237" s="28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9"/>
    </row>
    <row r="238" ht="46.5" customHeight="1" spans="1:44">
      <c r="A238" s="46" t="s">
        <v>45</v>
      </c>
      <c r="B238" s="30"/>
      <c r="C238" s="23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5"/>
      <c r="R238" s="26"/>
      <c r="S238" s="27"/>
      <c r="T238" s="24"/>
      <c r="U238" s="24"/>
      <c r="V238" s="24"/>
      <c r="W238" s="24"/>
      <c r="X238" s="28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9"/>
    </row>
    <row r="239" ht="46.5" customHeight="1" spans="1:44">
      <c r="A239" s="46" t="s">
        <v>46</v>
      </c>
      <c r="B239" s="30"/>
      <c r="C239" s="23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5"/>
      <c r="R239" s="26"/>
      <c r="S239" s="27"/>
      <c r="T239" s="24"/>
      <c r="U239" s="24"/>
      <c r="V239" s="24"/>
      <c r="W239" s="24"/>
      <c r="X239" s="28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9"/>
    </row>
    <row r="240" ht="46.5" customHeight="1" spans="1:44">
      <c r="A240" s="46" t="s">
        <v>47</v>
      </c>
      <c r="B240" s="30"/>
      <c r="C240" s="23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5"/>
      <c r="R240" s="26"/>
      <c r="S240" s="27"/>
      <c r="T240" s="24"/>
      <c r="U240" s="24"/>
      <c r="V240" s="24"/>
      <c r="W240" s="24"/>
      <c r="X240" s="28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9"/>
    </row>
    <row r="241" ht="46.5" customHeight="1" spans="1:44">
      <c r="A241" s="46" t="s">
        <v>48</v>
      </c>
      <c r="B241" s="30"/>
      <c r="C241" s="23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5"/>
      <c r="R241" s="26"/>
      <c r="S241" s="27"/>
      <c r="T241" s="24"/>
      <c r="U241" s="24"/>
      <c r="V241" s="24"/>
      <c r="W241" s="24"/>
      <c r="X241" s="28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9"/>
    </row>
    <row r="242" ht="46.5" customHeight="1" spans="1:44">
      <c r="A242" s="46" t="s">
        <v>49</v>
      </c>
      <c r="B242" s="31"/>
      <c r="C242" s="32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4"/>
      <c r="R242" s="35"/>
      <c r="S242" s="36"/>
      <c r="T242" s="33"/>
      <c r="U242" s="33"/>
      <c r="V242" s="33"/>
      <c r="W242" s="33"/>
      <c r="X242" s="47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7"/>
    </row>
    <row r="243" ht="46.5" customHeight="1" spans="1:44">
      <c r="A243" s="48"/>
      <c r="B243" s="49"/>
      <c r="R243" s="50"/>
      <c r="X243" s="51"/>
    </row>
    <row r="244" ht="46.5" customHeight="1" spans="1:44">
      <c r="A244" s="48"/>
      <c r="B244" s="49"/>
      <c r="R244" s="50"/>
      <c r="X244" s="51"/>
    </row>
    <row r="245" ht="46.5" customHeight="1" spans="1:44">
      <c r="A245" s="48"/>
      <c r="B245" s="49"/>
      <c r="R245" s="50"/>
      <c r="X245" s="51"/>
    </row>
    <row r="246" ht="46.5" customHeight="1" spans="1:44">
      <c r="A246" s="48"/>
      <c r="B246" s="49"/>
      <c r="R246" s="50"/>
      <c r="X246" s="51"/>
    </row>
    <row r="247" ht="46.5" customHeight="1" spans="1:44">
      <c r="A247" s="48"/>
      <c r="B247" s="49"/>
      <c r="R247" s="50"/>
      <c r="X247" s="51"/>
    </row>
    <row r="248" ht="46.5" customHeight="1" spans="1:44">
      <c r="A248" s="48"/>
      <c r="B248" s="49"/>
      <c r="R248" s="50"/>
      <c r="X248" s="51"/>
    </row>
    <row r="249" ht="46.5" customHeight="1" spans="1:44">
      <c r="A249" s="48"/>
      <c r="B249" s="52"/>
      <c r="R249" s="50"/>
      <c r="X249" s="51"/>
    </row>
    <row r="250" ht="46.5" customHeight="1" spans="1:44">
      <c r="A250" s="48"/>
      <c r="B250" s="52"/>
      <c r="R250" s="50"/>
      <c r="X250" s="51"/>
    </row>
    <row r="251" ht="46.5" customHeight="1" spans="1:44">
      <c r="A251" s="48"/>
      <c r="B251" s="52"/>
      <c r="R251" s="50"/>
      <c r="X251" s="51"/>
    </row>
    <row r="252" ht="46.5" customHeight="1" spans="1:44">
      <c r="A252" s="48"/>
      <c r="B252" s="52"/>
      <c r="R252" s="50"/>
      <c r="X252" s="51"/>
    </row>
    <row r="253" ht="46.5" customHeight="1" spans="1:44">
      <c r="A253" s="48"/>
      <c r="B253" s="52"/>
      <c r="R253" s="50"/>
      <c r="X253" s="51"/>
    </row>
    <row r="254" ht="46.5" customHeight="1" spans="1:44">
      <c r="A254" s="48"/>
      <c r="B254" s="52"/>
      <c r="R254" s="50"/>
      <c r="X254" s="51"/>
    </row>
    <row r="255" ht="46.5" customHeight="1" spans="1:44">
      <c r="A255" s="48"/>
      <c r="B255" s="49"/>
      <c r="R255" s="50"/>
      <c r="X255" s="51"/>
    </row>
    <row r="256" ht="46.5" customHeight="1" spans="1:44">
      <c r="A256" s="48"/>
      <c r="B256" s="49"/>
      <c r="R256" s="50"/>
      <c r="X256" s="51"/>
    </row>
    <row r="257" ht="46.5" customHeight="1" spans="1:24">
      <c r="A257" s="48"/>
      <c r="B257" s="49"/>
      <c r="R257" s="50"/>
      <c r="X257" s="51"/>
    </row>
    <row r="258" ht="46.5" customHeight="1" spans="1:24">
      <c r="A258" s="48"/>
      <c r="B258" s="49"/>
      <c r="R258" s="50"/>
      <c r="X258" s="51"/>
    </row>
    <row r="259" ht="46.5" customHeight="1" spans="1:24">
      <c r="A259" s="48"/>
      <c r="B259" s="49"/>
      <c r="R259" s="50"/>
      <c r="X259" s="51"/>
    </row>
    <row r="260" ht="46.5" customHeight="1" spans="1:24">
      <c r="A260" s="48"/>
      <c r="B260" s="49"/>
      <c r="R260" s="50"/>
      <c r="X260" s="51"/>
    </row>
    <row r="261" ht="46.5" customHeight="1" spans="1:24">
      <c r="A261" s="48"/>
      <c r="B261" s="52"/>
      <c r="R261" s="50"/>
      <c r="X261" s="51"/>
    </row>
    <row r="262" ht="46.5" customHeight="1" spans="1:24">
      <c r="A262" s="48"/>
      <c r="B262" s="52"/>
      <c r="R262" s="50"/>
      <c r="X262" s="51"/>
    </row>
    <row r="263" ht="46.5" customHeight="1" spans="1:24">
      <c r="A263" s="48"/>
      <c r="B263" s="52"/>
      <c r="R263" s="50"/>
      <c r="X263" s="51"/>
    </row>
    <row r="264" ht="46.5" customHeight="1" spans="1:24">
      <c r="A264" s="48"/>
      <c r="B264" s="52"/>
      <c r="R264" s="50"/>
      <c r="X264" s="51"/>
    </row>
    <row r="265" ht="46.5" customHeight="1" spans="1:24">
      <c r="A265" s="48"/>
      <c r="B265" s="52"/>
      <c r="R265" s="50"/>
      <c r="X265" s="51"/>
    </row>
    <row r="266" ht="46.5" customHeight="1" spans="1:24">
      <c r="A266" s="48"/>
      <c r="B266" s="52"/>
      <c r="R266" s="50"/>
      <c r="X266" s="51"/>
    </row>
    <row r="267" ht="46.5" customHeight="1" spans="1:24">
      <c r="A267" s="48"/>
      <c r="B267" s="49"/>
      <c r="R267" s="50"/>
      <c r="X267" s="51"/>
    </row>
    <row r="268" ht="46.5" customHeight="1" spans="1:24">
      <c r="A268" s="48"/>
      <c r="B268" s="49"/>
      <c r="R268" s="50"/>
      <c r="X268" s="51"/>
    </row>
    <row r="269" ht="46.5" customHeight="1" spans="1:24">
      <c r="A269" s="48"/>
      <c r="B269" s="49"/>
      <c r="R269" s="50"/>
      <c r="X269" s="51"/>
    </row>
    <row r="270" ht="46.5" customHeight="1" spans="1:24">
      <c r="A270" s="48"/>
      <c r="B270" s="49"/>
      <c r="R270" s="50"/>
      <c r="X270" s="51"/>
    </row>
    <row r="271" ht="46.5" customHeight="1" spans="1:24">
      <c r="A271" s="48"/>
      <c r="B271" s="49"/>
      <c r="R271" s="50"/>
      <c r="X271" s="51"/>
    </row>
    <row r="272" ht="46.5" customHeight="1" spans="1:24">
      <c r="A272" s="48"/>
      <c r="B272" s="49"/>
      <c r="R272" s="50"/>
      <c r="X272" s="51"/>
    </row>
    <row r="273" ht="46.5" customHeight="1" spans="1:24">
      <c r="A273" s="48"/>
      <c r="B273" s="52"/>
      <c r="R273" s="50"/>
      <c r="X273" s="51"/>
    </row>
    <row r="274" ht="46.5" customHeight="1" spans="1:24">
      <c r="A274" s="48"/>
      <c r="B274" s="52"/>
      <c r="R274" s="50"/>
      <c r="X274" s="51"/>
    </row>
    <row r="275" ht="46.5" customHeight="1" spans="1:24">
      <c r="A275" s="48"/>
      <c r="B275" s="52"/>
      <c r="R275" s="50"/>
      <c r="X275" s="51"/>
    </row>
    <row r="276" ht="46.5" customHeight="1" spans="1:24">
      <c r="A276" s="48"/>
      <c r="B276" s="52"/>
      <c r="R276" s="50"/>
      <c r="X276" s="51"/>
    </row>
    <row r="277" ht="46.5" customHeight="1" spans="1:24">
      <c r="A277" s="48"/>
      <c r="B277" s="52"/>
      <c r="R277" s="50"/>
      <c r="X277" s="51"/>
    </row>
    <row r="278" ht="46.5" customHeight="1" spans="1:24">
      <c r="A278" s="48"/>
      <c r="B278" s="52"/>
      <c r="R278" s="50"/>
      <c r="X278" s="51"/>
    </row>
    <row r="279" ht="46.5" customHeight="1" spans="1:24">
      <c r="A279" s="48"/>
      <c r="B279" s="49"/>
      <c r="R279" s="50"/>
      <c r="X279" s="51"/>
    </row>
    <row r="280" ht="46.5" customHeight="1" spans="1:24">
      <c r="A280" s="48"/>
      <c r="B280" s="49"/>
      <c r="R280" s="50"/>
      <c r="X280" s="51"/>
    </row>
    <row r="281" ht="46.5" customHeight="1" spans="1:24">
      <c r="A281" s="48"/>
      <c r="B281" s="49"/>
      <c r="R281" s="50"/>
      <c r="X281" s="51"/>
    </row>
    <row r="282" ht="46.5" customHeight="1" spans="1:24">
      <c r="A282" s="48"/>
      <c r="B282" s="49"/>
      <c r="R282" s="50"/>
      <c r="X282" s="51"/>
    </row>
    <row r="283" ht="46.5" customHeight="1" spans="1:24">
      <c r="A283" s="48"/>
      <c r="B283" s="49"/>
      <c r="R283" s="50"/>
      <c r="X283" s="51"/>
    </row>
    <row r="284" ht="46.5" customHeight="1" spans="1:24">
      <c r="A284" s="48"/>
      <c r="B284" s="49"/>
      <c r="R284" s="50"/>
      <c r="X284" s="51"/>
    </row>
    <row r="285" ht="46.5" customHeight="1" spans="1:24">
      <c r="A285" s="48"/>
      <c r="B285" s="52"/>
      <c r="R285" s="50"/>
      <c r="X285" s="51"/>
    </row>
    <row r="286" ht="46.5" customHeight="1" spans="1:24">
      <c r="A286" s="48"/>
      <c r="B286" s="52"/>
      <c r="R286" s="50"/>
      <c r="X286" s="51"/>
    </row>
    <row r="287" ht="46.5" customHeight="1" spans="1:24">
      <c r="A287" s="48"/>
      <c r="B287" s="52"/>
      <c r="R287" s="50"/>
      <c r="X287" s="51"/>
    </row>
    <row r="288" ht="46.5" customHeight="1" spans="1:24">
      <c r="A288" s="48"/>
      <c r="B288" s="52"/>
      <c r="R288" s="50"/>
      <c r="X288" s="51"/>
    </row>
    <row r="289" ht="46.5" customHeight="1" spans="1:24">
      <c r="A289" s="48"/>
      <c r="B289" s="52"/>
      <c r="R289" s="50"/>
      <c r="X289" s="51"/>
    </row>
    <row r="290" ht="46.5" customHeight="1" spans="1:24">
      <c r="A290" s="48"/>
      <c r="B290" s="52"/>
      <c r="R290" s="50"/>
      <c r="X290" s="51"/>
    </row>
    <row r="291" ht="46.5" customHeight="1" spans="1:24">
      <c r="A291" s="48"/>
      <c r="B291" s="49"/>
      <c r="R291" s="50"/>
      <c r="X291" s="51"/>
    </row>
    <row r="292" ht="46.5" customHeight="1" spans="1:24">
      <c r="A292" s="48"/>
      <c r="B292" s="49"/>
      <c r="R292" s="50"/>
      <c r="X292" s="51"/>
    </row>
    <row r="293" ht="46.5" customHeight="1" spans="1:24">
      <c r="A293" s="48"/>
      <c r="B293" s="49"/>
      <c r="R293" s="50"/>
      <c r="X293" s="51"/>
    </row>
    <row r="294" ht="46.5" customHeight="1" spans="1:24">
      <c r="A294" s="48"/>
      <c r="B294" s="49"/>
      <c r="R294" s="50"/>
      <c r="X294" s="51"/>
    </row>
    <row r="295" ht="46.5" customHeight="1" spans="1:24">
      <c r="A295" s="48"/>
      <c r="B295" s="49"/>
      <c r="R295" s="50"/>
      <c r="X295" s="51"/>
    </row>
    <row r="296" ht="46.5" customHeight="1" spans="1:24">
      <c r="A296" s="48"/>
      <c r="B296" s="49"/>
      <c r="R296" s="50"/>
      <c r="X296" s="51"/>
    </row>
    <row r="297" ht="46.5" customHeight="1" spans="1:24">
      <c r="A297" s="48"/>
      <c r="B297" s="52"/>
      <c r="R297" s="50"/>
      <c r="X297" s="51"/>
    </row>
    <row r="298" ht="46.5" customHeight="1" spans="1:24">
      <c r="A298" s="48"/>
      <c r="B298" s="52"/>
      <c r="R298" s="50"/>
      <c r="X298" s="51"/>
    </row>
    <row r="299" ht="46.5" customHeight="1" spans="1:24">
      <c r="A299" s="48"/>
      <c r="B299" s="52"/>
      <c r="R299" s="50"/>
      <c r="X299" s="51"/>
    </row>
    <row r="300" ht="46.5" customHeight="1" spans="1:24">
      <c r="A300" s="48"/>
      <c r="B300" s="52"/>
      <c r="R300" s="50"/>
      <c r="X300" s="51"/>
    </row>
    <row r="301" ht="46.5" customHeight="1" spans="1:24">
      <c r="A301" s="48"/>
      <c r="B301" s="52"/>
      <c r="R301" s="50"/>
      <c r="X301" s="51"/>
    </row>
    <row r="302" ht="46.5" customHeight="1" spans="1:24">
      <c r="A302" s="48"/>
      <c r="B302" s="52"/>
      <c r="R302" s="50"/>
      <c r="X302" s="51"/>
    </row>
    <row r="303" ht="46.5" customHeight="1" spans="1:24">
      <c r="A303" s="48"/>
      <c r="B303" s="49"/>
      <c r="R303" s="50"/>
      <c r="X303" s="51"/>
    </row>
    <row r="304" ht="46.5" customHeight="1" spans="1:24">
      <c r="A304" s="48"/>
      <c r="B304" s="49"/>
      <c r="R304" s="50"/>
      <c r="X304" s="51"/>
    </row>
    <row r="305" ht="46.5" customHeight="1" spans="1:24">
      <c r="A305" s="48"/>
      <c r="B305" s="49"/>
      <c r="R305" s="50"/>
      <c r="X305" s="51"/>
    </row>
    <row r="306" ht="46.5" customHeight="1" spans="1:24">
      <c r="A306" s="48"/>
      <c r="B306" s="49"/>
      <c r="R306" s="50"/>
      <c r="X306" s="51"/>
    </row>
    <row r="307" ht="46.5" customHeight="1" spans="1:24">
      <c r="A307" s="48"/>
      <c r="B307" s="49"/>
      <c r="R307" s="50"/>
      <c r="X307" s="51"/>
    </row>
    <row r="308" ht="46.5" customHeight="1" spans="1:24">
      <c r="A308" s="48"/>
      <c r="B308" s="49"/>
      <c r="R308" s="50"/>
      <c r="X308" s="51"/>
    </row>
    <row r="309" ht="46.5" customHeight="1" spans="1:24">
      <c r="A309" s="48"/>
      <c r="B309" s="52"/>
      <c r="R309" s="50"/>
      <c r="X309" s="51"/>
    </row>
    <row r="310" ht="46.5" customHeight="1" spans="1:24">
      <c r="A310" s="48"/>
      <c r="B310" s="52"/>
      <c r="R310" s="50"/>
      <c r="X310" s="51"/>
    </row>
    <row r="311" ht="46.5" customHeight="1" spans="1:24">
      <c r="A311" s="48"/>
      <c r="B311" s="52"/>
      <c r="R311" s="50"/>
      <c r="X311" s="51"/>
    </row>
    <row r="312" ht="46.5" customHeight="1" spans="1:24">
      <c r="A312" s="48"/>
      <c r="B312" s="52"/>
      <c r="R312" s="50"/>
      <c r="X312" s="51"/>
    </row>
    <row r="313" ht="46.5" customHeight="1" spans="1:24">
      <c r="A313" s="48"/>
      <c r="B313" s="52"/>
      <c r="R313" s="50"/>
      <c r="X313" s="51"/>
    </row>
    <row r="314" ht="46.5" customHeight="1" spans="1:24">
      <c r="A314" s="48"/>
      <c r="B314" s="52"/>
      <c r="R314" s="50"/>
      <c r="X314" s="51"/>
    </row>
    <row r="315" ht="46.5" customHeight="1" spans="1:24">
      <c r="A315" s="48"/>
      <c r="B315" s="49"/>
      <c r="R315" s="50"/>
      <c r="X315" s="51"/>
    </row>
    <row r="316" ht="46.5" customHeight="1" spans="1:24">
      <c r="A316" s="48"/>
      <c r="B316" s="49"/>
      <c r="R316" s="50"/>
      <c r="X316" s="51"/>
    </row>
    <row r="317" ht="46.5" customHeight="1" spans="1:24">
      <c r="A317" s="48"/>
      <c r="B317" s="49"/>
      <c r="R317" s="50"/>
      <c r="X317" s="51"/>
    </row>
    <row r="318" ht="46.5" customHeight="1" spans="1:24">
      <c r="A318" s="48"/>
      <c r="B318" s="49"/>
      <c r="R318" s="50"/>
      <c r="X318" s="51"/>
    </row>
    <row r="319" ht="46.5" customHeight="1" spans="1:24">
      <c r="A319" s="48"/>
      <c r="B319" s="49"/>
      <c r="R319" s="50"/>
      <c r="X319" s="51"/>
    </row>
    <row r="320" ht="46.5" customHeight="1" spans="1:24">
      <c r="A320" s="48"/>
      <c r="B320" s="49"/>
      <c r="R320" s="50"/>
      <c r="X320" s="51"/>
    </row>
    <row r="321" ht="46.5" customHeight="1" spans="1:24">
      <c r="A321" s="48"/>
      <c r="B321" s="52"/>
      <c r="R321" s="50"/>
      <c r="X321" s="51"/>
    </row>
    <row r="322" ht="46.5" customHeight="1" spans="1:24">
      <c r="A322" s="48"/>
      <c r="B322" s="52"/>
      <c r="R322" s="50"/>
      <c r="X322" s="51"/>
    </row>
    <row r="323" ht="46.5" customHeight="1" spans="1:24">
      <c r="A323" s="48"/>
      <c r="B323" s="52"/>
      <c r="R323" s="50"/>
      <c r="X323" s="51"/>
    </row>
    <row r="324" ht="46.5" customHeight="1" spans="1:24">
      <c r="A324" s="48"/>
      <c r="B324" s="52"/>
      <c r="R324" s="50"/>
      <c r="X324" s="51"/>
    </row>
    <row r="325" ht="46.5" customHeight="1" spans="1:24">
      <c r="A325" s="48"/>
      <c r="B325" s="52"/>
      <c r="R325" s="50"/>
      <c r="X325" s="51"/>
    </row>
    <row r="326" ht="46.5" customHeight="1" spans="1:24">
      <c r="A326" s="48"/>
      <c r="B326" s="52"/>
      <c r="R326" s="50"/>
      <c r="X326" s="51"/>
    </row>
    <row r="327" ht="46.5" customHeight="1" spans="1:24">
      <c r="A327" s="48"/>
      <c r="B327" s="49"/>
      <c r="R327" s="50"/>
      <c r="X327" s="51"/>
    </row>
    <row r="328" ht="46.5" customHeight="1" spans="1:24">
      <c r="A328" s="48"/>
      <c r="B328" s="49"/>
      <c r="R328" s="50"/>
      <c r="X328" s="51"/>
    </row>
    <row r="329" ht="46.5" customHeight="1" spans="1:24">
      <c r="A329" s="48"/>
      <c r="B329" s="49"/>
      <c r="R329" s="50"/>
      <c r="X329" s="51"/>
    </row>
    <row r="330" ht="46.5" customHeight="1" spans="1:24">
      <c r="A330" s="48"/>
      <c r="B330" s="49"/>
      <c r="R330" s="50"/>
      <c r="X330" s="51"/>
    </row>
    <row r="331" ht="46.5" customHeight="1" spans="1:24">
      <c r="A331" s="48"/>
      <c r="B331" s="49"/>
      <c r="R331" s="50"/>
      <c r="X331" s="51"/>
    </row>
    <row r="332" ht="46.5" customHeight="1" spans="1:24">
      <c r="A332" s="48"/>
      <c r="B332" s="49"/>
      <c r="R332" s="50"/>
      <c r="X332" s="51"/>
    </row>
    <row r="333" ht="46.5" customHeight="1" spans="1:24">
      <c r="A333" s="48"/>
      <c r="B333" s="52"/>
      <c r="R333" s="50"/>
      <c r="X333" s="51"/>
    </row>
    <row r="334" ht="46.5" customHeight="1" spans="1:24">
      <c r="A334" s="48"/>
      <c r="B334" s="52"/>
      <c r="R334" s="50"/>
      <c r="X334" s="51"/>
    </row>
    <row r="335" ht="46.5" customHeight="1" spans="1:24">
      <c r="A335" s="48"/>
      <c r="B335" s="52"/>
      <c r="R335" s="50"/>
      <c r="X335" s="51"/>
    </row>
    <row r="336" ht="46.5" customHeight="1" spans="1:24">
      <c r="A336" s="48"/>
      <c r="B336" s="52"/>
      <c r="R336" s="50"/>
      <c r="X336" s="51"/>
    </row>
    <row r="337" ht="46.5" customHeight="1" spans="1:24">
      <c r="A337" s="48"/>
      <c r="B337" s="52"/>
      <c r="R337" s="50"/>
      <c r="X337" s="51"/>
    </row>
    <row r="338" ht="46.5" customHeight="1" spans="1:24">
      <c r="A338" s="48"/>
      <c r="B338" s="52"/>
      <c r="R338" s="50"/>
      <c r="X338" s="51"/>
    </row>
    <row r="339" ht="46.5" customHeight="1" spans="1:24">
      <c r="A339" s="48"/>
      <c r="B339" s="49"/>
      <c r="R339" s="50"/>
      <c r="X339" s="51"/>
    </row>
    <row r="340" ht="46.5" customHeight="1" spans="1:24">
      <c r="A340" s="48"/>
      <c r="B340" s="49"/>
      <c r="R340" s="50"/>
      <c r="X340" s="51"/>
    </row>
    <row r="341" ht="46.5" customHeight="1" spans="1:24">
      <c r="A341" s="48"/>
      <c r="B341" s="49"/>
      <c r="R341" s="50"/>
      <c r="X341" s="51"/>
    </row>
    <row r="342" ht="46.5" customHeight="1" spans="1:24">
      <c r="A342" s="48"/>
      <c r="B342" s="49"/>
      <c r="R342" s="50"/>
      <c r="X342" s="51"/>
    </row>
    <row r="343" ht="46.5" customHeight="1" spans="1:24">
      <c r="A343" s="48"/>
      <c r="B343" s="49"/>
      <c r="R343" s="50"/>
      <c r="X343" s="51"/>
    </row>
    <row r="344" ht="46.5" customHeight="1" spans="1:24">
      <c r="A344" s="48"/>
      <c r="B344" s="49"/>
      <c r="R344" s="50"/>
      <c r="X344" s="51"/>
    </row>
    <row r="345" ht="46.5" customHeight="1" spans="1:24">
      <c r="A345" s="48"/>
      <c r="B345" s="52"/>
      <c r="R345" s="50"/>
      <c r="X345" s="51"/>
    </row>
    <row r="346" ht="46.5" customHeight="1" spans="1:24">
      <c r="A346" s="48"/>
      <c r="B346" s="52"/>
      <c r="R346" s="50"/>
      <c r="X346" s="51"/>
    </row>
    <row r="347" ht="46.5" customHeight="1" spans="1:24">
      <c r="A347" s="48"/>
      <c r="B347" s="52"/>
      <c r="R347" s="50"/>
      <c r="X347" s="51"/>
    </row>
    <row r="348" ht="46.5" customHeight="1" spans="1:24">
      <c r="A348" s="48"/>
      <c r="B348" s="52"/>
      <c r="R348" s="50"/>
      <c r="X348" s="51"/>
    </row>
    <row r="349" ht="46.5" customHeight="1" spans="1:24">
      <c r="A349" s="48"/>
      <c r="B349" s="52"/>
      <c r="R349" s="50"/>
      <c r="X349" s="51"/>
    </row>
    <row r="350" ht="46.5" customHeight="1" spans="1:24">
      <c r="A350" s="48"/>
      <c r="B350" s="52"/>
      <c r="R350" s="50"/>
      <c r="X350" s="51"/>
    </row>
    <row r="351" ht="46.5" customHeight="1" spans="1:24">
      <c r="A351" s="48"/>
      <c r="B351" s="49"/>
      <c r="R351" s="50"/>
      <c r="X351" s="51"/>
    </row>
    <row r="352" ht="46.5" customHeight="1" spans="1:24">
      <c r="A352" s="48"/>
      <c r="B352" s="49"/>
      <c r="R352" s="50"/>
      <c r="X352" s="51"/>
    </row>
    <row r="353" ht="46.5" customHeight="1" spans="1:24">
      <c r="A353" s="48"/>
      <c r="B353" s="49"/>
      <c r="R353" s="50"/>
      <c r="X353" s="51"/>
    </row>
    <row r="354" ht="46.5" customHeight="1" spans="1:24">
      <c r="A354" s="48"/>
      <c r="B354" s="49"/>
      <c r="R354" s="50"/>
      <c r="X354" s="51"/>
    </row>
    <row r="355" ht="46.5" customHeight="1" spans="1:24">
      <c r="A355" s="48"/>
      <c r="B355" s="49"/>
      <c r="R355" s="50"/>
      <c r="X355" s="51"/>
    </row>
    <row r="356" ht="46.5" customHeight="1" spans="1:24">
      <c r="A356" s="48"/>
      <c r="B356" s="49"/>
      <c r="R356" s="50"/>
      <c r="X356" s="51"/>
    </row>
    <row r="357" ht="46.5" customHeight="1" spans="1:24">
      <c r="A357" s="48"/>
      <c r="B357" s="52"/>
      <c r="R357" s="50"/>
      <c r="X357" s="51"/>
    </row>
    <row r="358" ht="46.5" customHeight="1" spans="1:24">
      <c r="A358" s="48"/>
      <c r="B358" s="52"/>
      <c r="R358" s="50"/>
      <c r="X358" s="51"/>
    </row>
    <row r="359" ht="46.5" customHeight="1" spans="1:24">
      <c r="A359" s="48"/>
      <c r="B359" s="52"/>
      <c r="R359" s="50"/>
      <c r="X359" s="51"/>
    </row>
    <row r="360" ht="46.5" customHeight="1" spans="1:24">
      <c r="A360" s="48"/>
      <c r="B360" s="52"/>
      <c r="R360" s="50"/>
      <c r="X360" s="51"/>
    </row>
    <row r="361" ht="46.5" customHeight="1" spans="1:24">
      <c r="A361" s="48"/>
      <c r="B361" s="52"/>
      <c r="R361" s="50"/>
      <c r="X361" s="51"/>
    </row>
    <row r="362" ht="46.5" customHeight="1" spans="1:24">
      <c r="A362" s="48"/>
      <c r="B362" s="52"/>
      <c r="R362" s="50"/>
      <c r="X362" s="51"/>
    </row>
    <row r="363" ht="46.5" customHeight="1" spans="1:24">
      <c r="A363" s="48"/>
      <c r="B363" s="49"/>
      <c r="R363" s="50"/>
      <c r="X363" s="51"/>
    </row>
    <row r="364" ht="46.5" customHeight="1" spans="1:24">
      <c r="A364" s="48"/>
      <c r="B364" s="49"/>
      <c r="R364" s="50"/>
      <c r="X364" s="51"/>
    </row>
    <row r="365" ht="46.5" customHeight="1" spans="1:24">
      <c r="A365" s="48"/>
      <c r="B365" s="49"/>
      <c r="R365" s="50"/>
      <c r="X365" s="51"/>
    </row>
    <row r="366" ht="46.5" customHeight="1" spans="1:24">
      <c r="A366" s="48"/>
      <c r="B366" s="49"/>
      <c r="R366" s="50"/>
      <c r="X366" s="51"/>
    </row>
    <row r="367" ht="46.5" customHeight="1" spans="1:24">
      <c r="A367" s="48"/>
      <c r="B367" s="49"/>
      <c r="R367" s="50"/>
      <c r="X367" s="51"/>
    </row>
    <row r="368" ht="46.5" customHeight="1" spans="1:24">
      <c r="A368" s="48"/>
      <c r="B368" s="49"/>
      <c r="R368" s="50"/>
      <c r="X368" s="51"/>
    </row>
    <row r="369" ht="46.5" customHeight="1" spans="1:24">
      <c r="A369" s="48"/>
      <c r="B369" s="52"/>
      <c r="R369" s="50"/>
      <c r="X369" s="51"/>
    </row>
    <row r="370" ht="46.5" customHeight="1" spans="1:24">
      <c r="A370" s="48"/>
      <c r="B370" s="52"/>
      <c r="R370" s="50"/>
      <c r="X370" s="51"/>
    </row>
    <row r="371" ht="46.5" customHeight="1" spans="1:24">
      <c r="A371" s="48"/>
      <c r="B371" s="52"/>
      <c r="R371" s="50"/>
      <c r="X371" s="51"/>
    </row>
    <row r="372" ht="46.5" customHeight="1" spans="1:24">
      <c r="A372" s="48"/>
      <c r="B372" s="52"/>
      <c r="R372" s="50"/>
      <c r="X372" s="51"/>
    </row>
    <row r="373" ht="46.5" customHeight="1" spans="1:24">
      <c r="A373" s="48"/>
      <c r="B373" s="52"/>
      <c r="R373" s="50"/>
      <c r="X373" s="51"/>
    </row>
    <row r="374" ht="46.5" customHeight="1" spans="1:24">
      <c r="A374" s="48"/>
      <c r="B374" s="52"/>
      <c r="R374" s="50"/>
      <c r="X374" s="51"/>
    </row>
    <row r="375" ht="46.5" customHeight="1" spans="1:24">
      <c r="A375" s="48"/>
      <c r="B375" s="49"/>
      <c r="R375" s="50"/>
      <c r="X375" s="51"/>
    </row>
    <row r="376" ht="46.5" customHeight="1" spans="1:24">
      <c r="A376" s="48"/>
      <c r="B376" s="49"/>
      <c r="R376" s="50"/>
      <c r="X376" s="51"/>
    </row>
    <row r="377" ht="46.5" customHeight="1" spans="1:24">
      <c r="A377" s="48"/>
      <c r="B377" s="49"/>
      <c r="R377" s="50"/>
      <c r="X377" s="51"/>
    </row>
    <row r="378" ht="46.5" customHeight="1" spans="1:24">
      <c r="A378" s="48"/>
      <c r="B378" s="49"/>
      <c r="R378" s="50"/>
      <c r="X378" s="51"/>
    </row>
    <row r="379" ht="46.5" customHeight="1" spans="1:24">
      <c r="A379" s="48"/>
      <c r="B379" s="49"/>
      <c r="R379" s="50"/>
      <c r="X379" s="51"/>
    </row>
    <row r="380" ht="46.5" customHeight="1" spans="1:24">
      <c r="A380" s="48"/>
      <c r="B380" s="49"/>
      <c r="R380" s="50"/>
      <c r="X380" s="51"/>
    </row>
    <row r="381" ht="46.5" customHeight="1" spans="1:24">
      <c r="A381" s="48"/>
      <c r="B381" s="52"/>
      <c r="R381" s="50"/>
      <c r="X381" s="51"/>
    </row>
    <row r="382" ht="46.5" customHeight="1" spans="1:24">
      <c r="A382" s="48"/>
      <c r="B382" s="52"/>
      <c r="R382" s="50"/>
      <c r="X382" s="51"/>
    </row>
    <row r="383" ht="46.5" customHeight="1" spans="1:24">
      <c r="A383" s="48"/>
      <c r="B383" s="52"/>
      <c r="R383" s="50"/>
      <c r="X383" s="51"/>
    </row>
    <row r="384" ht="46.5" customHeight="1" spans="1:24">
      <c r="A384" s="48"/>
      <c r="B384" s="52"/>
      <c r="R384" s="50"/>
      <c r="X384" s="51"/>
    </row>
    <row r="385" ht="46.5" customHeight="1" spans="1:24">
      <c r="A385" s="48"/>
      <c r="B385" s="52"/>
      <c r="R385" s="50"/>
      <c r="X385" s="51"/>
    </row>
    <row r="386" ht="46.5" customHeight="1" spans="1:24">
      <c r="A386" s="48"/>
      <c r="B386" s="52"/>
      <c r="R386" s="50"/>
      <c r="X386" s="51"/>
    </row>
    <row r="387" ht="46.5" customHeight="1" spans="1:24">
      <c r="A387" s="48"/>
      <c r="B387" s="49"/>
      <c r="R387" s="50"/>
      <c r="X387" s="51"/>
    </row>
    <row r="388" ht="46.5" customHeight="1" spans="1:24">
      <c r="A388" s="48"/>
      <c r="B388" s="49"/>
      <c r="R388" s="50"/>
      <c r="X388" s="51"/>
    </row>
    <row r="389" ht="46.5" customHeight="1" spans="1:24">
      <c r="A389" s="48"/>
      <c r="B389" s="49"/>
      <c r="R389" s="50"/>
      <c r="X389" s="51"/>
    </row>
    <row r="390" ht="46.5" customHeight="1" spans="1:24">
      <c r="A390" s="48"/>
      <c r="B390" s="49"/>
      <c r="R390" s="50"/>
      <c r="X390" s="51"/>
    </row>
    <row r="391" ht="46.5" customHeight="1" spans="1:24">
      <c r="A391" s="48"/>
      <c r="B391" s="49"/>
      <c r="R391" s="50"/>
      <c r="X391" s="51"/>
    </row>
    <row r="392" ht="46.5" customHeight="1" spans="1:24">
      <c r="A392" s="48"/>
      <c r="B392" s="49"/>
      <c r="R392" s="50"/>
      <c r="X392" s="51"/>
    </row>
    <row r="393" ht="46.5" customHeight="1" spans="1:24">
      <c r="A393" s="48"/>
      <c r="B393" s="52"/>
      <c r="R393" s="50"/>
      <c r="X393" s="51"/>
    </row>
    <row r="394" ht="46.5" customHeight="1" spans="1:24">
      <c r="A394" s="48"/>
      <c r="B394" s="52"/>
      <c r="R394" s="50"/>
      <c r="X394" s="51"/>
    </row>
    <row r="395" ht="46.5" customHeight="1" spans="1:24">
      <c r="A395" s="48"/>
      <c r="B395" s="52"/>
      <c r="R395" s="50"/>
      <c r="X395" s="51"/>
    </row>
    <row r="396" ht="46.5" customHeight="1" spans="1:24">
      <c r="A396" s="48"/>
      <c r="B396" s="52"/>
      <c r="R396" s="50"/>
      <c r="X396" s="51"/>
    </row>
    <row r="397" ht="46.5" customHeight="1" spans="1:24">
      <c r="A397" s="48"/>
      <c r="B397" s="52"/>
      <c r="R397" s="50"/>
      <c r="X397" s="51"/>
    </row>
    <row r="398" ht="46.5" customHeight="1" spans="1:24">
      <c r="A398" s="48"/>
      <c r="B398" s="52"/>
      <c r="R398" s="50"/>
      <c r="X398" s="51"/>
    </row>
    <row r="399" ht="46.5" customHeight="1" spans="1:24">
      <c r="A399" s="48"/>
      <c r="B399" s="49"/>
      <c r="R399" s="50"/>
      <c r="X399" s="51"/>
    </row>
    <row r="400" ht="46.5" customHeight="1" spans="1:24">
      <c r="A400" s="48"/>
      <c r="B400" s="49"/>
      <c r="R400" s="50"/>
      <c r="X400" s="51"/>
    </row>
    <row r="401" ht="46.5" customHeight="1" spans="1:24">
      <c r="A401" s="48"/>
      <c r="B401" s="49"/>
      <c r="R401" s="50"/>
      <c r="X401" s="51"/>
    </row>
    <row r="402" ht="46.5" customHeight="1" spans="1:24">
      <c r="A402" s="48"/>
      <c r="B402" s="49"/>
      <c r="R402" s="50"/>
      <c r="X402" s="51"/>
    </row>
    <row r="403" ht="46.5" customHeight="1" spans="1:24">
      <c r="A403" s="48"/>
      <c r="B403" s="49"/>
      <c r="R403" s="50"/>
      <c r="X403" s="51"/>
    </row>
    <row r="404" ht="46.5" customHeight="1" spans="1:24">
      <c r="A404" s="48"/>
      <c r="B404" s="49"/>
      <c r="R404" s="50"/>
      <c r="X404" s="51"/>
    </row>
    <row r="405" ht="46.5" customHeight="1" spans="1:24">
      <c r="A405" s="48"/>
      <c r="B405" s="52"/>
      <c r="R405" s="50"/>
      <c r="X405" s="51"/>
    </row>
    <row r="406" ht="46.5" customHeight="1" spans="1:24">
      <c r="A406" s="48"/>
      <c r="B406" s="52"/>
      <c r="R406" s="50"/>
      <c r="X406" s="51"/>
    </row>
    <row r="407" ht="46.5" customHeight="1" spans="1:24">
      <c r="A407" s="48"/>
      <c r="B407" s="52"/>
      <c r="R407" s="50"/>
      <c r="X407" s="51"/>
    </row>
    <row r="408" ht="46.5" customHeight="1" spans="1:24">
      <c r="A408" s="48"/>
      <c r="B408" s="52"/>
      <c r="R408" s="50"/>
      <c r="X408" s="51"/>
    </row>
    <row r="409" ht="46.5" customHeight="1" spans="1:24">
      <c r="A409" s="48"/>
      <c r="B409" s="52"/>
      <c r="R409" s="50"/>
      <c r="X409" s="51"/>
    </row>
    <row r="410" ht="46.5" customHeight="1" spans="1:24">
      <c r="A410" s="48"/>
      <c r="B410" s="52"/>
      <c r="R410" s="50"/>
      <c r="X410" s="51"/>
    </row>
    <row r="411" ht="46.5" customHeight="1" spans="1:24">
      <c r="A411" s="48"/>
      <c r="B411" s="49"/>
      <c r="R411" s="50"/>
      <c r="X411" s="51"/>
    </row>
    <row r="412" ht="46.5" customHeight="1" spans="1:24">
      <c r="A412" s="48"/>
      <c r="B412" s="49"/>
      <c r="R412" s="50"/>
      <c r="X412" s="51"/>
    </row>
    <row r="413" ht="46.5" customHeight="1" spans="1:24">
      <c r="A413" s="48"/>
      <c r="B413" s="49"/>
      <c r="R413" s="50"/>
      <c r="X413" s="51"/>
    </row>
    <row r="414" ht="46.5" customHeight="1" spans="1:24">
      <c r="A414" s="48"/>
      <c r="B414" s="49"/>
      <c r="R414" s="50"/>
      <c r="X414" s="51"/>
    </row>
    <row r="415" ht="46.5" customHeight="1" spans="1:24">
      <c r="A415" s="48"/>
      <c r="B415" s="49"/>
      <c r="R415" s="50"/>
      <c r="X415" s="51"/>
    </row>
    <row r="416" ht="46.5" customHeight="1" spans="1:24">
      <c r="A416" s="48"/>
      <c r="B416" s="49"/>
      <c r="R416" s="50"/>
      <c r="X416" s="51"/>
    </row>
    <row r="417" ht="46.5" customHeight="1" spans="1:24">
      <c r="A417" s="48"/>
      <c r="B417" s="52"/>
      <c r="R417" s="50"/>
      <c r="X417" s="51"/>
    </row>
    <row r="418" ht="46.5" customHeight="1" spans="1:24">
      <c r="A418" s="48"/>
      <c r="B418" s="52"/>
      <c r="R418" s="50"/>
      <c r="X418" s="51"/>
    </row>
    <row r="419" ht="46.5" customHeight="1" spans="1:24">
      <c r="A419" s="48"/>
      <c r="B419" s="52"/>
      <c r="R419" s="50"/>
      <c r="X419" s="51"/>
    </row>
    <row r="420" ht="46.5" customHeight="1" spans="1:24">
      <c r="A420" s="48"/>
      <c r="B420" s="52"/>
      <c r="R420" s="50"/>
      <c r="X420" s="51"/>
    </row>
    <row r="421" ht="46.5" customHeight="1" spans="1:24">
      <c r="A421" s="48"/>
      <c r="B421" s="52"/>
      <c r="R421" s="50"/>
      <c r="X421" s="51"/>
    </row>
    <row r="422" ht="46.5" customHeight="1" spans="1:24">
      <c r="A422" s="48"/>
      <c r="B422" s="52"/>
      <c r="R422" s="50"/>
      <c r="X422" s="51"/>
    </row>
    <row r="423" ht="46.5" customHeight="1" spans="1:24">
      <c r="A423" s="48"/>
      <c r="B423" s="49"/>
      <c r="R423" s="50"/>
      <c r="X423" s="51"/>
    </row>
    <row r="424" ht="46.5" customHeight="1" spans="1:24">
      <c r="A424" s="48"/>
      <c r="B424" s="49"/>
      <c r="R424" s="50"/>
      <c r="X424" s="51"/>
    </row>
    <row r="425" ht="46.5" customHeight="1" spans="1:24">
      <c r="A425" s="48"/>
      <c r="B425" s="49"/>
      <c r="R425" s="50"/>
      <c r="X425" s="51"/>
    </row>
    <row r="426" ht="46.5" customHeight="1" spans="1:24">
      <c r="A426" s="48"/>
      <c r="B426" s="49"/>
      <c r="R426" s="50"/>
      <c r="X426" s="51"/>
    </row>
    <row r="427" ht="46.5" customHeight="1" spans="1:24">
      <c r="A427" s="48"/>
      <c r="B427" s="49"/>
      <c r="R427" s="50"/>
      <c r="X427" s="51"/>
    </row>
    <row r="428" ht="46.5" customHeight="1" spans="1:24">
      <c r="A428" s="48"/>
      <c r="B428" s="49"/>
      <c r="R428" s="50"/>
      <c r="X428" s="51"/>
    </row>
    <row r="429" ht="46.5" customHeight="1" spans="1:24">
      <c r="A429" s="48"/>
      <c r="B429" s="52"/>
      <c r="R429" s="50"/>
      <c r="X429" s="51"/>
    </row>
    <row r="430" ht="46.5" customHeight="1" spans="1:24">
      <c r="A430" s="48"/>
      <c r="B430" s="52"/>
      <c r="R430" s="50"/>
      <c r="X430" s="51"/>
    </row>
    <row r="431" ht="46.5" customHeight="1" spans="1:24">
      <c r="A431" s="48"/>
      <c r="B431" s="52"/>
      <c r="R431" s="50"/>
      <c r="X431" s="51"/>
    </row>
    <row r="432" ht="46.5" customHeight="1" spans="1:24">
      <c r="A432" s="48"/>
      <c r="B432" s="52"/>
      <c r="R432" s="50"/>
      <c r="X432" s="51"/>
    </row>
    <row r="433" ht="46.5" customHeight="1" spans="1:24">
      <c r="A433" s="48"/>
      <c r="B433" s="52"/>
      <c r="R433" s="50"/>
      <c r="X433" s="51"/>
    </row>
    <row r="434" ht="46.5" customHeight="1" spans="1:24">
      <c r="A434" s="48"/>
      <c r="B434" s="52"/>
      <c r="R434" s="50"/>
      <c r="X434" s="51"/>
    </row>
    <row r="435" ht="46.5" customHeight="1" spans="1:24">
      <c r="A435" s="48"/>
      <c r="B435" s="49"/>
      <c r="R435" s="50"/>
      <c r="X435" s="51"/>
    </row>
    <row r="436" ht="46.5" customHeight="1" spans="1:24">
      <c r="A436" s="48"/>
      <c r="B436" s="49"/>
      <c r="R436" s="50"/>
      <c r="X436" s="51"/>
    </row>
    <row r="437" ht="46.5" customHeight="1" spans="1:24">
      <c r="A437" s="48"/>
      <c r="B437" s="49"/>
      <c r="R437" s="50"/>
      <c r="X437" s="51"/>
    </row>
    <row r="438" ht="46.5" customHeight="1" spans="1:24">
      <c r="A438" s="48"/>
      <c r="B438" s="49"/>
      <c r="R438" s="50"/>
      <c r="X438" s="51"/>
    </row>
    <row r="439" ht="46.5" customHeight="1" spans="1:24">
      <c r="A439" s="48"/>
      <c r="B439" s="49"/>
      <c r="R439" s="50"/>
      <c r="X439" s="51"/>
    </row>
    <row r="440" ht="46.5" customHeight="1" spans="1:24">
      <c r="A440" s="48"/>
      <c r="B440" s="49"/>
      <c r="R440" s="50"/>
      <c r="X440" s="51"/>
    </row>
    <row r="441" ht="46.5" customHeight="1" spans="1:24">
      <c r="A441" s="48"/>
      <c r="B441" s="52"/>
      <c r="R441" s="50"/>
      <c r="X441" s="51"/>
    </row>
    <row r="442" ht="46.5" customHeight="1" spans="1:24">
      <c r="A442" s="48"/>
      <c r="B442" s="52"/>
      <c r="R442" s="50"/>
      <c r="X442" s="51"/>
    </row>
    <row r="443" ht="46.5" customHeight="1" spans="1:24">
      <c r="A443" s="48"/>
      <c r="B443" s="52"/>
      <c r="R443" s="50"/>
      <c r="X443" s="51"/>
    </row>
    <row r="444" ht="46.5" customHeight="1" spans="1:24">
      <c r="A444" s="48"/>
      <c r="B444" s="52"/>
      <c r="R444" s="50"/>
      <c r="X444" s="51"/>
    </row>
    <row r="445" ht="46.5" customHeight="1" spans="1:24">
      <c r="A445" s="48"/>
      <c r="B445" s="52"/>
      <c r="R445" s="50"/>
      <c r="X445" s="51"/>
    </row>
    <row r="446" ht="46.5" customHeight="1" spans="1:24">
      <c r="A446" s="48"/>
      <c r="B446" s="52"/>
      <c r="R446" s="50"/>
      <c r="X446" s="51"/>
    </row>
    <row r="447" ht="46.5" customHeight="1" spans="1:24">
      <c r="A447" s="48"/>
      <c r="B447" s="49"/>
      <c r="R447" s="50"/>
      <c r="X447" s="51"/>
    </row>
    <row r="448" ht="46.5" customHeight="1" spans="1:24">
      <c r="A448" s="48"/>
      <c r="B448" s="49"/>
      <c r="R448" s="50"/>
      <c r="X448" s="51"/>
    </row>
    <row r="449" ht="46.5" customHeight="1" spans="1:24">
      <c r="A449" s="48"/>
      <c r="B449" s="49"/>
      <c r="R449" s="50"/>
      <c r="X449" s="51"/>
    </row>
    <row r="450" ht="46.5" customHeight="1" spans="1:24">
      <c r="A450" s="48"/>
      <c r="B450" s="49"/>
      <c r="R450" s="50"/>
      <c r="X450" s="51"/>
    </row>
    <row r="451" ht="46.5" customHeight="1" spans="1:24">
      <c r="A451" s="48"/>
      <c r="B451" s="49"/>
      <c r="R451" s="50"/>
      <c r="X451" s="51"/>
    </row>
    <row r="452" ht="46.5" customHeight="1" spans="1:24">
      <c r="A452" s="48"/>
      <c r="B452" s="49"/>
      <c r="R452" s="50"/>
      <c r="X452" s="51"/>
    </row>
    <row r="453" ht="46.5" customHeight="1" spans="1:24">
      <c r="A453" s="48"/>
      <c r="B453" s="52"/>
      <c r="R453" s="50"/>
      <c r="X453" s="51"/>
    </row>
    <row r="454" ht="46.5" customHeight="1" spans="1:24">
      <c r="A454" s="48"/>
      <c r="B454" s="52"/>
      <c r="R454" s="50"/>
      <c r="X454" s="51"/>
    </row>
    <row r="455" ht="46.5" customHeight="1" spans="1:24">
      <c r="A455" s="48"/>
      <c r="B455" s="52"/>
      <c r="R455" s="50"/>
      <c r="X455" s="51"/>
    </row>
    <row r="456" ht="46.5" customHeight="1" spans="1:24">
      <c r="A456" s="48"/>
      <c r="B456" s="52"/>
      <c r="R456" s="50"/>
      <c r="X456" s="51"/>
    </row>
    <row r="457" ht="46.5" customHeight="1" spans="1:24">
      <c r="A457" s="48"/>
      <c r="B457" s="52"/>
      <c r="R457" s="50"/>
      <c r="X457" s="51"/>
    </row>
    <row r="458" ht="46.5" customHeight="1" spans="1:24">
      <c r="A458" s="48"/>
      <c r="B458" s="52"/>
      <c r="R458" s="50"/>
      <c r="X458" s="51"/>
    </row>
    <row r="459" ht="46.5" customHeight="1" spans="1:24">
      <c r="A459" s="48"/>
      <c r="B459" s="49"/>
      <c r="R459" s="50"/>
      <c r="X459" s="51"/>
    </row>
    <row r="460" ht="46.5" customHeight="1" spans="1:24">
      <c r="A460" s="48"/>
      <c r="B460" s="49"/>
      <c r="R460" s="50"/>
      <c r="X460" s="51"/>
    </row>
    <row r="461" ht="46.5" customHeight="1" spans="1:24">
      <c r="A461" s="48"/>
      <c r="B461" s="49"/>
      <c r="R461" s="50"/>
      <c r="X461" s="51"/>
    </row>
    <row r="462" ht="46.5" customHeight="1" spans="1:24">
      <c r="A462" s="48"/>
      <c r="B462" s="49"/>
      <c r="R462" s="50"/>
      <c r="X462" s="51"/>
    </row>
    <row r="463" ht="46.5" customHeight="1" spans="1:24">
      <c r="A463" s="48"/>
      <c r="B463" s="49"/>
      <c r="R463" s="50"/>
      <c r="X463" s="51"/>
    </row>
    <row r="464" ht="46.5" customHeight="1" spans="1:24">
      <c r="A464" s="48"/>
      <c r="B464" s="49"/>
      <c r="R464" s="50"/>
      <c r="X464" s="51"/>
    </row>
    <row r="465" ht="46.5" customHeight="1" spans="1:24">
      <c r="A465" s="48"/>
      <c r="B465" s="52"/>
      <c r="R465" s="50"/>
      <c r="X465" s="51"/>
    </row>
    <row r="466" ht="46.5" customHeight="1" spans="1:24">
      <c r="A466" s="48"/>
      <c r="B466" s="52"/>
      <c r="R466" s="50"/>
      <c r="X466" s="51"/>
    </row>
    <row r="467" ht="46.5" customHeight="1" spans="1:24">
      <c r="A467" s="48"/>
      <c r="B467" s="52"/>
      <c r="R467" s="50"/>
      <c r="X467" s="51"/>
    </row>
    <row r="468" ht="46.5" customHeight="1" spans="1:24">
      <c r="A468" s="48"/>
      <c r="B468" s="52"/>
      <c r="R468" s="50"/>
      <c r="X468" s="51"/>
    </row>
    <row r="469" ht="46.5" customHeight="1" spans="1:24">
      <c r="A469" s="48"/>
      <c r="B469" s="52"/>
      <c r="R469" s="50"/>
      <c r="X469" s="51"/>
    </row>
    <row r="470" ht="46.5" customHeight="1" spans="1:24">
      <c r="A470" s="48"/>
      <c r="B470" s="52"/>
      <c r="R470" s="50"/>
      <c r="X470" s="51"/>
    </row>
    <row r="471" ht="46.5" customHeight="1" spans="1:24">
      <c r="A471" s="48"/>
      <c r="B471" s="49"/>
      <c r="R471" s="50"/>
      <c r="X471" s="51"/>
    </row>
    <row r="472" ht="46.5" customHeight="1" spans="1:24">
      <c r="A472" s="48"/>
      <c r="B472" s="49"/>
      <c r="R472" s="50"/>
      <c r="X472" s="51"/>
    </row>
    <row r="473" ht="46.5" customHeight="1" spans="1:24">
      <c r="A473" s="48"/>
      <c r="B473" s="49"/>
      <c r="R473" s="50"/>
      <c r="X473" s="51"/>
    </row>
    <row r="474" ht="46.5" customHeight="1" spans="1:24">
      <c r="A474" s="48"/>
      <c r="B474" s="49"/>
      <c r="R474" s="50"/>
      <c r="X474" s="51"/>
    </row>
    <row r="475" ht="46.5" customHeight="1" spans="1:24">
      <c r="A475" s="48"/>
      <c r="B475" s="49"/>
      <c r="R475" s="50"/>
      <c r="X475" s="51"/>
    </row>
    <row r="476" ht="46.5" customHeight="1" spans="1:24">
      <c r="A476" s="48"/>
      <c r="B476" s="49"/>
      <c r="R476" s="50"/>
      <c r="X476" s="51"/>
    </row>
    <row r="477" ht="46.5" customHeight="1" spans="1:24">
      <c r="A477" s="48"/>
      <c r="B477" s="52"/>
      <c r="R477" s="50"/>
      <c r="X477" s="51"/>
    </row>
    <row r="478" ht="46.5" customHeight="1" spans="1:24">
      <c r="A478" s="48"/>
      <c r="B478" s="52"/>
      <c r="R478" s="50"/>
      <c r="X478" s="51"/>
    </row>
    <row r="479" ht="46.5" customHeight="1" spans="1:24">
      <c r="A479" s="48"/>
      <c r="B479" s="52"/>
      <c r="R479" s="50"/>
      <c r="X479" s="51"/>
    </row>
    <row r="480" ht="46.5" customHeight="1" spans="1:24">
      <c r="A480" s="48"/>
      <c r="B480" s="52"/>
      <c r="R480" s="50"/>
      <c r="X480" s="51"/>
    </row>
    <row r="481" ht="46.5" customHeight="1" spans="1:24">
      <c r="A481" s="48"/>
      <c r="B481" s="52"/>
      <c r="R481" s="50"/>
      <c r="X481" s="51"/>
    </row>
    <row r="482" ht="46.5" customHeight="1" spans="1:24">
      <c r="A482" s="48"/>
      <c r="B482" s="52"/>
      <c r="R482" s="50"/>
      <c r="X482" s="51"/>
    </row>
    <row r="483" ht="46.5" customHeight="1" spans="1:24">
      <c r="A483" s="48"/>
      <c r="B483" s="49"/>
      <c r="R483" s="50"/>
      <c r="X483" s="51"/>
    </row>
    <row r="484" ht="46.5" customHeight="1" spans="1:24">
      <c r="A484" s="48"/>
      <c r="B484" s="49"/>
      <c r="R484" s="50"/>
      <c r="X484" s="51"/>
    </row>
    <row r="485" ht="46.5" customHeight="1" spans="1:24">
      <c r="A485" s="48"/>
      <c r="B485" s="49"/>
      <c r="R485" s="50"/>
      <c r="X485" s="51"/>
    </row>
    <row r="486" ht="46.5" customHeight="1" spans="1:24">
      <c r="A486" s="48"/>
      <c r="B486" s="49"/>
      <c r="R486" s="50"/>
      <c r="X486" s="51"/>
    </row>
    <row r="487" ht="46.5" customHeight="1" spans="1:24">
      <c r="A487" s="48"/>
      <c r="B487" s="49"/>
      <c r="R487" s="50"/>
      <c r="X487" s="51"/>
    </row>
    <row r="488" ht="46.5" customHeight="1" spans="1:24">
      <c r="A488" s="48"/>
      <c r="B488" s="49"/>
      <c r="R488" s="50"/>
      <c r="X488" s="51"/>
    </row>
    <row r="489" ht="46.5" customHeight="1" spans="1:24">
      <c r="A489" s="48"/>
      <c r="B489" s="52"/>
      <c r="R489" s="50"/>
      <c r="X489" s="51"/>
    </row>
    <row r="490" ht="46.5" customHeight="1" spans="1:24">
      <c r="A490" s="48"/>
      <c r="B490" s="52"/>
      <c r="R490" s="50"/>
      <c r="X490" s="51"/>
    </row>
    <row r="491" ht="46.5" customHeight="1" spans="1:24">
      <c r="A491" s="48"/>
      <c r="B491" s="52"/>
      <c r="R491" s="50"/>
      <c r="X491" s="51"/>
    </row>
    <row r="492" ht="46.5" customHeight="1" spans="1:24">
      <c r="A492" s="48"/>
      <c r="B492" s="52"/>
      <c r="R492" s="50"/>
      <c r="X492" s="51"/>
    </row>
    <row r="493" ht="46.5" customHeight="1" spans="1:24">
      <c r="A493" s="48"/>
      <c r="B493" s="52"/>
      <c r="R493" s="50"/>
      <c r="X493" s="51"/>
    </row>
    <row r="494" ht="46.5" customHeight="1" spans="1:24">
      <c r="A494" s="48"/>
      <c r="B494" s="52"/>
      <c r="R494" s="50"/>
      <c r="X494" s="51"/>
    </row>
    <row r="495" ht="46.5" customHeight="1" spans="1:24">
      <c r="A495" s="48"/>
      <c r="B495" s="49"/>
      <c r="R495" s="50"/>
      <c r="X495" s="51"/>
    </row>
    <row r="496" ht="46.5" customHeight="1" spans="1:24">
      <c r="A496" s="48"/>
      <c r="B496" s="49"/>
      <c r="R496" s="50"/>
      <c r="X496" s="51"/>
    </row>
    <row r="497" ht="46.5" customHeight="1" spans="1:24">
      <c r="A497" s="48"/>
      <c r="B497" s="49"/>
      <c r="R497" s="50"/>
      <c r="X497" s="51"/>
    </row>
    <row r="498" ht="46.5" customHeight="1" spans="1:24">
      <c r="A498" s="48"/>
      <c r="B498" s="49"/>
      <c r="R498" s="50"/>
      <c r="X498" s="51"/>
    </row>
    <row r="499" ht="46.5" customHeight="1" spans="1:24">
      <c r="A499" s="48"/>
      <c r="B499" s="49"/>
      <c r="R499" s="50"/>
      <c r="X499" s="51"/>
    </row>
    <row r="500" ht="46.5" customHeight="1" spans="1:24">
      <c r="A500" s="48"/>
      <c r="B500" s="49"/>
      <c r="R500" s="50"/>
      <c r="X500" s="51"/>
    </row>
    <row r="501" ht="46.5" customHeight="1" spans="1:24">
      <c r="A501" s="48"/>
      <c r="B501" s="52"/>
      <c r="R501" s="50"/>
      <c r="X501" s="51"/>
    </row>
    <row r="502" ht="46.5" customHeight="1" spans="1:24">
      <c r="A502" s="48"/>
      <c r="B502" s="52"/>
      <c r="R502" s="50"/>
      <c r="X502" s="51"/>
    </row>
    <row r="503" ht="46.5" customHeight="1" spans="1:24">
      <c r="A503" s="48"/>
      <c r="B503" s="52"/>
      <c r="R503" s="50"/>
      <c r="X503" s="51"/>
    </row>
    <row r="504" ht="46.5" customHeight="1" spans="1:24">
      <c r="A504" s="48"/>
      <c r="B504" s="52"/>
      <c r="R504" s="50"/>
      <c r="X504" s="51"/>
    </row>
    <row r="505" ht="46.5" customHeight="1" spans="1:24">
      <c r="A505" s="48"/>
      <c r="B505" s="52"/>
      <c r="R505" s="50"/>
      <c r="X505" s="51"/>
    </row>
    <row r="506" ht="46.5" customHeight="1" spans="1:24">
      <c r="A506" s="48"/>
      <c r="B506" s="52"/>
      <c r="R506" s="50"/>
      <c r="X506" s="51"/>
    </row>
    <row r="507" ht="46.5" customHeight="1" spans="1:24">
      <c r="A507" s="48"/>
      <c r="B507" s="49"/>
      <c r="R507" s="50"/>
      <c r="X507" s="51"/>
    </row>
    <row r="508" ht="46.5" customHeight="1" spans="1:24">
      <c r="A508" s="48"/>
      <c r="B508" s="49"/>
      <c r="R508" s="50"/>
      <c r="X508" s="51"/>
    </row>
    <row r="509" ht="46.5" customHeight="1" spans="1:24">
      <c r="A509" s="48"/>
      <c r="B509" s="49"/>
      <c r="R509" s="50"/>
      <c r="X509" s="51"/>
    </row>
    <row r="510" ht="46.5" customHeight="1" spans="1:24">
      <c r="A510" s="48"/>
      <c r="B510" s="49"/>
      <c r="R510" s="50"/>
      <c r="X510" s="51"/>
    </row>
    <row r="511" ht="46.5" customHeight="1" spans="1:24">
      <c r="A511" s="48"/>
      <c r="B511" s="49"/>
      <c r="R511" s="50"/>
      <c r="X511" s="51"/>
    </row>
    <row r="512" ht="46.5" customHeight="1" spans="1:24">
      <c r="A512" s="48"/>
      <c r="B512" s="49"/>
      <c r="R512" s="50"/>
      <c r="X512" s="51"/>
    </row>
    <row r="513" ht="46.5" customHeight="1" spans="1:24">
      <c r="A513" s="48"/>
      <c r="B513" s="52"/>
      <c r="R513" s="50"/>
      <c r="X513" s="51"/>
    </row>
    <row r="514" ht="46.5" customHeight="1" spans="1:24">
      <c r="A514" s="48"/>
      <c r="B514" s="52"/>
      <c r="R514" s="50"/>
      <c r="X514" s="51"/>
    </row>
    <row r="515" ht="46.5" customHeight="1" spans="1:24">
      <c r="A515" s="48"/>
      <c r="B515" s="52"/>
      <c r="R515" s="50"/>
      <c r="X515" s="51"/>
    </row>
    <row r="516" ht="46.5" customHeight="1" spans="1:24">
      <c r="A516" s="48"/>
      <c r="B516" s="52"/>
      <c r="R516" s="50"/>
      <c r="X516" s="51"/>
    </row>
    <row r="517" ht="46.5" customHeight="1" spans="1:24">
      <c r="A517" s="48"/>
      <c r="B517" s="52"/>
      <c r="R517" s="50"/>
      <c r="X517" s="51"/>
    </row>
    <row r="518" ht="46.5" customHeight="1" spans="1:24">
      <c r="A518" s="48"/>
      <c r="B518" s="52"/>
      <c r="R518" s="50"/>
      <c r="X518" s="51"/>
    </row>
    <row r="519" ht="46.5" customHeight="1" spans="1:24">
      <c r="A519" s="48"/>
      <c r="B519" s="49"/>
      <c r="R519" s="50"/>
      <c r="X519" s="51"/>
    </row>
    <row r="520" ht="46.5" customHeight="1" spans="1:24">
      <c r="A520" s="48"/>
      <c r="B520" s="49"/>
      <c r="R520" s="50"/>
      <c r="X520" s="51"/>
    </row>
    <row r="521" ht="46.5" customHeight="1" spans="1:24">
      <c r="A521" s="48"/>
      <c r="B521" s="49"/>
      <c r="R521" s="50"/>
      <c r="X521" s="51"/>
    </row>
    <row r="522" ht="46.5" customHeight="1" spans="1:24">
      <c r="A522" s="48"/>
      <c r="B522" s="49"/>
      <c r="R522" s="50"/>
      <c r="X522" s="51"/>
    </row>
    <row r="523" ht="46.5" customHeight="1" spans="1:24">
      <c r="A523" s="48"/>
      <c r="B523" s="49"/>
      <c r="R523" s="50"/>
      <c r="X523" s="51"/>
    </row>
    <row r="524" ht="46.5" customHeight="1" spans="1:24">
      <c r="A524" s="48"/>
      <c r="B524" s="49"/>
      <c r="R524" s="50"/>
      <c r="X524" s="51"/>
    </row>
    <row r="525" ht="46.5" customHeight="1" spans="1:24">
      <c r="A525" s="48"/>
      <c r="B525" s="52"/>
      <c r="R525" s="50"/>
      <c r="X525" s="51"/>
    </row>
    <row r="526" ht="46.5" customHeight="1" spans="1:24">
      <c r="A526" s="48"/>
      <c r="B526" s="52"/>
      <c r="R526" s="50"/>
      <c r="X526" s="51"/>
    </row>
    <row r="527" ht="46.5" customHeight="1" spans="1:24">
      <c r="A527" s="48"/>
      <c r="B527" s="52"/>
      <c r="R527" s="50"/>
      <c r="X527" s="51"/>
    </row>
    <row r="528" ht="46.5" customHeight="1" spans="1:24">
      <c r="A528" s="48"/>
      <c r="B528" s="52"/>
      <c r="R528" s="50"/>
      <c r="X528" s="51"/>
    </row>
    <row r="529" ht="46.5" customHeight="1" spans="1:24">
      <c r="A529" s="48"/>
      <c r="B529" s="52"/>
      <c r="R529" s="50"/>
      <c r="X529" s="51"/>
    </row>
    <row r="530" ht="46.5" customHeight="1" spans="1:24">
      <c r="A530" s="48"/>
      <c r="B530" s="52"/>
      <c r="R530" s="50"/>
      <c r="X530" s="51"/>
    </row>
    <row r="531" ht="46.5" customHeight="1" spans="1:24">
      <c r="A531" s="48"/>
      <c r="B531" s="49"/>
      <c r="R531" s="50"/>
      <c r="X531" s="51"/>
    </row>
    <row r="532" ht="46.5" customHeight="1" spans="1:24">
      <c r="A532" s="48"/>
      <c r="B532" s="49"/>
      <c r="R532" s="50"/>
      <c r="X532" s="51"/>
    </row>
    <row r="533" ht="46.5" customHeight="1" spans="1:24">
      <c r="A533" s="48"/>
      <c r="B533" s="49"/>
      <c r="R533" s="50"/>
      <c r="X533" s="51"/>
    </row>
    <row r="534" ht="46.5" customHeight="1" spans="1:24">
      <c r="A534" s="48"/>
      <c r="B534" s="49"/>
      <c r="R534" s="50"/>
      <c r="X534" s="51"/>
    </row>
    <row r="535" ht="46.5" customHeight="1" spans="1:24">
      <c r="A535" s="48"/>
      <c r="B535" s="49"/>
      <c r="R535" s="50"/>
      <c r="X535" s="51"/>
    </row>
    <row r="536" ht="46.5" customHeight="1" spans="1:24">
      <c r="A536" s="48"/>
      <c r="B536" s="49"/>
      <c r="R536" s="50"/>
      <c r="X536" s="51"/>
    </row>
    <row r="537" ht="46.5" customHeight="1" spans="1:24">
      <c r="A537" s="48"/>
      <c r="B537" s="52"/>
      <c r="R537" s="50"/>
      <c r="X537" s="51"/>
    </row>
    <row r="538" ht="46.5" customHeight="1" spans="1:24">
      <c r="A538" s="48"/>
      <c r="B538" s="52"/>
      <c r="R538" s="50"/>
      <c r="X538" s="51"/>
    </row>
    <row r="539" ht="46.5" customHeight="1" spans="1:24">
      <c r="A539" s="48"/>
      <c r="B539" s="52"/>
      <c r="R539" s="50"/>
      <c r="X539" s="51"/>
    </row>
    <row r="540" ht="46.5" customHeight="1" spans="1:24">
      <c r="A540" s="48"/>
      <c r="B540" s="52"/>
      <c r="R540" s="50"/>
      <c r="X540" s="51"/>
    </row>
    <row r="541" ht="46.5" customHeight="1" spans="1:24">
      <c r="A541" s="48"/>
      <c r="B541" s="52"/>
      <c r="R541" s="50"/>
      <c r="X541" s="51"/>
    </row>
    <row r="542" ht="46.5" customHeight="1" spans="1:24">
      <c r="A542" s="48"/>
      <c r="B542" s="52"/>
      <c r="R542" s="50"/>
      <c r="X542" s="51"/>
    </row>
    <row r="543" ht="46.5" customHeight="1" spans="1:24">
      <c r="A543" s="48"/>
      <c r="B543" s="49"/>
      <c r="R543" s="50"/>
      <c r="X543" s="51"/>
    </row>
    <row r="544" ht="46.5" customHeight="1" spans="1:24">
      <c r="A544" s="48"/>
      <c r="B544" s="49"/>
      <c r="R544" s="50"/>
      <c r="X544" s="51"/>
    </row>
    <row r="545" ht="46.5" customHeight="1" spans="1:24">
      <c r="A545" s="48"/>
      <c r="B545" s="49"/>
      <c r="R545" s="50"/>
      <c r="X545" s="51"/>
    </row>
    <row r="546" ht="46.5" customHeight="1" spans="1:24">
      <c r="A546" s="48"/>
      <c r="B546" s="49"/>
      <c r="R546" s="50"/>
      <c r="X546" s="51"/>
    </row>
    <row r="547" ht="46.5" customHeight="1" spans="1:24">
      <c r="A547" s="48"/>
      <c r="B547" s="49"/>
      <c r="R547" s="50"/>
      <c r="X547" s="51"/>
    </row>
    <row r="548" ht="46.5" customHeight="1" spans="1:24">
      <c r="A548" s="48"/>
      <c r="B548" s="49"/>
      <c r="R548" s="50"/>
      <c r="X548" s="51"/>
    </row>
    <row r="549" ht="46.5" customHeight="1" spans="1:24">
      <c r="A549" s="48"/>
      <c r="B549" s="52"/>
      <c r="R549" s="50"/>
      <c r="X549" s="51"/>
    </row>
    <row r="550" ht="46.5" customHeight="1" spans="1:24">
      <c r="A550" s="48"/>
      <c r="B550" s="52"/>
      <c r="R550" s="50"/>
      <c r="X550" s="51"/>
    </row>
    <row r="551" ht="46.5" customHeight="1" spans="1:24">
      <c r="A551" s="48"/>
      <c r="B551" s="52"/>
      <c r="R551" s="50"/>
      <c r="X551" s="51"/>
    </row>
    <row r="552" ht="46.5" customHeight="1" spans="1:24">
      <c r="A552" s="48"/>
      <c r="B552" s="52"/>
      <c r="R552" s="50"/>
      <c r="X552" s="51"/>
    </row>
    <row r="553" ht="46.5" customHeight="1" spans="1:24">
      <c r="A553" s="48"/>
      <c r="B553" s="52"/>
      <c r="R553" s="50"/>
      <c r="X553" s="51"/>
    </row>
    <row r="554" ht="46.5" customHeight="1" spans="1:24">
      <c r="A554" s="48"/>
      <c r="B554" s="52"/>
      <c r="R554" s="50"/>
      <c r="X554" s="51"/>
    </row>
    <row r="555" ht="46.5" customHeight="1" spans="1:24">
      <c r="A555" s="48"/>
      <c r="B555" s="49"/>
      <c r="R555" s="50"/>
      <c r="X555" s="51"/>
    </row>
    <row r="556" ht="46.5" customHeight="1" spans="1:24">
      <c r="A556" s="48"/>
      <c r="B556" s="49"/>
      <c r="R556" s="50"/>
      <c r="X556" s="51"/>
    </row>
    <row r="557" ht="46.5" customHeight="1" spans="1:24">
      <c r="A557" s="48"/>
      <c r="B557" s="49"/>
      <c r="R557" s="50"/>
      <c r="X557" s="51"/>
    </row>
    <row r="558" ht="46.5" customHeight="1" spans="1:24">
      <c r="A558" s="48"/>
      <c r="B558" s="49"/>
      <c r="R558" s="50"/>
      <c r="X558" s="51"/>
    </row>
    <row r="559" ht="46.5" customHeight="1" spans="1:24">
      <c r="A559" s="48"/>
      <c r="B559" s="49"/>
      <c r="R559" s="50"/>
      <c r="X559" s="51"/>
    </row>
    <row r="560" ht="46.5" customHeight="1" spans="1:24">
      <c r="A560" s="48"/>
      <c r="B560" s="49"/>
      <c r="R560" s="50"/>
      <c r="X560" s="51"/>
    </row>
    <row r="561" ht="46.5" customHeight="1" spans="1:24">
      <c r="A561" s="48"/>
      <c r="B561" s="52"/>
      <c r="R561" s="50"/>
      <c r="X561" s="51"/>
    </row>
    <row r="562" ht="46.5" customHeight="1" spans="1:24">
      <c r="A562" s="48"/>
      <c r="B562" s="52"/>
      <c r="R562" s="50"/>
      <c r="X562" s="51"/>
    </row>
    <row r="563" ht="46.5" customHeight="1" spans="1:24">
      <c r="A563" s="48"/>
      <c r="B563" s="52"/>
      <c r="R563" s="50"/>
      <c r="X563" s="51"/>
    </row>
    <row r="564" ht="46.5" customHeight="1" spans="1:24">
      <c r="A564" s="48"/>
      <c r="B564" s="52"/>
      <c r="R564" s="50"/>
      <c r="X564" s="51"/>
    </row>
    <row r="565" ht="46.5" customHeight="1" spans="1:24">
      <c r="A565" s="48"/>
      <c r="B565" s="52"/>
      <c r="R565" s="50"/>
      <c r="X565" s="51"/>
    </row>
    <row r="566" ht="46.5" customHeight="1" spans="1:24">
      <c r="A566" s="48"/>
      <c r="B566" s="52"/>
      <c r="R566" s="50"/>
      <c r="X566" s="51"/>
    </row>
    <row r="567" ht="46.5" customHeight="1" spans="1:24">
      <c r="A567" s="48"/>
      <c r="B567" s="49"/>
      <c r="R567" s="50"/>
      <c r="X567" s="51"/>
    </row>
    <row r="568" ht="46.5" customHeight="1" spans="1:24">
      <c r="A568" s="48"/>
      <c r="B568" s="49"/>
      <c r="R568" s="50"/>
      <c r="X568" s="51"/>
    </row>
    <row r="569" ht="46.5" customHeight="1" spans="1:24">
      <c r="A569" s="48"/>
      <c r="B569" s="49"/>
      <c r="R569" s="50"/>
      <c r="X569" s="51"/>
    </row>
    <row r="570" ht="46.5" customHeight="1" spans="1:24">
      <c r="A570" s="48"/>
      <c r="B570" s="49"/>
      <c r="R570" s="50"/>
      <c r="X570" s="51"/>
    </row>
    <row r="571" ht="46.5" customHeight="1" spans="1:24">
      <c r="A571" s="48"/>
      <c r="B571" s="49"/>
      <c r="R571" s="50"/>
      <c r="X571" s="51"/>
    </row>
    <row r="572" ht="46.5" customHeight="1" spans="1:24">
      <c r="A572" s="48"/>
      <c r="B572" s="49"/>
      <c r="R572" s="50"/>
      <c r="X572" s="51"/>
    </row>
    <row r="573" ht="46.5" customHeight="1" spans="1:24">
      <c r="A573" s="48"/>
      <c r="B573" s="52"/>
      <c r="R573" s="50"/>
      <c r="X573" s="51"/>
    </row>
    <row r="574" ht="46.5" customHeight="1" spans="1:24">
      <c r="A574" s="48"/>
      <c r="B574" s="52"/>
      <c r="R574" s="50"/>
      <c r="X574" s="51"/>
    </row>
    <row r="575" ht="46.5" customHeight="1" spans="1:24">
      <c r="A575" s="48"/>
      <c r="B575" s="52"/>
      <c r="R575" s="50"/>
      <c r="X575" s="51"/>
    </row>
    <row r="576" ht="46.5" customHeight="1" spans="1:24">
      <c r="A576" s="48"/>
      <c r="B576" s="52"/>
      <c r="R576" s="50"/>
      <c r="X576" s="51"/>
    </row>
    <row r="577" ht="46.5" customHeight="1" spans="1:24">
      <c r="A577" s="48"/>
      <c r="B577" s="52"/>
      <c r="R577" s="50"/>
      <c r="X577" s="51"/>
    </row>
    <row r="578" ht="46.5" customHeight="1" spans="1:24">
      <c r="A578" s="48"/>
      <c r="B578" s="52"/>
      <c r="R578" s="50"/>
      <c r="X578" s="51"/>
    </row>
    <row r="579" ht="46.5" customHeight="1" spans="1:24">
      <c r="A579" s="48"/>
      <c r="B579" s="49"/>
      <c r="R579" s="50"/>
      <c r="X579" s="51"/>
    </row>
    <row r="580" ht="46.5" customHeight="1" spans="1:24">
      <c r="A580" s="48"/>
      <c r="B580" s="49"/>
      <c r="R580" s="50"/>
      <c r="X580" s="51"/>
    </row>
    <row r="581" ht="46.5" customHeight="1" spans="1:24">
      <c r="A581" s="48"/>
      <c r="B581" s="49"/>
      <c r="R581" s="50"/>
      <c r="X581" s="51"/>
    </row>
    <row r="582" ht="46.5" customHeight="1" spans="1:24">
      <c r="A582" s="48"/>
      <c r="B582" s="49"/>
      <c r="R582" s="50"/>
      <c r="X582" s="51"/>
    </row>
    <row r="583" ht="46.5" customHeight="1" spans="1:24">
      <c r="A583" s="48"/>
      <c r="B583" s="49"/>
      <c r="R583" s="50"/>
      <c r="X583" s="51"/>
    </row>
    <row r="584" ht="46.5" customHeight="1" spans="1:24">
      <c r="A584" s="48"/>
      <c r="B584" s="49"/>
      <c r="R584" s="50"/>
      <c r="X584" s="51"/>
    </row>
    <row r="585" ht="46.5" customHeight="1" spans="1:24">
      <c r="A585" s="48"/>
      <c r="B585" s="52"/>
      <c r="R585" s="50"/>
      <c r="X585" s="51"/>
    </row>
    <row r="586" ht="46.5" customHeight="1" spans="1:24">
      <c r="A586" s="48"/>
      <c r="B586" s="52"/>
      <c r="R586" s="50"/>
      <c r="X586" s="51"/>
    </row>
    <row r="587" ht="46.5" customHeight="1" spans="1:24">
      <c r="A587" s="48"/>
      <c r="B587" s="52"/>
      <c r="R587" s="50"/>
      <c r="X587" s="51"/>
    </row>
    <row r="588" ht="46.5" customHeight="1" spans="1:24">
      <c r="A588" s="48"/>
      <c r="B588" s="52"/>
      <c r="R588" s="50"/>
      <c r="X588" s="51"/>
    </row>
    <row r="589" ht="46.5" customHeight="1" spans="1:24">
      <c r="A589" s="48"/>
      <c r="B589" s="52"/>
      <c r="R589" s="50"/>
      <c r="X589" s="51"/>
    </row>
    <row r="590" ht="46.5" customHeight="1" spans="1:24">
      <c r="A590" s="48"/>
      <c r="B590" s="52"/>
      <c r="R590" s="50"/>
      <c r="X590" s="51"/>
    </row>
    <row r="591" ht="46.5" customHeight="1" spans="1:24">
      <c r="A591" s="48"/>
      <c r="B591" s="49"/>
      <c r="R591" s="50"/>
      <c r="X591" s="51"/>
    </row>
    <row r="592" ht="46.5" customHeight="1" spans="1:24">
      <c r="A592" s="48"/>
      <c r="B592" s="49"/>
      <c r="R592" s="50"/>
      <c r="X592" s="51"/>
    </row>
    <row r="593" ht="46.5" customHeight="1" spans="1:24">
      <c r="A593" s="48"/>
      <c r="B593" s="49"/>
      <c r="R593" s="50"/>
      <c r="X593" s="51"/>
    </row>
    <row r="594" ht="46.5" customHeight="1" spans="1:24">
      <c r="A594" s="48"/>
      <c r="B594" s="49"/>
      <c r="R594" s="50"/>
      <c r="X594" s="51"/>
    </row>
    <row r="595" ht="46.5" customHeight="1" spans="1:24">
      <c r="A595" s="48"/>
      <c r="B595" s="49"/>
      <c r="R595" s="50"/>
      <c r="X595" s="51"/>
    </row>
    <row r="596" ht="46.5" customHeight="1" spans="1:24">
      <c r="A596" s="48"/>
      <c r="B596" s="49"/>
      <c r="R596" s="50"/>
      <c r="X596" s="51"/>
    </row>
    <row r="597" ht="46.5" customHeight="1" spans="1:24">
      <c r="A597" s="48"/>
      <c r="B597" s="52"/>
      <c r="R597" s="50"/>
      <c r="X597" s="51"/>
    </row>
    <row r="598" ht="46.5" customHeight="1" spans="1:24">
      <c r="A598" s="48"/>
      <c r="B598" s="52"/>
      <c r="R598" s="50"/>
      <c r="X598" s="51"/>
    </row>
    <row r="599" ht="46.5" customHeight="1" spans="1:24">
      <c r="A599" s="48"/>
      <c r="B599" s="52"/>
      <c r="R599" s="50"/>
      <c r="X599" s="51"/>
    </row>
    <row r="600" ht="46.5" customHeight="1" spans="1:24">
      <c r="A600" s="48"/>
      <c r="B600" s="52"/>
      <c r="R600" s="50"/>
      <c r="X600" s="51"/>
    </row>
    <row r="601" ht="46.5" customHeight="1" spans="1:24">
      <c r="A601" s="48"/>
      <c r="B601" s="52"/>
      <c r="R601" s="50"/>
      <c r="X601" s="51"/>
    </row>
    <row r="602" ht="46.5" customHeight="1" spans="1:24">
      <c r="A602" s="48"/>
      <c r="B602" s="52"/>
      <c r="R602" s="50"/>
      <c r="X602" s="51"/>
    </row>
  </sheetData>
  <mergeCells count="109">
    <mergeCell ref="B3:B8"/>
    <mergeCell ref="B9:B14"/>
    <mergeCell ref="B15:B20"/>
    <mergeCell ref="B21:B26"/>
    <mergeCell ref="B27:B32"/>
    <mergeCell ref="B33:B38"/>
    <mergeCell ref="B39:B44"/>
    <mergeCell ref="B45:B50"/>
    <mergeCell ref="B51:B56"/>
    <mergeCell ref="B57:B62"/>
    <mergeCell ref="B63:B68"/>
    <mergeCell ref="B69:B74"/>
    <mergeCell ref="B75:B80"/>
    <mergeCell ref="B81:B86"/>
    <mergeCell ref="B87:B92"/>
    <mergeCell ref="B93:B98"/>
    <mergeCell ref="B99:B104"/>
    <mergeCell ref="B105:B110"/>
    <mergeCell ref="B111:B116"/>
    <mergeCell ref="B117:B122"/>
    <mergeCell ref="B123:B128"/>
    <mergeCell ref="B129:B134"/>
    <mergeCell ref="B135:B140"/>
    <mergeCell ref="B141:B146"/>
    <mergeCell ref="B147:B152"/>
    <mergeCell ref="B153:B158"/>
    <mergeCell ref="B159:B164"/>
    <mergeCell ref="B165:B170"/>
    <mergeCell ref="B171:B176"/>
    <mergeCell ref="B177:B182"/>
    <mergeCell ref="B183:B188"/>
    <mergeCell ref="B189:B194"/>
    <mergeCell ref="B195:B200"/>
    <mergeCell ref="B201:B206"/>
    <mergeCell ref="B207:B212"/>
    <mergeCell ref="B213:B218"/>
    <mergeCell ref="B219:B224"/>
    <mergeCell ref="B225:B230"/>
    <mergeCell ref="B231:B236"/>
    <mergeCell ref="B237:B242"/>
    <mergeCell ref="B243:B248"/>
    <mergeCell ref="B249:B254"/>
    <mergeCell ref="B255:B260"/>
    <mergeCell ref="B261:B266"/>
    <mergeCell ref="B267:B272"/>
    <mergeCell ref="B273:B278"/>
    <mergeCell ref="B279:B284"/>
    <mergeCell ref="B285:B290"/>
    <mergeCell ref="B291:B296"/>
    <mergeCell ref="B297:B302"/>
    <mergeCell ref="B303:B308"/>
    <mergeCell ref="B309:B314"/>
    <mergeCell ref="B315:B320"/>
    <mergeCell ref="B321:B326"/>
    <mergeCell ref="B327:B332"/>
    <mergeCell ref="B333:B338"/>
    <mergeCell ref="B339:B344"/>
    <mergeCell ref="B345:B350"/>
    <mergeCell ref="B351:B356"/>
    <mergeCell ref="B357:B362"/>
    <mergeCell ref="B363:B368"/>
    <mergeCell ref="B369:B374"/>
    <mergeCell ref="B375:B380"/>
    <mergeCell ref="B381:B386"/>
    <mergeCell ref="B387:B392"/>
    <mergeCell ref="B393:B398"/>
    <mergeCell ref="B399:B404"/>
    <mergeCell ref="B405:B410"/>
    <mergeCell ref="B411:B416"/>
    <mergeCell ref="B417:B422"/>
    <mergeCell ref="B423:B428"/>
    <mergeCell ref="B429:B434"/>
    <mergeCell ref="B435:B440"/>
    <mergeCell ref="B441:B446"/>
    <mergeCell ref="B447:B452"/>
    <mergeCell ref="B453:B458"/>
    <mergeCell ref="B459:B464"/>
    <mergeCell ref="B465:B470"/>
    <mergeCell ref="B471:B476"/>
    <mergeCell ref="B477:B482"/>
    <mergeCell ref="B483:B488"/>
    <mergeCell ref="B489:B494"/>
    <mergeCell ref="B495:B500"/>
    <mergeCell ref="B501:B506"/>
    <mergeCell ref="B507:B512"/>
    <mergeCell ref="B513:B518"/>
    <mergeCell ref="B519:B524"/>
    <mergeCell ref="B525:B530"/>
    <mergeCell ref="B531:B536"/>
    <mergeCell ref="B537:B542"/>
    <mergeCell ref="B543:B548"/>
    <mergeCell ref="B549:B554"/>
    <mergeCell ref="B555:B560"/>
    <mergeCell ref="B561:B566"/>
    <mergeCell ref="B567:B572"/>
    <mergeCell ref="B573:B578"/>
    <mergeCell ref="B579:B584"/>
    <mergeCell ref="B585:B590"/>
    <mergeCell ref="B591:B596"/>
    <mergeCell ref="B597:B602"/>
    <mergeCell ref="Y1:AC2"/>
    <mergeCell ref="AD1:AH2"/>
    <mergeCell ref="AI1:AM2"/>
    <mergeCell ref="AN1:AR2"/>
    <mergeCell ref="A1:B2"/>
    <mergeCell ref="C1:G2"/>
    <mergeCell ref="H1:L2"/>
    <mergeCell ref="M1:Q2"/>
    <mergeCell ref="S1:W2"/>
  </mergeCells>
  <pageMargins left="0.7" right="0.7" top="0.75" bottom="0.75" header="0.3" footer="0.3"/>
  <pageSetup paperSize="1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Ps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8pqcGnQAAANYAAAATAAAARm9ybXVsYXMvU2VjdGlvbjEubW2NPQuDMBCG90D+Q0gXCyLYVZxC1y4KHcQh2msVY65cIljE/97YrH2Xg/fjOQe9H9GKKt684IwzN2iCh6h1Z+AiSmHAcyaCKlyoh+Bc1x5MphYisP6ONHWIU3LempueoZRxKdu9UWh9qLRpBJykGrR9HfDPG2Qg/apZTdq6J9Ks0CyzPUKXxG/ptsno5jIVPiTCw+r3/czZaP9iiy9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OkBAABbQ29udGVudF9UeXBlc10ueG1sUEsBAhQACgAAAAAAh07iQAAAAAAAAAAAAAAAAAcAAAAAAAAAAAAQAAAAAAAAAENvbmZpZy9QSwECFAAUAAAACACHTuJAEjj+mJ8AAADzAAAAEgAAAAAAAAABACAAAAAlAAAAQ29uZmlnL1BhY2thZ2UueG1sUEsBAhQACgAAAAAAh07iQAAAAAAAAAAAAAAAAAkAAAAAAAAAAAAQAAAA9AAAAEZvcm11bGFzL1BLAQIUABQAAAAIAIdO4kD8pqcGnQAAANYAAAATAAAAAAAAAAEAIAAAABsBAABGb3JtdWxhcy9TZWN0aW9uMS5tUEsFBgAAAAAFAAUALgEAALcC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nAwAAAAAAAIUD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gLz48L0l0ZW0+PEl0ZW0+PEl0ZW1Mb2NhdGlvbj48SXRlbVR5cGU+Rm9ybXVsYTwvSXRlbVR5cGU+PEl0ZW1QYXRoPlNlY3Rpb24xL1RhYmxlMjwvSXRlbVBhdGg+PC9JdGVtTG9jYXRpb24+PFN0YWJsZUVudHJpZXM+PEVudHJ5IFR5cGU9IklzUHJpdmF0ZSIgVmFsdWU9ImwwIiAvPjxFbnRyeSBUeXBlPSJGaWxsRW5hYmxlZCIgVmFsdWU9ImwwIiAvPjxFbnRyeSBUeXBlPSJGaWxsT2JqZWN0VHlwZSIgVmFsdWU9InNDb25uZWN0aW9uT25seSIgLz48RW50cnkgVHlwZT0iUXVlcnlJRCIgVmFsdWU9InMxMzA5NWJkYi0zNDEwLTQ5NzYtYWI3NC04NjE1NmZlNjBlMjUiIC8+PEVudHJ5IFR5cGU9IlJlc3VsdFR5cGUiIFZhbHVlPSJzVGFibGUiIC8+PEVudHJ5IFR5cGU9IkZpbGxDb3VudCIgVmFsdWU9Imw3IiAvPjxFbnRyeSBUeXBlPSJGaWxsRXJyb3JDb3VudCIgVmFsdWU9ImwwIiAvPjxFbnRyeSBUeXBlPSJGaWxsTGFzdFVwZGF0ZWQiIFZhbHVlPSJkMjAyNi0wOC0yM1QxMjoyNDowNC44MjcwMDAwWiIgLz48RW50cnkgVHlwZT0iRmlsbENvbHVtbk5hbWVzIiBWYWx1ZT0nc1smcXVvdDtDb2x1bW4xJnF1b3Q7XScgLz48L1N0YWJsZUVudHJpZXM+PC9JdGVtPjwvSXRlbXM+PC9Mb2NhbFBhY2thZ2VNZXRhZGF0YUZpbGU+FgAAAFBLBQYAAAAAAAAAAAAAAAAAAAAAAAAmAQAAAQAAANCMnd8BFdERjHoAwE/Cl+sBAAAAEqDZzl0xZkaVLHYTVeRWkgAAAAACAAAAAAAQZgAAAAEAACAAAADNBqDJadBQZwCWAdbPX8CkIMb/xpflK6ZxS34R9PhfkQAAAAAOgAAAAAIAACAAAAAn/YKnZhJ3ygFkuh7B1TdQdL4Wx1aLSl5Js7Yr5HcPqVAAAADLR5a4UUhkaYofjV2YyM21P4zTKVgAveA4yItwAorsHY923EdWrU5bUQ/0Vu5hPR0FzSY+Vn4Leg+mPR9zjCM38Y/de4bIei1omR11+qZaFUAAAACP9Ns2N7qQGkg3OaZtc+e+ZArGZiIc9tVnIiZ4sMZCHlY1/q67p0/wj/Xrpux2wZ5ilRPgtFVU3sj8tHrjDQof</DataMashup>
</file>

<file path=customXml/itemProps1.xml><?xml version="1.0" encoding="utf-8"?>
<ds:datastoreItem xmlns:ds="http://schemas.openxmlformats.org/officeDocument/2006/customXml" ds:itemID="{07F5CB30-9D07-4187-992F-88F49ACA4D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MAIN BERTH PLAN</vt:lpstr>
      <vt:lpstr>EXCEPTION VESSELS DETAILS</vt:lpstr>
      <vt:lpstr>BERTHING WAITING LIST </vt:lpstr>
      <vt:lpstr>OMITING VESSELS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shabbir</dc:creator>
  <cp:lastModifiedBy>PRAKASH V S</cp:lastModifiedBy>
  <dcterms:created xsi:type="dcterms:W3CDTF">2015-06-05T18:17:00Z</dcterms:created>
  <dcterms:modified xsi:type="dcterms:W3CDTF">2026-09-02T17:59:55Z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8E459E1C46B144ADB8A0221A7812492A_12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